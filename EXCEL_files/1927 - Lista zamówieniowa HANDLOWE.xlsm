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en_skoroszyt"/>
  <bookViews>
    <workbookView xWindow="32770" yWindow="32770" windowWidth="28800" windowHeight="12230" tabRatio="297" activeTab="1"/>
  </bookViews>
  <sheets>
    <sheet name="POMOC" sheetId="1" r:id="rId1"/>
    <sheet name="Handlówka" sheetId="4" r:id="rId2"/>
    <sheet name="Profile" sheetId="6" r:id="rId3"/>
  </sheets>
  <functionGroups/>
  <definedNames>
    <definedName name="_xlnm._FilterDatabase" localSheetId="1" hidden="1">Handlówka!$A$5:$AH$5</definedName>
    <definedName name="_xlnm.Print_Area" localSheetId="1">Handlówka!$A$2:$AH$5</definedName>
  </definedNames>
  <calcPr calcId="124519"/>
  <fileRecoveryPr autoRecover="0"/>
</workbook>
</file>

<file path=xl/calcChain.xml><?xml version="1.0" encoding="utf-8"?>
<calcChain xmlns="http://schemas.openxmlformats.org/spreadsheetml/2006/main">
  <c r="P88" i="4"/>
  <c r="Q88"/>
  <c r="R88"/>
  <c r="S88"/>
  <c r="T88"/>
  <c r="U88"/>
  <c r="V88"/>
  <c r="W88"/>
  <c r="X88"/>
  <c r="Y88"/>
  <c r="Z88"/>
  <c r="AB88"/>
  <c r="AA517"/>
  <c r="AC517" s="1"/>
  <c r="AK517" s="1"/>
  <c r="AA518"/>
  <c r="AC518" s="1"/>
  <c r="AK518" s="1"/>
  <c r="AA519"/>
  <c r="AC519" s="1"/>
  <c r="AK519" s="1"/>
  <c r="AA520"/>
  <c r="AC520" s="1"/>
  <c r="AK520" s="1"/>
  <c r="AA521"/>
  <c r="AC521" s="1"/>
  <c r="AK521" s="1"/>
  <c r="AA522"/>
  <c r="AC522" s="1"/>
  <c r="AK522" s="1"/>
  <c r="AA523"/>
  <c r="AC523" s="1"/>
  <c r="AK523" s="1"/>
  <c r="AA524"/>
  <c r="AC524" s="1"/>
  <c r="AK524" s="1"/>
  <c r="AA525"/>
  <c r="AC525" s="1"/>
  <c r="AK525" s="1"/>
  <c r="AA526"/>
  <c r="AC526" s="1"/>
  <c r="AK526" s="1"/>
  <c r="AA527"/>
  <c r="AC527" s="1"/>
  <c r="AK527" s="1"/>
  <c r="AA528"/>
  <c r="AC528" s="1"/>
  <c r="AK528" s="1"/>
  <c r="AA529"/>
  <c r="AC529" s="1"/>
  <c r="AK529" s="1"/>
  <c r="AC530"/>
  <c r="AK530" s="1"/>
  <c r="AC531"/>
  <c r="AK531" s="1"/>
  <c r="AC532"/>
  <c r="AK532" s="1"/>
  <c r="AC533"/>
  <c r="AK533" s="1"/>
  <c r="AC534"/>
  <c r="AK534" s="1"/>
  <c r="AC535"/>
  <c r="AK535" s="1"/>
  <c r="AA499"/>
  <c r="AC499" s="1"/>
  <c r="AK499" s="1"/>
  <c r="AA500"/>
  <c r="AC500" s="1"/>
  <c r="AK500" s="1"/>
  <c r="AA501"/>
  <c r="AC501" s="1"/>
  <c r="AK501" s="1"/>
  <c r="AA502"/>
  <c r="AC502" s="1"/>
  <c r="AK502" s="1"/>
  <c r="AA503"/>
  <c r="AC503" s="1"/>
  <c r="AK503" s="1"/>
  <c r="AA504"/>
  <c r="AC504" s="1"/>
  <c r="AK504" s="1"/>
  <c r="AA505"/>
  <c r="AC505" s="1"/>
  <c r="AK505" s="1"/>
  <c r="AA506"/>
  <c r="AC506"/>
  <c r="AK506" s="1"/>
  <c r="AA507"/>
  <c r="AC507" s="1"/>
  <c r="AK507" s="1"/>
  <c r="AA508"/>
  <c r="AC508" s="1"/>
  <c r="AK508" s="1"/>
  <c r="AA509"/>
  <c r="AC509" s="1"/>
  <c r="AK509" s="1"/>
  <c r="AA510"/>
  <c r="AC510" s="1"/>
  <c r="AK510" s="1"/>
  <c r="AA511"/>
  <c r="AC511" s="1"/>
  <c r="AK511" s="1"/>
  <c r="AA512"/>
  <c r="AC512" s="1"/>
  <c r="AK512" s="1"/>
  <c r="AA513"/>
  <c r="AC513" s="1"/>
  <c r="AK513" s="1"/>
  <c r="AA514"/>
  <c r="AC514" s="1"/>
  <c r="AK514" s="1"/>
  <c r="AA515"/>
  <c r="AC515" s="1"/>
  <c r="AK515" s="1"/>
  <c r="AA516"/>
  <c r="AC516" s="1"/>
  <c r="AK516" s="1"/>
  <c r="P271"/>
  <c r="Q271"/>
  <c r="R271"/>
  <c r="S271"/>
  <c r="T271"/>
  <c r="U271"/>
  <c r="V271"/>
  <c r="W271"/>
  <c r="X271"/>
  <c r="Y271"/>
  <c r="Z271"/>
  <c r="P258"/>
  <c r="Q258"/>
  <c r="R258"/>
  <c r="S258"/>
  <c r="T258"/>
  <c r="U258"/>
  <c r="V258"/>
  <c r="W258"/>
  <c r="X258"/>
  <c r="Y258"/>
  <c r="Z258"/>
  <c r="AA487"/>
  <c r="AC487" s="1"/>
  <c r="AK487" s="1"/>
  <c r="AA488"/>
  <c r="AC488" s="1"/>
  <c r="AK488" s="1"/>
  <c r="AA489"/>
  <c r="AC489" s="1"/>
  <c r="AK489" s="1"/>
  <c r="AA490"/>
  <c r="AC490" s="1"/>
  <c r="AK490" s="1"/>
  <c r="AA491"/>
  <c r="AC491" s="1"/>
  <c r="AK491" s="1"/>
  <c r="AA492"/>
  <c r="AC492"/>
  <c r="AK492" s="1"/>
  <c r="AA493"/>
  <c r="AC493" s="1"/>
  <c r="AK493" s="1"/>
  <c r="AA494"/>
  <c r="AC494" s="1"/>
  <c r="AK494" s="1"/>
  <c r="AA495"/>
  <c r="AC495" s="1"/>
  <c r="AK495" s="1"/>
  <c r="AA496"/>
  <c r="AC496" s="1"/>
  <c r="AK496" s="1"/>
  <c r="AA497"/>
  <c r="AC497" s="1"/>
  <c r="AK497" s="1"/>
  <c r="AA498"/>
  <c r="AC498" s="1"/>
  <c r="AK498" s="1"/>
  <c r="V485"/>
  <c r="V486"/>
  <c r="X485"/>
  <c r="X486"/>
  <c r="Y485"/>
  <c r="Y486"/>
  <c r="Z485"/>
  <c r="AA485" s="1"/>
  <c r="AC485" s="1"/>
  <c r="AK485" s="1"/>
  <c r="Z486"/>
  <c r="V477"/>
  <c r="V478"/>
  <c r="V479"/>
  <c r="V480"/>
  <c r="V481"/>
  <c r="V482"/>
  <c r="V483"/>
  <c r="V484"/>
  <c r="X477"/>
  <c r="X478"/>
  <c r="X479"/>
  <c r="X480"/>
  <c r="X481"/>
  <c r="X482"/>
  <c r="X483"/>
  <c r="X484"/>
  <c r="Y477"/>
  <c r="Y478"/>
  <c r="Y479"/>
  <c r="Y480"/>
  <c r="Y481"/>
  <c r="Y482"/>
  <c r="Y483"/>
  <c r="Y484"/>
  <c r="Z477"/>
  <c r="Z478"/>
  <c r="Z479"/>
  <c r="Z480"/>
  <c r="Z481"/>
  <c r="Z482"/>
  <c r="Z483"/>
  <c r="Z484"/>
  <c r="V476"/>
  <c r="X476"/>
  <c r="AA476" s="1"/>
  <c r="AC476" s="1"/>
  <c r="AK476" s="1"/>
  <c r="Y476"/>
  <c r="Z476"/>
  <c r="Y362"/>
  <c r="Z362"/>
  <c r="Y363"/>
  <c r="Z363"/>
  <c r="Y364"/>
  <c r="Z364"/>
  <c r="Y365"/>
  <c r="AA365" s="1"/>
  <c r="AC365" s="1"/>
  <c r="AK365" s="1"/>
  <c r="Z365"/>
  <c r="Y366"/>
  <c r="AA366" s="1"/>
  <c r="AC366" s="1"/>
  <c r="AK366" s="1"/>
  <c r="Z366"/>
  <c r="Y367"/>
  <c r="AA367" s="1"/>
  <c r="AC367" s="1"/>
  <c r="AK367" s="1"/>
  <c r="Z367"/>
  <c r="Y368"/>
  <c r="AA368" s="1"/>
  <c r="AC368" s="1"/>
  <c r="AK368" s="1"/>
  <c r="Z368"/>
  <c r="Y369"/>
  <c r="Z369"/>
  <c r="Y370"/>
  <c r="AA370" s="1"/>
  <c r="AC370" s="1"/>
  <c r="AK370" s="1"/>
  <c r="Z370"/>
  <c r="Y371"/>
  <c r="AA371"/>
  <c r="AC371" s="1"/>
  <c r="AK371" s="1"/>
  <c r="Z371"/>
  <c r="Y372"/>
  <c r="AA372" s="1"/>
  <c r="AC372" s="1"/>
  <c r="AK372" s="1"/>
  <c r="Z372"/>
  <c r="Y373"/>
  <c r="Z373"/>
  <c r="Y374"/>
  <c r="AA374" s="1"/>
  <c r="AC374" s="1"/>
  <c r="AK374" s="1"/>
  <c r="Z374"/>
  <c r="Y375"/>
  <c r="Z375"/>
  <c r="Y376"/>
  <c r="Z376"/>
  <c r="Y377"/>
  <c r="Z377"/>
  <c r="Y378"/>
  <c r="Z378"/>
  <c r="Y379"/>
  <c r="AA379" s="1"/>
  <c r="AC379" s="1"/>
  <c r="AK379" s="1"/>
  <c r="Z379"/>
  <c r="Y380"/>
  <c r="Z380"/>
  <c r="Y381"/>
  <c r="Z381"/>
  <c r="Y382"/>
  <c r="Z382"/>
  <c r="Y383"/>
  <c r="AA383" s="1"/>
  <c r="AC383" s="1"/>
  <c r="AK383" s="1"/>
  <c r="Z383"/>
  <c r="Y384"/>
  <c r="Z384"/>
  <c r="Y385"/>
  <c r="Z385"/>
  <c r="Y386"/>
  <c r="Z386"/>
  <c r="Y387"/>
  <c r="AA387" s="1"/>
  <c r="AC387" s="1"/>
  <c r="AK387" s="1"/>
  <c r="Z387"/>
  <c r="Y388"/>
  <c r="Z388"/>
  <c r="Y389"/>
  <c r="Z389"/>
  <c r="Y390"/>
  <c r="AA390" s="1"/>
  <c r="AC390" s="1"/>
  <c r="AK390" s="1"/>
  <c r="Z390"/>
  <c r="Y391"/>
  <c r="Z391"/>
  <c r="Y392"/>
  <c r="Z392"/>
  <c r="Y393"/>
  <c r="Z393"/>
  <c r="Y394"/>
  <c r="AA394" s="1"/>
  <c r="AC394" s="1"/>
  <c r="AK394" s="1"/>
  <c r="Z394"/>
  <c r="Y395"/>
  <c r="AA395" s="1"/>
  <c r="AC395" s="1"/>
  <c r="AK395" s="1"/>
  <c r="Z395"/>
  <c r="Y396"/>
  <c r="Z396"/>
  <c r="Y397"/>
  <c r="AA397" s="1"/>
  <c r="AC397" s="1"/>
  <c r="AK397" s="1"/>
  <c r="Z397"/>
  <c r="Y398"/>
  <c r="AA398"/>
  <c r="AC398" s="1"/>
  <c r="AK398" s="1"/>
  <c r="Z398"/>
  <c r="Y399"/>
  <c r="AA399" s="1"/>
  <c r="AC399" s="1"/>
  <c r="AK399" s="1"/>
  <c r="Z399"/>
  <c r="Y400"/>
  <c r="Z400"/>
  <c r="Y401"/>
  <c r="Z401"/>
  <c r="Y402"/>
  <c r="Z402"/>
  <c r="Y403"/>
  <c r="AA403" s="1"/>
  <c r="AC403" s="1"/>
  <c r="AK403" s="1"/>
  <c r="Z403"/>
  <c r="Y404"/>
  <c r="AA404" s="1"/>
  <c r="AC404" s="1"/>
  <c r="AK404" s="1"/>
  <c r="Z404"/>
  <c r="Y405"/>
  <c r="AA405"/>
  <c r="AC405" s="1"/>
  <c r="AK405" s="1"/>
  <c r="Z405"/>
  <c r="Y406"/>
  <c r="AA406" s="1"/>
  <c r="AC406" s="1"/>
  <c r="AK406" s="1"/>
  <c r="Z406"/>
  <c r="Y407"/>
  <c r="AA407" s="1"/>
  <c r="AC407" s="1"/>
  <c r="AK407" s="1"/>
  <c r="Z407"/>
  <c r="Y408"/>
  <c r="Z408"/>
  <c r="Y409"/>
  <c r="AA409" s="1"/>
  <c r="AC409" s="1"/>
  <c r="AK409" s="1"/>
  <c r="Z409"/>
  <c r="Y410"/>
  <c r="Z410"/>
  <c r="Y411"/>
  <c r="AA411" s="1"/>
  <c r="AC411" s="1"/>
  <c r="AK411" s="1"/>
  <c r="Z411"/>
  <c r="Y412"/>
  <c r="Z412"/>
  <c r="Y413"/>
  <c r="Z413"/>
  <c r="Y414"/>
  <c r="Z414"/>
  <c r="AA414" s="1"/>
  <c r="AC414" s="1"/>
  <c r="AK414" s="1"/>
  <c r="Y415"/>
  <c r="AA415" s="1"/>
  <c r="AC415" s="1"/>
  <c r="AK415" s="1"/>
  <c r="Z415"/>
  <c r="Y416"/>
  <c r="AA416" s="1"/>
  <c r="AC416" s="1"/>
  <c r="AK416" s="1"/>
  <c r="Z416"/>
  <c r="Y417"/>
  <c r="Z417"/>
  <c r="Y418"/>
  <c r="AA418" s="1"/>
  <c r="AC418" s="1"/>
  <c r="AK418" s="1"/>
  <c r="Z418"/>
  <c r="Y419"/>
  <c r="Z419"/>
  <c r="Y420"/>
  <c r="AA420" s="1"/>
  <c r="AC420" s="1"/>
  <c r="AK420" s="1"/>
  <c r="Z420"/>
  <c r="Y421"/>
  <c r="Z421"/>
  <c r="Y422"/>
  <c r="Z422"/>
  <c r="Y423"/>
  <c r="Z423"/>
  <c r="Y424"/>
  <c r="Z424"/>
  <c r="Y425"/>
  <c r="AA425"/>
  <c r="AC425" s="1"/>
  <c r="AK425" s="1"/>
  <c r="Z425"/>
  <c r="Y426"/>
  <c r="AA426" s="1"/>
  <c r="AC426" s="1"/>
  <c r="AK426" s="1"/>
  <c r="Z426"/>
  <c r="Y427"/>
  <c r="AA427" s="1"/>
  <c r="AC427" s="1"/>
  <c r="AK427" s="1"/>
  <c r="Z427"/>
  <c r="Y428"/>
  <c r="Z428"/>
  <c r="Y429"/>
  <c r="Z429"/>
  <c r="Y430"/>
  <c r="Z430"/>
  <c r="AA430" s="1"/>
  <c r="AC430" s="1"/>
  <c r="AK430" s="1"/>
  <c r="Y431"/>
  <c r="AA431" s="1"/>
  <c r="AC431" s="1"/>
  <c r="AK431" s="1"/>
  <c r="Z431"/>
  <c r="Y432"/>
  <c r="Z432"/>
  <c r="Y433"/>
  <c r="AA433" s="1"/>
  <c r="AC433" s="1"/>
  <c r="AK433" s="1"/>
  <c r="Z433"/>
  <c r="Y434"/>
  <c r="Z434"/>
  <c r="Y435"/>
  <c r="Z435"/>
  <c r="Y436"/>
  <c r="Z436"/>
  <c r="Y437"/>
  <c r="Z437"/>
  <c r="Y438"/>
  <c r="Z438"/>
  <c r="Y439"/>
  <c r="Z439"/>
  <c r="Y440"/>
  <c r="AA440" s="1"/>
  <c r="AC440" s="1"/>
  <c r="AK440" s="1"/>
  <c r="Z440"/>
  <c r="Y441"/>
  <c r="Z441"/>
  <c r="Y442"/>
  <c r="Z442"/>
  <c r="Y443"/>
  <c r="Z443"/>
  <c r="Y444"/>
  <c r="Z444"/>
  <c r="Y445"/>
  <c r="AA445" s="1"/>
  <c r="AC445" s="1"/>
  <c r="AK445" s="1"/>
  <c r="Z445"/>
  <c r="Y446"/>
  <c r="Z446"/>
  <c r="Y447"/>
  <c r="Z447"/>
  <c r="Y448"/>
  <c r="AA448" s="1"/>
  <c r="AC448" s="1"/>
  <c r="AK448" s="1"/>
  <c r="Z448"/>
  <c r="Y449"/>
  <c r="AA449" s="1"/>
  <c r="AC449" s="1"/>
  <c r="AK449" s="1"/>
  <c r="Z449"/>
  <c r="Y450"/>
  <c r="Z450"/>
  <c r="Y451"/>
  <c r="AA451" s="1"/>
  <c r="AC451" s="1"/>
  <c r="AK451" s="1"/>
  <c r="Z451"/>
  <c r="Y452"/>
  <c r="Z452"/>
  <c r="Y453"/>
  <c r="Z453"/>
  <c r="Y454"/>
  <c r="Z454"/>
  <c r="Y455"/>
  <c r="Z455"/>
  <c r="Y456"/>
  <c r="AA456" s="1"/>
  <c r="AC456" s="1"/>
  <c r="AK456" s="1"/>
  <c r="Z456"/>
  <c r="Y457"/>
  <c r="Z457"/>
  <c r="Y458"/>
  <c r="Z458"/>
  <c r="Y459"/>
  <c r="Z459"/>
  <c r="Y460"/>
  <c r="Z460"/>
  <c r="Y461"/>
  <c r="Z461"/>
  <c r="Y462"/>
  <c r="Z462"/>
  <c r="V473"/>
  <c r="V474"/>
  <c r="V475"/>
  <c r="X473"/>
  <c r="X474"/>
  <c r="X475"/>
  <c r="Y473"/>
  <c r="Y474"/>
  <c r="Y475"/>
  <c r="Z473"/>
  <c r="Z474"/>
  <c r="Z475"/>
  <c r="V464"/>
  <c r="V465"/>
  <c r="AA465" s="1"/>
  <c r="AC465" s="1"/>
  <c r="AK465" s="1"/>
  <c r="V466"/>
  <c r="V467"/>
  <c r="V468"/>
  <c r="V469"/>
  <c r="V470"/>
  <c r="V471"/>
  <c r="V472"/>
  <c r="X464"/>
  <c r="X465"/>
  <c r="X466"/>
  <c r="X467"/>
  <c r="X468"/>
  <c r="X469"/>
  <c r="X470"/>
  <c r="X471"/>
  <c r="X472"/>
  <c r="Y464"/>
  <c r="Y465"/>
  <c r="Y466"/>
  <c r="Y467"/>
  <c r="Y468"/>
  <c r="Y469"/>
  <c r="Y470"/>
  <c r="Y471"/>
  <c r="Y472"/>
  <c r="Z464"/>
  <c r="Z465"/>
  <c r="Z466"/>
  <c r="Z467"/>
  <c r="Z468"/>
  <c r="Z469"/>
  <c r="Z470"/>
  <c r="Z471"/>
  <c r="Z472"/>
  <c r="V463"/>
  <c r="X463"/>
  <c r="AA463" s="1"/>
  <c r="AC463" s="1"/>
  <c r="AK463" s="1"/>
  <c r="Y463"/>
  <c r="Z463"/>
  <c r="Y361"/>
  <c r="Z361"/>
  <c r="AA361" s="1"/>
  <c r="AC361" s="1"/>
  <c r="AK361" s="1"/>
  <c r="A1"/>
  <c r="P6"/>
  <c r="Q6"/>
  <c r="R6"/>
  <c r="S6"/>
  <c r="T6"/>
  <c r="U6"/>
  <c r="V6"/>
  <c r="W6"/>
  <c r="X6"/>
  <c r="Y6"/>
  <c r="Z6"/>
  <c r="AB6"/>
  <c r="P7"/>
  <c r="Q7"/>
  <c r="R7"/>
  <c r="S7"/>
  <c r="T7"/>
  <c r="U7"/>
  <c r="V7"/>
  <c r="W7"/>
  <c r="X7"/>
  <c r="Y7"/>
  <c r="Z7"/>
  <c r="AB7"/>
  <c r="P8"/>
  <c r="Q8"/>
  <c r="R8"/>
  <c r="S8"/>
  <c r="T8"/>
  <c r="U8"/>
  <c r="V8"/>
  <c r="W8"/>
  <c r="X8"/>
  <c r="Y8"/>
  <c r="Z8"/>
  <c r="AB8"/>
  <c r="P9"/>
  <c r="Q9"/>
  <c r="R9"/>
  <c r="S9"/>
  <c r="T9"/>
  <c r="U9"/>
  <c r="V9"/>
  <c r="W9"/>
  <c r="X9"/>
  <c r="Y9"/>
  <c r="Z9"/>
  <c r="AB9"/>
  <c r="P10"/>
  <c r="Q10"/>
  <c r="R10"/>
  <c r="S10"/>
  <c r="T10"/>
  <c r="U10"/>
  <c r="V10"/>
  <c r="W10"/>
  <c r="X10"/>
  <c r="Y10"/>
  <c r="Z10"/>
  <c r="P11"/>
  <c r="Q11"/>
  <c r="R11"/>
  <c r="S11"/>
  <c r="T11"/>
  <c r="U11"/>
  <c r="V11"/>
  <c r="W11"/>
  <c r="X11"/>
  <c r="Y11"/>
  <c r="Z11"/>
  <c r="P12"/>
  <c r="Q12"/>
  <c r="R12"/>
  <c r="S12"/>
  <c r="T12"/>
  <c r="U12"/>
  <c r="V12"/>
  <c r="W12"/>
  <c r="X12"/>
  <c r="Y12"/>
  <c r="Z12"/>
  <c r="P13"/>
  <c r="Q13"/>
  <c r="R13"/>
  <c r="S13"/>
  <c r="T13"/>
  <c r="U13"/>
  <c r="V13"/>
  <c r="W13"/>
  <c r="X13"/>
  <c r="Y13"/>
  <c r="Z13"/>
  <c r="P14"/>
  <c r="Q14"/>
  <c r="R14"/>
  <c r="S14"/>
  <c r="T14"/>
  <c r="U14"/>
  <c r="V14"/>
  <c r="W14"/>
  <c r="X14"/>
  <c r="Y14"/>
  <c r="Z14"/>
  <c r="P15"/>
  <c r="Q15"/>
  <c r="R15"/>
  <c r="S15"/>
  <c r="T15"/>
  <c r="U15"/>
  <c r="V15"/>
  <c r="W15"/>
  <c r="X15"/>
  <c r="Y15"/>
  <c r="Z15"/>
  <c r="P16"/>
  <c r="Q16"/>
  <c r="R16"/>
  <c r="S16"/>
  <c r="T16"/>
  <c r="U16"/>
  <c r="V16"/>
  <c r="W16"/>
  <c r="X16"/>
  <c r="Y16"/>
  <c r="Z16"/>
  <c r="P17"/>
  <c r="Q17"/>
  <c r="R17"/>
  <c r="S17"/>
  <c r="T17"/>
  <c r="U17"/>
  <c r="V17"/>
  <c r="W17"/>
  <c r="X17"/>
  <c r="Y17"/>
  <c r="Z17"/>
  <c r="P18"/>
  <c r="Q18"/>
  <c r="R18"/>
  <c r="S18"/>
  <c r="T18"/>
  <c r="U18"/>
  <c r="V18"/>
  <c r="W18"/>
  <c r="X18"/>
  <c r="Y18"/>
  <c r="Z18"/>
  <c r="P19"/>
  <c r="Q19"/>
  <c r="R19"/>
  <c r="S19"/>
  <c r="T19"/>
  <c r="U19"/>
  <c r="V19"/>
  <c r="W19"/>
  <c r="X19"/>
  <c r="Y19"/>
  <c r="Z19"/>
  <c r="P20"/>
  <c r="Q20"/>
  <c r="R20"/>
  <c r="S20"/>
  <c r="T20"/>
  <c r="U20"/>
  <c r="V20"/>
  <c r="W20"/>
  <c r="X20"/>
  <c r="Y20"/>
  <c r="Z20"/>
  <c r="P21"/>
  <c r="Q21"/>
  <c r="R21"/>
  <c r="S21"/>
  <c r="T21"/>
  <c r="U21"/>
  <c r="V21"/>
  <c r="W21"/>
  <c r="X21"/>
  <c r="Y21"/>
  <c r="Z21"/>
  <c r="P22"/>
  <c r="Q22"/>
  <c r="R22"/>
  <c r="S22"/>
  <c r="T22"/>
  <c r="U22"/>
  <c r="V22"/>
  <c r="W22"/>
  <c r="X22"/>
  <c r="Y22"/>
  <c r="Z22"/>
  <c r="P23"/>
  <c r="Q23"/>
  <c r="R23"/>
  <c r="S23"/>
  <c r="T23"/>
  <c r="U23"/>
  <c r="V23"/>
  <c r="W23"/>
  <c r="X23"/>
  <c r="Y23"/>
  <c r="Z23"/>
  <c r="P24"/>
  <c r="Q24"/>
  <c r="R24"/>
  <c r="S24"/>
  <c r="T24"/>
  <c r="U24"/>
  <c r="V24"/>
  <c r="W24"/>
  <c r="X24"/>
  <c r="Y24"/>
  <c r="Z24"/>
  <c r="P25"/>
  <c r="Q25"/>
  <c r="R25"/>
  <c r="S25"/>
  <c r="T25"/>
  <c r="U25"/>
  <c r="V25"/>
  <c r="W25"/>
  <c r="X25"/>
  <c r="Y25"/>
  <c r="Z25"/>
  <c r="P26"/>
  <c r="Q26"/>
  <c r="R26"/>
  <c r="S26"/>
  <c r="T26"/>
  <c r="U26"/>
  <c r="V26"/>
  <c r="W26"/>
  <c r="X26"/>
  <c r="Y26"/>
  <c r="Z26"/>
  <c r="P27"/>
  <c r="Q27"/>
  <c r="R27"/>
  <c r="S27"/>
  <c r="T27"/>
  <c r="U27"/>
  <c r="V27"/>
  <c r="W27"/>
  <c r="X27"/>
  <c r="Y27"/>
  <c r="Z27"/>
  <c r="P28"/>
  <c r="Q28"/>
  <c r="R28"/>
  <c r="S28"/>
  <c r="T28"/>
  <c r="U28"/>
  <c r="V28"/>
  <c r="W28"/>
  <c r="X28"/>
  <c r="Y28"/>
  <c r="Z28"/>
  <c r="P29"/>
  <c r="Q29"/>
  <c r="R29"/>
  <c r="S29"/>
  <c r="T29"/>
  <c r="U29"/>
  <c r="V29"/>
  <c r="W29"/>
  <c r="X29"/>
  <c r="Y29"/>
  <c r="Z29"/>
  <c r="P30"/>
  <c r="Q30"/>
  <c r="R30"/>
  <c r="S30"/>
  <c r="T30"/>
  <c r="U30"/>
  <c r="V30"/>
  <c r="W30"/>
  <c r="X30"/>
  <c r="Y30"/>
  <c r="Z30"/>
  <c r="P31"/>
  <c r="Q31"/>
  <c r="R31"/>
  <c r="S31"/>
  <c r="T31"/>
  <c r="U31"/>
  <c r="V31"/>
  <c r="W31"/>
  <c r="X31"/>
  <c r="Y31"/>
  <c r="Z31"/>
  <c r="P32"/>
  <c r="Q32"/>
  <c r="R32"/>
  <c r="S32"/>
  <c r="T32"/>
  <c r="U32"/>
  <c r="V32"/>
  <c r="W32"/>
  <c r="X32"/>
  <c r="Y32"/>
  <c r="Z32"/>
  <c r="P33"/>
  <c r="Q33"/>
  <c r="R33"/>
  <c r="S33"/>
  <c r="T33"/>
  <c r="U33"/>
  <c r="V33"/>
  <c r="W33"/>
  <c r="X33"/>
  <c r="Y33"/>
  <c r="Z33"/>
  <c r="P34"/>
  <c r="Q34"/>
  <c r="R34"/>
  <c r="S34"/>
  <c r="T34"/>
  <c r="U34"/>
  <c r="V34"/>
  <c r="W34"/>
  <c r="X34"/>
  <c r="Y34"/>
  <c r="Z34"/>
  <c r="P35"/>
  <c r="Q35"/>
  <c r="R35"/>
  <c r="S35"/>
  <c r="T35"/>
  <c r="U35"/>
  <c r="V35"/>
  <c r="W35"/>
  <c r="X35"/>
  <c r="Y35"/>
  <c r="Z35"/>
  <c r="P36"/>
  <c r="Q36"/>
  <c r="R36"/>
  <c r="S36"/>
  <c r="T36"/>
  <c r="U36"/>
  <c r="V36"/>
  <c r="W36"/>
  <c r="X36"/>
  <c r="Y36"/>
  <c r="Z36"/>
  <c r="P37"/>
  <c r="Q37"/>
  <c r="R37"/>
  <c r="S37"/>
  <c r="T37"/>
  <c r="U37"/>
  <c r="V37"/>
  <c r="W37"/>
  <c r="X37"/>
  <c r="Y37"/>
  <c r="Z37"/>
  <c r="P38"/>
  <c r="Q38"/>
  <c r="R38"/>
  <c r="S38"/>
  <c r="T38"/>
  <c r="U38"/>
  <c r="V38"/>
  <c r="W38"/>
  <c r="X38"/>
  <c r="Y38"/>
  <c r="Z38"/>
  <c r="P39"/>
  <c r="Q39"/>
  <c r="R39"/>
  <c r="S39"/>
  <c r="T39"/>
  <c r="U39"/>
  <c r="V39"/>
  <c r="W39"/>
  <c r="X39"/>
  <c r="Y39"/>
  <c r="Z39"/>
  <c r="P40"/>
  <c r="Q40"/>
  <c r="R40"/>
  <c r="S40"/>
  <c r="T40"/>
  <c r="U40"/>
  <c r="V40"/>
  <c r="W40"/>
  <c r="X40"/>
  <c r="Y40"/>
  <c r="Z40"/>
  <c r="P41"/>
  <c r="Q41"/>
  <c r="R41"/>
  <c r="S41"/>
  <c r="T41"/>
  <c r="U41"/>
  <c r="V41"/>
  <c r="W41"/>
  <c r="X41"/>
  <c r="Y41"/>
  <c r="Z41"/>
  <c r="P42"/>
  <c r="Q42"/>
  <c r="R42"/>
  <c r="S42"/>
  <c r="T42"/>
  <c r="U42"/>
  <c r="V42"/>
  <c r="W42"/>
  <c r="X42"/>
  <c r="Y42"/>
  <c r="Z42"/>
  <c r="P43"/>
  <c r="Q43"/>
  <c r="R43"/>
  <c r="S43"/>
  <c r="T43"/>
  <c r="U43"/>
  <c r="V43"/>
  <c r="W43"/>
  <c r="X43"/>
  <c r="Y43"/>
  <c r="Z43"/>
  <c r="P44"/>
  <c r="Q44"/>
  <c r="R44"/>
  <c r="S44"/>
  <c r="T44"/>
  <c r="U44"/>
  <c r="V44"/>
  <c r="W44"/>
  <c r="X44"/>
  <c r="Y44"/>
  <c r="Z44"/>
  <c r="P45"/>
  <c r="Q45"/>
  <c r="R45"/>
  <c r="S45"/>
  <c r="T45"/>
  <c r="U45"/>
  <c r="V45"/>
  <c r="W45"/>
  <c r="X45"/>
  <c r="Y45"/>
  <c r="Z45"/>
  <c r="P46"/>
  <c r="Q46"/>
  <c r="R46"/>
  <c r="S46"/>
  <c r="T46"/>
  <c r="U46"/>
  <c r="V46"/>
  <c r="W46"/>
  <c r="X46"/>
  <c r="Y46"/>
  <c r="Z46"/>
  <c r="P47"/>
  <c r="Q47"/>
  <c r="R47"/>
  <c r="S47"/>
  <c r="T47"/>
  <c r="U47"/>
  <c r="V47"/>
  <c r="W47"/>
  <c r="X47"/>
  <c r="Y47"/>
  <c r="Z47"/>
  <c r="P48"/>
  <c r="Q48"/>
  <c r="R48"/>
  <c r="S48"/>
  <c r="T48"/>
  <c r="U48"/>
  <c r="V48"/>
  <c r="W48"/>
  <c r="X48"/>
  <c r="Y48"/>
  <c r="Z48"/>
  <c r="P49"/>
  <c r="Q49"/>
  <c r="R49"/>
  <c r="S49"/>
  <c r="T49"/>
  <c r="U49"/>
  <c r="V49"/>
  <c r="W49"/>
  <c r="X49"/>
  <c r="Y49"/>
  <c r="Z49"/>
  <c r="P50"/>
  <c r="Q50"/>
  <c r="R50"/>
  <c r="S50"/>
  <c r="T50"/>
  <c r="U50"/>
  <c r="V50"/>
  <c r="W50"/>
  <c r="X50"/>
  <c r="Y50"/>
  <c r="Z50"/>
  <c r="P51"/>
  <c r="Q51"/>
  <c r="R51"/>
  <c r="S51"/>
  <c r="T51"/>
  <c r="U51"/>
  <c r="V51"/>
  <c r="W51"/>
  <c r="X51"/>
  <c r="Y51"/>
  <c r="Z51"/>
  <c r="P52"/>
  <c r="Q52"/>
  <c r="R52"/>
  <c r="S52"/>
  <c r="T52"/>
  <c r="U52"/>
  <c r="V52"/>
  <c r="W52"/>
  <c r="X52"/>
  <c r="Y52"/>
  <c r="Z52"/>
  <c r="P53"/>
  <c r="Q53"/>
  <c r="R53"/>
  <c r="S53"/>
  <c r="T53"/>
  <c r="U53"/>
  <c r="V53"/>
  <c r="W53"/>
  <c r="X53"/>
  <c r="Y53"/>
  <c r="Z53"/>
  <c r="AB53"/>
  <c r="P54"/>
  <c r="Q54"/>
  <c r="R54"/>
  <c r="S54"/>
  <c r="T54"/>
  <c r="U54"/>
  <c r="V54"/>
  <c r="W54"/>
  <c r="X54"/>
  <c r="Y54"/>
  <c r="Z54"/>
  <c r="P55"/>
  <c r="Q55"/>
  <c r="R55"/>
  <c r="S55"/>
  <c r="T55"/>
  <c r="U55"/>
  <c r="V55"/>
  <c r="W55"/>
  <c r="X55"/>
  <c r="Y55"/>
  <c r="Z55"/>
  <c r="P56"/>
  <c r="Q56"/>
  <c r="R56"/>
  <c r="S56"/>
  <c r="T56"/>
  <c r="U56"/>
  <c r="V56"/>
  <c r="W56"/>
  <c r="X56"/>
  <c r="Y56"/>
  <c r="Z56"/>
  <c r="AB56"/>
  <c r="P57"/>
  <c r="Q57"/>
  <c r="R57"/>
  <c r="S57"/>
  <c r="T57"/>
  <c r="U57"/>
  <c r="V57"/>
  <c r="W57"/>
  <c r="X57"/>
  <c r="Y57"/>
  <c r="Z57"/>
  <c r="P58"/>
  <c r="Q58"/>
  <c r="R58"/>
  <c r="S58"/>
  <c r="T58"/>
  <c r="U58"/>
  <c r="V58"/>
  <c r="W58"/>
  <c r="X58"/>
  <c r="Y58"/>
  <c r="Z58"/>
  <c r="AB58"/>
  <c r="P59"/>
  <c r="Q59"/>
  <c r="R59"/>
  <c r="S59"/>
  <c r="T59"/>
  <c r="U59"/>
  <c r="V59"/>
  <c r="W59"/>
  <c r="X59"/>
  <c r="Y59"/>
  <c r="Z59"/>
  <c r="P60"/>
  <c r="Q60"/>
  <c r="R60"/>
  <c r="S60"/>
  <c r="T60"/>
  <c r="U60"/>
  <c r="V60"/>
  <c r="W60"/>
  <c r="X60"/>
  <c r="Y60"/>
  <c r="Z60"/>
  <c r="AB60"/>
  <c r="P61"/>
  <c r="Q61"/>
  <c r="R61"/>
  <c r="S61"/>
  <c r="T61"/>
  <c r="U61"/>
  <c r="V61"/>
  <c r="W61"/>
  <c r="X61"/>
  <c r="Y61"/>
  <c r="Z61"/>
  <c r="P62"/>
  <c r="Q62"/>
  <c r="R62"/>
  <c r="S62"/>
  <c r="T62"/>
  <c r="U62"/>
  <c r="V62"/>
  <c r="W62"/>
  <c r="X62"/>
  <c r="Y62"/>
  <c r="Z62"/>
  <c r="AB62"/>
  <c r="P63"/>
  <c r="Q63"/>
  <c r="R63"/>
  <c r="S63"/>
  <c r="T63"/>
  <c r="U63"/>
  <c r="V63"/>
  <c r="W63"/>
  <c r="X63"/>
  <c r="Y63"/>
  <c r="Z63"/>
  <c r="AB63"/>
  <c r="P64"/>
  <c r="Q64"/>
  <c r="R64"/>
  <c r="S64"/>
  <c r="T64"/>
  <c r="U64"/>
  <c r="V64"/>
  <c r="W64"/>
  <c r="X64"/>
  <c r="Y64"/>
  <c r="Z64"/>
  <c r="AB64"/>
  <c r="P65"/>
  <c r="Q65"/>
  <c r="R65"/>
  <c r="S65"/>
  <c r="T65"/>
  <c r="U65"/>
  <c r="V65"/>
  <c r="W65"/>
  <c r="X65"/>
  <c r="Y65"/>
  <c r="Z65"/>
  <c r="AB65"/>
  <c r="P66"/>
  <c r="Q66"/>
  <c r="R66"/>
  <c r="S66"/>
  <c r="T66"/>
  <c r="U66"/>
  <c r="V66"/>
  <c r="W66"/>
  <c r="X66"/>
  <c r="Y66"/>
  <c r="Z66"/>
  <c r="P67"/>
  <c r="Q67"/>
  <c r="R67"/>
  <c r="S67"/>
  <c r="T67"/>
  <c r="U67"/>
  <c r="V67"/>
  <c r="W67"/>
  <c r="X67"/>
  <c r="Y67"/>
  <c r="Z67"/>
  <c r="P68"/>
  <c r="Q68"/>
  <c r="R68"/>
  <c r="S68"/>
  <c r="T68"/>
  <c r="U68"/>
  <c r="V68"/>
  <c r="W68"/>
  <c r="X68"/>
  <c r="Y68"/>
  <c r="Z68"/>
  <c r="AB68"/>
  <c r="P69"/>
  <c r="Q69"/>
  <c r="R69"/>
  <c r="S69"/>
  <c r="T69"/>
  <c r="U69"/>
  <c r="V69"/>
  <c r="W69"/>
  <c r="X69"/>
  <c r="Y69"/>
  <c r="Z69"/>
  <c r="AB69"/>
  <c r="P70"/>
  <c r="Q70"/>
  <c r="R70"/>
  <c r="S70"/>
  <c r="T70"/>
  <c r="U70"/>
  <c r="V70"/>
  <c r="W70"/>
  <c r="X70"/>
  <c r="Y70"/>
  <c r="Z70"/>
  <c r="P71"/>
  <c r="Q71"/>
  <c r="R71"/>
  <c r="S71"/>
  <c r="T71"/>
  <c r="U71"/>
  <c r="V71"/>
  <c r="W71"/>
  <c r="X71"/>
  <c r="Y71"/>
  <c r="Z71"/>
  <c r="AB71"/>
  <c r="P72"/>
  <c r="Q72"/>
  <c r="R72"/>
  <c r="S72"/>
  <c r="T72"/>
  <c r="U72"/>
  <c r="V72"/>
  <c r="W72"/>
  <c r="X72"/>
  <c r="Y72"/>
  <c r="Z72"/>
  <c r="AB72"/>
  <c r="P73"/>
  <c r="Q73"/>
  <c r="AA73" s="1"/>
  <c r="AC73" s="1"/>
  <c r="AK73" s="1"/>
  <c r="R73"/>
  <c r="S73"/>
  <c r="T73"/>
  <c r="U73"/>
  <c r="V73"/>
  <c r="W73"/>
  <c r="X73"/>
  <c r="Y73"/>
  <c r="Z73"/>
  <c r="P74"/>
  <c r="Q74"/>
  <c r="R74"/>
  <c r="S74"/>
  <c r="T74"/>
  <c r="U74"/>
  <c r="V74"/>
  <c r="W74"/>
  <c r="X74"/>
  <c r="Y74"/>
  <c r="Z74"/>
  <c r="P75"/>
  <c r="Q75"/>
  <c r="R75"/>
  <c r="S75"/>
  <c r="T75"/>
  <c r="U75"/>
  <c r="V75"/>
  <c r="W75"/>
  <c r="X75"/>
  <c r="Y75"/>
  <c r="Z75"/>
  <c r="P76"/>
  <c r="Q76"/>
  <c r="R76"/>
  <c r="S76"/>
  <c r="T76"/>
  <c r="U76"/>
  <c r="V76"/>
  <c r="W76"/>
  <c r="X76"/>
  <c r="Y76"/>
  <c r="Z76"/>
  <c r="AB76"/>
  <c r="P77"/>
  <c r="Q77"/>
  <c r="R77"/>
  <c r="S77"/>
  <c r="T77"/>
  <c r="U77"/>
  <c r="V77"/>
  <c r="W77"/>
  <c r="X77"/>
  <c r="Y77"/>
  <c r="Z77"/>
  <c r="P78"/>
  <c r="Q78"/>
  <c r="R78"/>
  <c r="S78"/>
  <c r="T78"/>
  <c r="U78"/>
  <c r="V78"/>
  <c r="W78"/>
  <c r="X78"/>
  <c r="Y78"/>
  <c r="Z78"/>
  <c r="P79"/>
  <c r="Q79"/>
  <c r="R79"/>
  <c r="S79"/>
  <c r="T79"/>
  <c r="U79"/>
  <c r="V79"/>
  <c r="W79"/>
  <c r="X79"/>
  <c r="Y79"/>
  <c r="Z79"/>
  <c r="P80"/>
  <c r="Q80"/>
  <c r="R80"/>
  <c r="S80"/>
  <c r="T80"/>
  <c r="U80"/>
  <c r="V80"/>
  <c r="W80"/>
  <c r="X80"/>
  <c r="Y80"/>
  <c r="Z80"/>
  <c r="AB80"/>
  <c r="P81"/>
  <c r="Q81"/>
  <c r="R81"/>
  <c r="S81"/>
  <c r="T81"/>
  <c r="U81"/>
  <c r="V81"/>
  <c r="W81"/>
  <c r="X81"/>
  <c r="Y81"/>
  <c r="Z81"/>
  <c r="AB81"/>
  <c r="P82"/>
  <c r="Q82"/>
  <c r="R82"/>
  <c r="S82"/>
  <c r="T82"/>
  <c r="U82"/>
  <c r="V82"/>
  <c r="W82"/>
  <c r="X82"/>
  <c r="Y82"/>
  <c r="Z82"/>
  <c r="P83"/>
  <c r="Q83"/>
  <c r="R83"/>
  <c r="S83"/>
  <c r="T83"/>
  <c r="U83"/>
  <c r="V83"/>
  <c r="W83"/>
  <c r="X83"/>
  <c r="Y83"/>
  <c r="Z83"/>
  <c r="P84"/>
  <c r="Q84"/>
  <c r="R84"/>
  <c r="S84"/>
  <c r="T84"/>
  <c r="U84"/>
  <c r="V84"/>
  <c r="W84"/>
  <c r="X84"/>
  <c r="Y84"/>
  <c r="Z84"/>
  <c r="P85"/>
  <c r="Q85"/>
  <c r="R85"/>
  <c r="S85"/>
  <c r="T85"/>
  <c r="U85"/>
  <c r="V85"/>
  <c r="W85"/>
  <c r="X85"/>
  <c r="Y85"/>
  <c r="Z85"/>
  <c r="AB85"/>
  <c r="P86"/>
  <c r="Q86"/>
  <c r="R86"/>
  <c r="S86"/>
  <c r="T86"/>
  <c r="U86"/>
  <c r="V86"/>
  <c r="W86"/>
  <c r="X86"/>
  <c r="Y86"/>
  <c r="Z86"/>
  <c r="AB86"/>
  <c r="P87"/>
  <c r="Q87"/>
  <c r="R87"/>
  <c r="S87"/>
  <c r="T87"/>
  <c r="U87"/>
  <c r="V87"/>
  <c r="W87"/>
  <c r="X87"/>
  <c r="Y87"/>
  <c r="Z87"/>
  <c r="P89"/>
  <c r="Q89"/>
  <c r="R89"/>
  <c r="S89"/>
  <c r="T89"/>
  <c r="U89"/>
  <c r="V89"/>
  <c r="W89"/>
  <c r="X89"/>
  <c r="Y89"/>
  <c r="Z89"/>
  <c r="AB89"/>
  <c r="P90"/>
  <c r="Q90"/>
  <c r="R90"/>
  <c r="S90"/>
  <c r="T90"/>
  <c r="V90"/>
  <c r="W90"/>
  <c r="X90"/>
  <c r="Y90"/>
  <c r="Z90"/>
  <c r="P91"/>
  <c r="Q91"/>
  <c r="R91"/>
  <c r="S91"/>
  <c r="T91"/>
  <c r="U91"/>
  <c r="V91"/>
  <c r="W91"/>
  <c r="X91"/>
  <c r="Y91"/>
  <c r="Z91"/>
  <c r="P92"/>
  <c r="Q92"/>
  <c r="R92"/>
  <c r="S92"/>
  <c r="T92"/>
  <c r="U92"/>
  <c r="V92"/>
  <c r="W92"/>
  <c r="X92"/>
  <c r="Y92"/>
  <c r="AB92"/>
  <c r="P93"/>
  <c r="Q93"/>
  <c r="R93"/>
  <c r="S93"/>
  <c r="T93"/>
  <c r="U93"/>
  <c r="V93"/>
  <c r="W93"/>
  <c r="X93"/>
  <c r="Y93"/>
  <c r="AB93"/>
  <c r="P94"/>
  <c r="Q94"/>
  <c r="R94"/>
  <c r="S94"/>
  <c r="T94"/>
  <c r="U94"/>
  <c r="V94"/>
  <c r="W94"/>
  <c r="X94"/>
  <c r="Y94"/>
  <c r="P95"/>
  <c r="Q95"/>
  <c r="R95"/>
  <c r="S95"/>
  <c r="T95"/>
  <c r="U95"/>
  <c r="V95"/>
  <c r="W95"/>
  <c r="X95"/>
  <c r="Y95"/>
  <c r="AB95"/>
  <c r="P96"/>
  <c r="Q96"/>
  <c r="R96"/>
  <c r="T96"/>
  <c r="U96"/>
  <c r="V96"/>
  <c r="W96"/>
  <c r="X96"/>
  <c r="Y96"/>
  <c r="Z96"/>
  <c r="AB96"/>
  <c r="P97"/>
  <c r="Q97"/>
  <c r="R97"/>
  <c r="T97"/>
  <c r="U97"/>
  <c r="V97"/>
  <c r="W97"/>
  <c r="X97"/>
  <c r="Y97"/>
  <c r="Z97"/>
  <c r="AB97"/>
  <c r="P98"/>
  <c r="Q98"/>
  <c r="R98"/>
  <c r="T98"/>
  <c r="U98"/>
  <c r="V98"/>
  <c r="W98"/>
  <c r="X98"/>
  <c r="Y98"/>
  <c r="Z98"/>
  <c r="AB98"/>
  <c r="P99"/>
  <c r="Q99"/>
  <c r="R99"/>
  <c r="T99"/>
  <c r="U99"/>
  <c r="V99"/>
  <c r="W99"/>
  <c r="X99"/>
  <c r="Y99"/>
  <c r="Z99"/>
  <c r="AB99"/>
  <c r="P100"/>
  <c r="Q100"/>
  <c r="R100"/>
  <c r="T100"/>
  <c r="U100"/>
  <c r="V100"/>
  <c r="W100"/>
  <c r="X100"/>
  <c r="Y100"/>
  <c r="Z100"/>
  <c r="AB100"/>
  <c r="P101"/>
  <c r="Q101"/>
  <c r="R101"/>
  <c r="T101"/>
  <c r="U101"/>
  <c r="V101"/>
  <c r="W101"/>
  <c r="X101"/>
  <c r="Y101"/>
  <c r="Z101"/>
  <c r="P102"/>
  <c r="Q102"/>
  <c r="R102"/>
  <c r="T102"/>
  <c r="U102"/>
  <c r="V102"/>
  <c r="W102"/>
  <c r="X102"/>
  <c r="Y102"/>
  <c r="Z102"/>
  <c r="P103"/>
  <c r="Q103"/>
  <c r="R103"/>
  <c r="T103"/>
  <c r="U103"/>
  <c r="V103"/>
  <c r="W103"/>
  <c r="X103"/>
  <c r="Y103"/>
  <c r="Z103"/>
  <c r="AB103"/>
  <c r="P104"/>
  <c r="Q104"/>
  <c r="R104"/>
  <c r="T104"/>
  <c r="U104"/>
  <c r="V104"/>
  <c r="W104"/>
  <c r="X104"/>
  <c r="Y104"/>
  <c r="Z104"/>
  <c r="AB104"/>
  <c r="P105"/>
  <c r="Q105"/>
  <c r="R105"/>
  <c r="T105"/>
  <c r="U105"/>
  <c r="V105"/>
  <c r="W105"/>
  <c r="X105"/>
  <c r="Y105"/>
  <c r="Z105"/>
  <c r="P106"/>
  <c r="Q106"/>
  <c r="R106"/>
  <c r="T106"/>
  <c r="U106"/>
  <c r="V106"/>
  <c r="W106"/>
  <c r="X106"/>
  <c r="Y106"/>
  <c r="Z106"/>
  <c r="P107"/>
  <c r="Q107"/>
  <c r="R107"/>
  <c r="T107"/>
  <c r="U107"/>
  <c r="V107"/>
  <c r="W107"/>
  <c r="X107"/>
  <c r="Y107"/>
  <c r="Z107"/>
  <c r="P108"/>
  <c r="Q108"/>
  <c r="R108"/>
  <c r="T108"/>
  <c r="U108"/>
  <c r="V108"/>
  <c r="W108"/>
  <c r="X108"/>
  <c r="Y108"/>
  <c r="Z108"/>
  <c r="AB108"/>
  <c r="P109"/>
  <c r="Q109"/>
  <c r="R109"/>
  <c r="T109"/>
  <c r="U109"/>
  <c r="V109"/>
  <c r="W109"/>
  <c r="X109"/>
  <c r="Y109"/>
  <c r="Z109"/>
  <c r="AB109"/>
  <c r="P110"/>
  <c r="Q110"/>
  <c r="R110"/>
  <c r="T110"/>
  <c r="U110"/>
  <c r="V110"/>
  <c r="W110"/>
  <c r="X110"/>
  <c r="Y110"/>
  <c r="Z110"/>
  <c r="AB110"/>
  <c r="P111"/>
  <c r="Q111"/>
  <c r="R111"/>
  <c r="T111"/>
  <c r="U111"/>
  <c r="V111"/>
  <c r="W111"/>
  <c r="X111"/>
  <c r="Y111"/>
  <c r="Z111"/>
  <c r="P112"/>
  <c r="Q112"/>
  <c r="R112"/>
  <c r="T112"/>
  <c r="U112"/>
  <c r="V112"/>
  <c r="W112"/>
  <c r="X112"/>
  <c r="Y112"/>
  <c r="Z112"/>
  <c r="AB112"/>
  <c r="P113"/>
  <c r="Q113"/>
  <c r="R113"/>
  <c r="T113"/>
  <c r="U113"/>
  <c r="V113"/>
  <c r="W113"/>
  <c r="X113"/>
  <c r="Y113"/>
  <c r="Z113"/>
  <c r="AB113"/>
  <c r="P114"/>
  <c r="Q114"/>
  <c r="R114"/>
  <c r="T114"/>
  <c r="U114"/>
  <c r="V114"/>
  <c r="W114"/>
  <c r="AA114" s="1"/>
  <c r="AC114" s="1"/>
  <c r="AK114" s="1"/>
  <c r="X114"/>
  <c r="Y114"/>
  <c r="Z114"/>
  <c r="AB114"/>
  <c r="P115"/>
  <c r="Q115"/>
  <c r="R115"/>
  <c r="T115"/>
  <c r="U115"/>
  <c r="V115"/>
  <c r="W115"/>
  <c r="X115"/>
  <c r="Y115"/>
  <c r="Z115"/>
  <c r="AB115"/>
  <c r="P116"/>
  <c r="Q116"/>
  <c r="R116"/>
  <c r="T116"/>
  <c r="U116"/>
  <c r="V116"/>
  <c r="W116"/>
  <c r="X116"/>
  <c r="Y116"/>
  <c r="Z116"/>
  <c r="AB116"/>
  <c r="P117"/>
  <c r="Q117"/>
  <c r="R117"/>
  <c r="T117"/>
  <c r="U117"/>
  <c r="V117"/>
  <c r="W117"/>
  <c r="X117"/>
  <c r="Y117"/>
  <c r="Z117"/>
  <c r="AB117"/>
  <c r="P118"/>
  <c r="Q118"/>
  <c r="R118"/>
  <c r="T118"/>
  <c r="U118"/>
  <c r="V118"/>
  <c r="W118"/>
  <c r="X118"/>
  <c r="Y118"/>
  <c r="Z118"/>
  <c r="AB118"/>
  <c r="P119"/>
  <c r="Q119"/>
  <c r="R119"/>
  <c r="T119"/>
  <c r="U119"/>
  <c r="V119"/>
  <c r="W119"/>
  <c r="X119"/>
  <c r="Y119"/>
  <c r="Z119"/>
  <c r="AB119"/>
  <c r="P120"/>
  <c r="Q120"/>
  <c r="R120"/>
  <c r="T120"/>
  <c r="U120"/>
  <c r="V120"/>
  <c r="W120"/>
  <c r="X120"/>
  <c r="Y120"/>
  <c r="Z120"/>
  <c r="AB120"/>
  <c r="P121"/>
  <c r="Q121"/>
  <c r="R121"/>
  <c r="T121"/>
  <c r="U121"/>
  <c r="V121"/>
  <c r="W121"/>
  <c r="X121"/>
  <c r="Y121"/>
  <c r="Z121"/>
  <c r="AB121"/>
  <c r="P122"/>
  <c r="Q122"/>
  <c r="R122"/>
  <c r="T122"/>
  <c r="U122"/>
  <c r="V122"/>
  <c r="W122"/>
  <c r="X122"/>
  <c r="Y122"/>
  <c r="Z122"/>
  <c r="AB122"/>
  <c r="P123"/>
  <c r="Q123"/>
  <c r="R123"/>
  <c r="T123"/>
  <c r="U123"/>
  <c r="V123"/>
  <c r="W123"/>
  <c r="X123"/>
  <c r="Y123"/>
  <c r="Z123"/>
  <c r="AB123"/>
  <c r="P124"/>
  <c r="Q124"/>
  <c r="R124"/>
  <c r="T124"/>
  <c r="U124"/>
  <c r="V124"/>
  <c r="W124"/>
  <c r="X124"/>
  <c r="Y124"/>
  <c r="Z124"/>
  <c r="AB124"/>
  <c r="P125"/>
  <c r="Q125"/>
  <c r="R125"/>
  <c r="S125"/>
  <c r="T125"/>
  <c r="U125"/>
  <c r="V125"/>
  <c r="W125"/>
  <c r="X125"/>
  <c r="Y125"/>
  <c r="Z125"/>
  <c r="AB125"/>
  <c r="P126"/>
  <c r="Q126"/>
  <c r="R126"/>
  <c r="T126"/>
  <c r="U126"/>
  <c r="V126"/>
  <c r="W126"/>
  <c r="X126"/>
  <c r="Y126"/>
  <c r="Z126"/>
  <c r="AB126"/>
  <c r="P127"/>
  <c r="Q127"/>
  <c r="R127"/>
  <c r="T127"/>
  <c r="U127"/>
  <c r="V127"/>
  <c r="W127"/>
  <c r="X127"/>
  <c r="Y127"/>
  <c r="Z127"/>
  <c r="AB127"/>
  <c r="P128"/>
  <c r="Q128"/>
  <c r="R128"/>
  <c r="T128"/>
  <c r="U128"/>
  <c r="V128"/>
  <c r="W128"/>
  <c r="X128"/>
  <c r="Y128"/>
  <c r="Z128"/>
  <c r="AB128"/>
  <c r="P129"/>
  <c r="Q129"/>
  <c r="R129"/>
  <c r="T129"/>
  <c r="U129"/>
  <c r="V129"/>
  <c r="W129"/>
  <c r="X129"/>
  <c r="Y129"/>
  <c r="Z129"/>
  <c r="AB129"/>
  <c r="P130"/>
  <c r="Q130"/>
  <c r="R130"/>
  <c r="T130"/>
  <c r="U130"/>
  <c r="V130"/>
  <c r="W130"/>
  <c r="X130"/>
  <c r="Y130"/>
  <c r="Z130"/>
  <c r="P131"/>
  <c r="Q131"/>
  <c r="R131"/>
  <c r="T131"/>
  <c r="U131"/>
  <c r="V131"/>
  <c r="W131"/>
  <c r="X131"/>
  <c r="Y131"/>
  <c r="Z131"/>
  <c r="P132"/>
  <c r="Q132"/>
  <c r="R132"/>
  <c r="T132"/>
  <c r="U132"/>
  <c r="V132"/>
  <c r="W132"/>
  <c r="X132"/>
  <c r="Y132"/>
  <c r="Z132"/>
  <c r="P133"/>
  <c r="Q133"/>
  <c r="R133"/>
  <c r="T133"/>
  <c r="U133"/>
  <c r="V133"/>
  <c r="W133"/>
  <c r="X133"/>
  <c r="Y133"/>
  <c r="Z133"/>
  <c r="AB133"/>
  <c r="P134"/>
  <c r="Q134"/>
  <c r="R134"/>
  <c r="T134"/>
  <c r="U134"/>
  <c r="V134"/>
  <c r="W134"/>
  <c r="X134"/>
  <c r="Y134"/>
  <c r="Z134"/>
  <c r="AB134"/>
  <c r="P135"/>
  <c r="Q135"/>
  <c r="R135"/>
  <c r="T135"/>
  <c r="U135"/>
  <c r="V135"/>
  <c r="W135"/>
  <c r="X135"/>
  <c r="Y135"/>
  <c r="Z135"/>
  <c r="AB135"/>
  <c r="P136"/>
  <c r="Q136"/>
  <c r="R136"/>
  <c r="T136"/>
  <c r="U136"/>
  <c r="V136"/>
  <c r="W136"/>
  <c r="X136"/>
  <c r="Y136"/>
  <c r="Z136"/>
  <c r="P137"/>
  <c r="Q137"/>
  <c r="R137"/>
  <c r="T137"/>
  <c r="U137"/>
  <c r="V137"/>
  <c r="W137"/>
  <c r="X137"/>
  <c r="Y137"/>
  <c r="Z137"/>
  <c r="P138"/>
  <c r="Q138"/>
  <c r="R138"/>
  <c r="T138"/>
  <c r="U138"/>
  <c r="V138"/>
  <c r="W138"/>
  <c r="X138"/>
  <c r="Y138"/>
  <c r="Z138"/>
  <c r="P139"/>
  <c r="Q139"/>
  <c r="R139"/>
  <c r="T139"/>
  <c r="U139"/>
  <c r="V139"/>
  <c r="W139"/>
  <c r="X139"/>
  <c r="Y139"/>
  <c r="Z139"/>
  <c r="P140"/>
  <c r="Q140"/>
  <c r="R140"/>
  <c r="T140"/>
  <c r="U140"/>
  <c r="V140"/>
  <c r="W140"/>
  <c r="X140"/>
  <c r="Y140"/>
  <c r="Z140"/>
  <c r="AB140"/>
  <c r="P141"/>
  <c r="Q141"/>
  <c r="R141"/>
  <c r="T141"/>
  <c r="U141"/>
  <c r="V141"/>
  <c r="W141"/>
  <c r="X141"/>
  <c r="Y141"/>
  <c r="Z141"/>
  <c r="AB141"/>
  <c r="P142"/>
  <c r="Q142"/>
  <c r="R142"/>
  <c r="T142"/>
  <c r="U142"/>
  <c r="V142"/>
  <c r="W142"/>
  <c r="X142"/>
  <c r="Y142"/>
  <c r="Z142"/>
  <c r="P143"/>
  <c r="Q143"/>
  <c r="R143"/>
  <c r="T143"/>
  <c r="U143"/>
  <c r="V143"/>
  <c r="W143"/>
  <c r="X143"/>
  <c r="Y143"/>
  <c r="Z143"/>
  <c r="P144"/>
  <c r="Q144"/>
  <c r="R144"/>
  <c r="T144"/>
  <c r="U144"/>
  <c r="V144"/>
  <c r="W144"/>
  <c r="X144"/>
  <c r="Y144"/>
  <c r="Z144"/>
  <c r="P145"/>
  <c r="Q145"/>
  <c r="R145"/>
  <c r="T145"/>
  <c r="U145"/>
  <c r="V145"/>
  <c r="W145"/>
  <c r="X145"/>
  <c r="Y145"/>
  <c r="Z145"/>
  <c r="P146"/>
  <c r="Q146"/>
  <c r="R146"/>
  <c r="T146"/>
  <c r="U146"/>
  <c r="V146"/>
  <c r="W146"/>
  <c r="X146"/>
  <c r="Y146"/>
  <c r="Z146"/>
  <c r="P147"/>
  <c r="Q147"/>
  <c r="R147"/>
  <c r="T147"/>
  <c r="U147"/>
  <c r="V147"/>
  <c r="W147"/>
  <c r="X147"/>
  <c r="Y147"/>
  <c r="Z147"/>
  <c r="P148"/>
  <c r="Q148"/>
  <c r="R148"/>
  <c r="T148"/>
  <c r="U148"/>
  <c r="V148"/>
  <c r="W148"/>
  <c r="X148"/>
  <c r="Y148"/>
  <c r="Z148"/>
  <c r="AB148"/>
  <c r="P149"/>
  <c r="Q149"/>
  <c r="R149"/>
  <c r="T149"/>
  <c r="U149"/>
  <c r="V149"/>
  <c r="W149"/>
  <c r="X149"/>
  <c r="Y149"/>
  <c r="Z149"/>
  <c r="AB149"/>
  <c r="P150"/>
  <c r="Q150"/>
  <c r="R150"/>
  <c r="T150"/>
  <c r="U150"/>
  <c r="V150"/>
  <c r="W150"/>
  <c r="X150"/>
  <c r="Y150"/>
  <c r="Z150"/>
  <c r="AB150"/>
  <c r="P151"/>
  <c r="Q151"/>
  <c r="R151"/>
  <c r="T151"/>
  <c r="U151"/>
  <c r="V151"/>
  <c r="W151"/>
  <c r="X151"/>
  <c r="Y151"/>
  <c r="Z151"/>
  <c r="P152"/>
  <c r="Q152"/>
  <c r="R152"/>
  <c r="T152"/>
  <c r="U152"/>
  <c r="V152"/>
  <c r="W152"/>
  <c r="X152"/>
  <c r="Y152"/>
  <c r="Z152"/>
  <c r="P153"/>
  <c r="Q153"/>
  <c r="R153"/>
  <c r="T153"/>
  <c r="U153"/>
  <c r="V153"/>
  <c r="W153"/>
  <c r="X153"/>
  <c r="Y153"/>
  <c r="Z153"/>
  <c r="AB153"/>
  <c r="P154"/>
  <c r="Q154"/>
  <c r="R154"/>
  <c r="T154"/>
  <c r="U154"/>
  <c r="V154"/>
  <c r="W154"/>
  <c r="X154"/>
  <c r="Y154"/>
  <c r="Z154"/>
  <c r="AB154"/>
  <c r="P155"/>
  <c r="Q155"/>
  <c r="R155"/>
  <c r="T155"/>
  <c r="U155"/>
  <c r="V155"/>
  <c r="W155"/>
  <c r="X155"/>
  <c r="Y155"/>
  <c r="Z155"/>
  <c r="P156"/>
  <c r="Q156"/>
  <c r="R156"/>
  <c r="T156"/>
  <c r="U156"/>
  <c r="V156"/>
  <c r="W156"/>
  <c r="X156"/>
  <c r="Y156"/>
  <c r="Z156"/>
  <c r="AB156"/>
  <c r="P157"/>
  <c r="Q157"/>
  <c r="R157"/>
  <c r="T157"/>
  <c r="U157"/>
  <c r="V157"/>
  <c r="W157"/>
  <c r="X157"/>
  <c r="Y157"/>
  <c r="Z157"/>
  <c r="AB157"/>
  <c r="P158"/>
  <c r="Q158"/>
  <c r="AA158" s="1"/>
  <c r="AC158" s="1"/>
  <c r="AK158" s="1"/>
  <c r="R158"/>
  <c r="T158"/>
  <c r="U158"/>
  <c r="V158"/>
  <c r="W158"/>
  <c r="X158"/>
  <c r="Y158"/>
  <c r="Z158"/>
  <c r="AB158"/>
  <c r="P159"/>
  <c r="Q159"/>
  <c r="R159"/>
  <c r="T159"/>
  <c r="U159"/>
  <c r="V159"/>
  <c r="W159"/>
  <c r="X159"/>
  <c r="Y159"/>
  <c r="Z159"/>
  <c r="P160"/>
  <c r="Q160"/>
  <c r="R160"/>
  <c r="T160"/>
  <c r="U160"/>
  <c r="V160"/>
  <c r="W160"/>
  <c r="X160"/>
  <c r="Y160"/>
  <c r="Z160"/>
  <c r="P161"/>
  <c r="Q161"/>
  <c r="R161"/>
  <c r="T161"/>
  <c r="U161"/>
  <c r="V161"/>
  <c r="W161"/>
  <c r="X161"/>
  <c r="Y161"/>
  <c r="Z161"/>
  <c r="AB161"/>
  <c r="P162"/>
  <c r="Q162"/>
  <c r="AA162" s="1"/>
  <c r="AC162" s="1"/>
  <c r="AK162" s="1"/>
  <c r="R162"/>
  <c r="T162"/>
  <c r="U162"/>
  <c r="V162"/>
  <c r="W162"/>
  <c r="X162"/>
  <c r="Y162"/>
  <c r="Z162"/>
  <c r="P163"/>
  <c r="Q163"/>
  <c r="R163"/>
  <c r="T163"/>
  <c r="U163"/>
  <c r="V163"/>
  <c r="W163"/>
  <c r="X163"/>
  <c r="Y163"/>
  <c r="Z163"/>
  <c r="P164"/>
  <c r="Q164"/>
  <c r="R164"/>
  <c r="T164"/>
  <c r="U164"/>
  <c r="V164"/>
  <c r="W164"/>
  <c r="X164"/>
  <c r="Y164"/>
  <c r="Z164"/>
  <c r="P165"/>
  <c r="R165"/>
  <c r="T165"/>
  <c r="V165"/>
  <c r="W165"/>
  <c r="X165"/>
  <c r="Y165"/>
  <c r="Z165"/>
  <c r="AB165"/>
  <c r="P166"/>
  <c r="R166"/>
  <c r="AA166" s="1"/>
  <c r="AC166" s="1"/>
  <c r="AK166" s="1"/>
  <c r="T166"/>
  <c r="V166"/>
  <c r="W166"/>
  <c r="X166"/>
  <c r="Y166"/>
  <c r="Z166"/>
  <c r="P167"/>
  <c r="Q167"/>
  <c r="R167"/>
  <c r="S167"/>
  <c r="T167"/>
  <c r="U167"/>
  <c r="V167"/>
  <c r="W167"/>
  <c r="X167"/>
  <c r="Y167"/>
  <c r="Z167"/>
  <c r="P168"/>
  <c r="Q168"/>
  <c r="R168"/>
  <c r="S168"/>
  <c r="T168"/>
  <c r="U168"/>
  <c r="V168"/>
  <c r="W168"/>
  <c r="X168"/>
  <c r="Y168"/>
  <c r="Z168"/>
  <c r="P169"/>
  <c r="Q169"/>
  <c r="R169"/>
  <c r="S169"/>
  <c r="T169"/>
  <c r="U169"/>
  <c r="V169"/>
  <c r="W169"/>
  <c r="X169"/>
  <c r="Y169"/>
  <c r="Z169"/>
  <c r="P170"/>
  <c r="AA170" s="1"/>
  <c r="AC170" s="1"/>
  <c r="AK170" s="1"/>
  <c r="R170"/>
  <c r="S170"/>
  <c r="T170"/>
  <c r="U170"/>
  <c r="V170"/>
  <c r="W170"/>
  <c r="X170"/>
  <c r="Y170"/>
  <c r="Z170"/>
  <c r="P171"/>
  <c r="R171"/>
  <c r="S171"/>
  <c r="T171"/>
  <c r="U171"/>
  <c r="V171"/>
  <c r="W171"/>
  <c r="X171"/>
  <c r="Y171"/>
  <c r="Z171"/>
  <c r="P172"/>
  <c r="R172"/>
  <c r="S172"/>
  <c r="T172"/>
  <c r="U172"/>
  <c r="V172"/>
  <c r="W172"/>
  <c r="X172"/>
  <c r="Y172"/>
  <c r="Z172"/>
  <c r="P173"/>
  <c r="R173"/>
  <c r="S173"/>
  <c r="T173"/>
  <c r="U173"/>
  <c r="V173"/>
  <c r="W173"/>
  <c r="X173"/>
  <c r="Y173"/>
  <c r="Z173"/>
  <c r="P174"/>
  <c r="R174"/>
  <c r="S174"/>
  <c r="T174"/>
  <c r="U174"/>
  <c r="V174"/>
  <c r="W174"/>
  <c r="X174"/>
  <c r="Y174"/>
  <c r="Z174"/>
  <c r="P175"/>
  <c r="R175"/>
  <c r="S175"/>
  <c r="T175"/>
  <c r="U175"/>
  <c r="V175"/>
  <c r="W175"/>
  <c r="X175"/>
  <c r="Y175"/>
  <c r="Z175"/>
  <c r="P176"/>
  <c r="R176"/>
  <c r="S176"/>
  <c r="T176"/>
  <c r="U176"/>
  <c r="V176"/>
  <c r="W176"/>
  <c r="X176"/>
  <c r="Y176"/>
  <c r="Z176"/>
  <c r="O177"/>
  <c r="P177"/>
  <c r="Q177"/>
  <c r="R177"/>
  <c r="S177"/>
  <c r="U177"/>
  <c r="V177"/>
  <c r="W177"/>
  <c r="X177"/>
  <c r="Y177"/>
  <c r="Z177"/>
  <c r="O178"/>
  <c r="P178"/>
  <c r="Q178"/>
  <c r="R178"/>
  <c r="S178"/>
  <c r="U178"/>
  <c r="V178"/>
  <c r="W178"/>
  <c r="X178"/>
  <c r="Y178"/>
  <c r="Z178"/>
  <c r="O179"/>
  <c r="P179"/>
  <c r="Q179"/>
  <c r="R179"/>
  <c r="S179"/>
  <c r="U179"/>
  <c r="V179"/>
  <c r="W179"/>
  <c r="X179"/>
  <c r="Y179"/>
  <c r="Z179"/>
  <c r="O180"/>
  <c r="P180"/>
  <c r="Q180"/>
  <c r="R180"/>
  <c r="S180"/>
  <c r="U180"/>
  <c r="V180"/>
  <c r="W180"/>
  <c r="X180"/>
  <c r="Y180"/>
  <c r="Z180"/>
  <c r="O181"/>
  <c r="P181"/>
  <c r="Q181"/>
  <c r="R181"/>
  <c r="S181"/>
  <c r="U181"/>
  <c r="V181"/>
  <c r="W181"/>
  <c r="X181"/>
  <c r="Y181"/>
  <c r="Z181"/>
  <c r="O182"/>
  <c r="P182"/>
  <c r="AA182" s="1"/>
  <c r="AC182" s="1"/>
  <c r="AK182" s="1"/>
  <c r="Q182"/>
  <c r="R182"/>
  <c r="S182"/>
  <c r="U182"/>
  <c r="V182"/>
  <c r="W182"/>
  <c r="X182"/>
  <c r="Y182"/>
  <c r="Z182"/>
  <c r="O183"/>
  <c r="P183"/>
  <c r="Q183"/>
  <c r="R183"/>
  <c r="S183"/>
  <c r="T183"/>
  <c r="V183"/>
  <c r="W183"/>
  <c r="X183"/>
  <c r="Y183"/>
  <c r="Z183"/>
  <c r="O184"/>
  <c r="P184"/>
  <c r="Q184"/>
  <c r="R184"/>
  <c r="S184"/>
  <c r="T184"/>
  <c r="V184"/>
  <c r="W184"/>
  <c r="X184"/>
  <c r="Y184"/>
  <c r="Z184"/>
  <c r="O185"/>
  <c r="P185"/>
  <c r="Q185"/>
  <c r="R185"/>
  <c r="S185"/>
  <c r="T185"/>
  <c r="V185"/>
  <c r="W185"/>
  <c r="X185"/>
  <c r="Y185"/>
  <c r="Z185"/>
  <c r="O186"/>
  <c r="P186"/>
  <c r="Q186"/>
  <c r="R186"/>
  <c r="S186"/>
  <c r="T186"/>
  <c r="V186"/>
  <c r="W186"/>
  <c r="X186"/>
  <c r="Y186"/>
  <c r="Z186"/>
  <c r="O187"/>
  <c r="P187"/>
  <c r="Q187"/>
  <c r="R187"/>
  <c r="S187"/>
  <c r="T187"/>
  <c r="V187"/>
  <c r="W187"/>
  <c r="X187"/>
  <c r="Y187"/>
  <c r="Z187"/>
  <c r="O188"/>
  <c r="P188"/>
  <c r="Q188"/>
  <c r="R188"/>
  <c r="S188"/>
  <c r="T188"/>
  <c r="V188"/>
  <c r="W188"/>
  <c r="X188"/>
  <c r="Y188"/>
  <c r="Z188"/>
  <c r="O189"/>
  <c r="P189"/>
  <c r="Q189"/>
  <c r="R189"/>
  <c r="S189"/>
  <c r="T189"/>
  <c r="V189"/>
  <c r="W189"/>
  <c r="X189"/>
  <c r="Y189"/>
  <c r="Z189"/>
  <c r="O190"/>
  <c r="P190"/>
  <c r="Q190"/>
  <c r="R190"/>
  <c r="S190"/>
  <c r="T190"/>
  <c r="U190"/>
  <c r="V190"/>
  <c r="X190"/>
  <c r="Y190"/>
  <c r="Z190"/>
  <c r="O191"/>
  <c r="P191"/>
  <c r="Q191"/>
  <c r="R191"/>
  <c r="S191"/>
  <c r="T191"/>
  <c r="U191"/>
  <c r="V191"/>
  <c r="X191"/>
  <c r="Y191"/>
  <c r="Z191"/>
  <c r="O192"/>
  <c r="P192"/>
  <c r="Q192"/>
  <c r="R192"/>
  <c r="S192"/>
  <c r="T192"/>
  <c r="U192"/>
  <c r="AA192" s="1"/>
  <c r="AC192" s="1"/>
  <c r="AK192" s="1"/>
  <c r="V192"/>
  <c r="X192"/>
  <c r="Y192"/>
  <c r="Z192"/>
  <c r="O193"/>
  <c r="P193"/>
  <c r="Q193"/>
  <c r="R193"/>
  <c r="S193"/>
  <c r="T193"/>
  <c r="U193"/>
  <c r="V193"/>
  <c r="X193"/>
  <c r="Y193"/>
  <c r="Z193"/>
  <c r="O194"/>
  <c r="P194"/>
  <c r="Q194"/>
  <c r="R194"/>
  <c r="S194"/>
  <c r="T194"/>
  <c r="U194"/>
  <c r="V194"/>
  <c r="X194"/>
  <c r="Y194"/>
  <c r="Z194"/>
  <c r="O195"/>
  <c r="P195"/>
  <c r="Q195"/>
  <c r="R195"/>
  <c r="S195"/>
  <c r="T195"/>
  <c r="U195"/>
  <c r="V195"/>
  <c r="X195"/>
  <c r="Y195"/>
  <c r="Z195"/>
  <c r="O196"/>
  <c r="P196"/>
  <c r="Q196"/>
  <c r="R196"/>
  <c r="S196"/>
  <c r="T196"/>
  <c r="U196"/>
  <c r="V196"/>
  <c r="X196"/>
  <c r="Y196"/>
  <c r="Z196"/>
  <c r="O197"/>
  <c r="AA197" s="1"/>
  <c r="AC197" s="1"/>
  <c r="AK197" s="1"/>
  <c r="P197"/>
  <c r="Q197"/>
  <c r="R197"/>
  <c r="S197"/>
  <c r="T197"/>
  <c r="U197"/>
  <c r="V197"/>
  <c r="X197"/>
  <c r="Y197"/>
  <c r="Z197"/>
  <c r="O198"/>
  <c r="P198"/>
  <c r="Q198"/>
  <c r="R198"/>
  <c r="S198"/>
  <c r="T198"/>
  <c r="U198"/>
  <c r="V198"/>
  <c r="X198"/>
  <c r="Y198"/>
  <c r="Z198"/>
  <c r="O199"/>
  <c r="Q199"/>
  <c r="S199"/>
  <c r="T199"/>
  <c r="U199"/>
  <c r="X199"/>
  <c r="Y199"/>
  <c r="Z199"/>
  <c r="O200"/>
  <c r="P200"/>
  <c r="Q200"/>
  <c r="R200"/>
  <c r="S200"/>
  <c r="T200"/>
  <c r="U200"/>
  <c r="V200"/>
  <c r="X200"/>
  <c r="Y200"/>
  <c r="Z200"/>
  <c r="O201"/>
  <c r="P201"/>
  <c r="Q201"/>
  <c r="R201"/>
  <c r="S201"/>
  <c r="T201"/>
  <c r="U201"/>
  <c r="V201"/>
  <c r="X201"/>
  <c r="Y201"/>
  <c r="Z201"/>
  <c r="O202"/>
  <c r="P202"/>
  <c r="Q202"/>
  <c r="R202"/>
  <c r="S202"/>
  <c r="T202"/>
  <c r="U202"/>
  <c r="V202"/>
  <c r="X202"/>
  <c r="Y202"/>
  <c r="Z202"/>
  <c r="O203"/>
  <c r="P203"/>
  <c r="Q203"/>
  <c r="R203"/>
  <c r="S203"/>
  <c r="T203"/>
  <c r="U203"/>
  <c r="V203"/>
  <c r="X203"/>
  <c r="Y203"/>
  <c r="Z203"/>
  <c r="O204"/>
  <c r="P204"/>
  <c r="Q204"/>
  <c r="R204"/>
  <c r="S204"/>
  <c r="T204"/>
  <c r="U204"/>
  <c r="V204"/>
  <c r="X204"/>
  <c r="Y204"/>
  <c r="Z204"/>
  <c r="O205"/>
  <c r="P205"/>
  <c r="Q205"/>
  <c r="R205"/>
  <c r="S205"/>
  <c r="U205"/>
  <c r="V205"/>
  <c r="W205"/>
  <c r="X205"/>
  <c r="Y205"/>
  <c r="Z205"/>
  <c r="O206"/>
  <c r="P206"/>
  <c r="Q206"/>
  <c r="R206"/>
  <c r="S206"/>
  <c r="U206"/>
  <c r="V206"/>
  <c r="W206"/>
  <c r="X206"/>
  <c r="Y206"/>
  <c r="Z206"/>
  <c r="O207"/>
  <c r="P207"/>
  <c r="Q207"/>
  <c r="R207"/>
  <c r="S207"/>
  <c r="U207"/>
  <c r="V207"/>
  <c r="W207"/>
  <c r="X207"/>
  <c r="Y207"/>
  <c r="Z207"/>
  <c r="O208"/>
  <c r="P208"/>
  <c r="Q208"/>
  <c r="R208"/>
  <c r="S208"/>
  <c r="U208"/>
  <c r="V208"/>
  <c r="W208"/>
  <c r="X208"/>
  <c r="Y208"/>
  <c r="Z208"/>
  <c r="O209"/>
  <c r="P209"/>
  <c r="Q209"/>
  <c r="R209"/>
  <c r="S209"/>
  <c r="U209"/>
  <c r="V209"/>
  <c r="W209"/>
  <c r="X209"/>
  <c r="Y209"/>
  <c r="Z209"/>
  <c r="O210"/>
  <c r="P210"/>
  <c r="Q210"/>
  <c r="R210"/>
  <c r="S210"/>
  <c r="U210"/>
  <c r="V210"/>
  <c r="W210"/>
  <c r="X210"/>
  <c r="Y210"/>
  <c r="Z210"/>
  <c r="O211"/>
  <c r="P211"/>
  <c r="Q211"/>
  <c r="R211"/>
  <c r="S211"/>
  <c r="U211"/>
  <c r="V211"/>
  <c r="W211"/>
  <c r="X211"/>
  <c r="Y211"/>
  <c r="Z211"/>
  <c r="O212"/>
  <c r="P212"/>
  <c r="Q212"/>
  <c r="R212"/>
  <c r="S212"/>
  <c r="U212"/>
  <c r="V212"/>
  <c r="W212"/>
  <c r="X212"/>
  <c r="Y212"/>
  <c r="Z212"/>
  <c r="O213"/>
  <c r="P213"/>
  <c r="Q213"/>
  <c r="R213"/>
  <c r="S213"/>
  <c r="U213"/>
  <c r="V213"/>
  <c r="W213"/>
  <c r="X213"/>
  <c r="Y213"/>
  <c r="Z213"/>
  <c r="O214"/>
  <c r="P214"/>
  <c r="Q214"/>
  <c r="R214"/>
  <c r="S214"/>
  <c r="U214"/>
  <c r="V214"/>
  <c r="W214"/>
  <c r="X214"/>
  <c r="Y214"/>
  <c r="Z214"/>
  <c r="O215"/>
  <c r="P215"/>
  <c r="Q215"/>
  <c r="R215"/>
  <c r="S215"/>
  <c r="U215"/>
  <c r="V215"/>
  <c r="W215"/>
  <c r="X215"/>
  <c r="Y215"/>
  <c r="Z215"/>
  <c r="P216"/>
  <c r="Q216"/>
  <c r="R216"/>
  <c r="S216"/>
  <c r="T216"/>
  <c r="U216"/>
  <c r="V216"/>
  <c r="W216"/>
  <c r="X216"/>
  <c r="Y216"/>
  <c r="Z216"/>
  <c r="P217"/>
  <c r="Q217"/>
  <c r="R217"/>
  <c r="S217"/>
  <c r="T217"/>
  <c r="U217"/>
  <c r="V217"/>
  <c r="W217"/>
  <c r="X217"/>
  <c r="Y217"/>
  <c r="Z217"/>
  <c r="P218"/>
  <c r="Q218"/>
  <c r="R218"/>
  <c r="S218"/>
  <c r="T218"/>
  <c r="U218"/>
  <c r="V218"/>
  <c r="W218"/>
  <c r="X218"/>
  <c r="Y218"/>
  <c r="Z218"/>
  <c r="P219"/>
  <c r="Q219"/>
  <c r="R219"/>
  <c r="S219"/>
  <c r="T219"/>
  <c r="U219"/>
  <c r="V219"/>
  <c r="W219"/>
  <c r="X219"/>
  <c r="Y219"/>
  <c r="Z219"/>
  <c r="P220"/>
  <c r="Q220"/>
  <c r="R220"/>
  <c r="S220"/>
  <c r="T220"/>
  <c r="U220"/>
  <c r="V220"/>
  <c r="W220"/>
  <c r="X220"/>
  <c r="Y220"/>
  <c r="Z220"/>
  <c r="P221"/>
  <c r="R221"/>
  <c r="V221"/>
  <c r="X221"/>
  <c r="Y221"/>
  <c r="Z221"/>
  <c r="P222"/>
  <c r="R222"/>
  <c r="V222"/>
  <c r="X222"/>
  <c r="Y222"/>
  <c r="Z222"/>
  <c r="P223"/>
  <c r="R223"/>
  <c r="V223"/>
  <c r="X223"/>
  <c r="Y223"/>
  <c r="Z223"/>
  <c r="P224"/>
  <c r="R224"/>
  <c r="V224"/>
  <c r="X224"/>
  <c r="AA224" s="1"/>
  <c r="AC224" s="1"/>
  <c r="AK224" s="1"/>
  <c r="Y224"/>
  <c r="Z224"/>
  <c r="P225"/>
  <c r="R225"/>
  <c r="V225"/>
  <c r="X225"/>
  <c r="Y225"/>
  <c r="Z225"/>
  <c r="P226"/>
  <c r="R226"/>
  <c r="V226"/>
  <c r="X226"/>
  <c r="Y226"/>
  <c r="Z226"/>
  <c r="P227"/>
  <c r="R227"/>
  <c r="V227"/>
  <c r="X227"/>
  <c r="Y227"/>
  <c r="Z227"/>
  <c r="P228"/>
  <c r="R228"/>
  <c r="V228"/>
  <c r="AA228" s="1"/>
  <c r="AC228" s="1"/>
  <c r="AK228" s="1"/>
  <c r="X228"/>
  <c r="Y228"/>
  <c r="Z228"/>
  <c r="P229"/>
  <c r="AA229" s="1"/>
  <c r="AC229" s="1"/>
  <c r="AK229" s="1"/>
  <c r="R229"/>
  <c r="V229"/>
  <c r="X229"/>
  <c r="Y229"/>
  <c r="Z229"/>
  <c r="P230"/>
  <c r="R230"/>
  <c r="V230"/>
  <c r="X230"/>
  <c r="Y230"/>
  <c r="Z230"/>
  <c r="P231"/>
  <c r="R231"/>
  <c r="V231"/>
  <c r="X231"/>
  <c r="AA231" s="1"/>
  <c r="AC231" s="1"/>
  <c r="AK231" s="1"/>
  <c r="Y231"/>
  <c r="Z231"/>
  <c r="P232"/>
  <c r="R232"/>
  <c r="V232"/>
  <c r="X232"/>
  <c r="Y232"/>
  <c r="AA232" s="1"/>
  <c r="AC232" s="1"/>
  <c r="AK232" s="1"/>
  <c r="Z232"/>
  <c r="P233"/>
  <c r="R233"/>
  <c r="AA233" s="1"/>
  <c r="AC233" s="1"/>
  <c r="AK233" s="1"/>
  <c r="V233"/>
  <c r="X233"/>
  <c r="Y233"/>
  <c r="Z233"/>
  <c r="P234"/>
  <c r="R234"/>
  <c r="V234"/>
  <c r="X234"/>
  <c r="Y234"/>
  <c r="Z234"/>
  <c r="P235"/>
  <c r="R235"/>
  <c r="V235"/>
  <c r="X235"/>
  <c r="Y235"/>
  <c r="Z235"/>
  <c r="P236"/>
  <c r="R236"/>
  <c r="V236"/>
  <c r="X236"/>
  <c r="Y236"/>
  <c r="Z236"/>
  <c r="P237"/>
  <c r="AA237" s="1"/>
  <c r="AC237" s="1"/>
  <c r="AK237" s="1"/>
  <c r="R237"/>
  <c r="V237"/>
  <c r="X237"/>
  <c r="Y237"/>
  <c r="Z237"/>
  <c r="P238"/>
  <c r="R238"/>
  <c r="V238"/>
  <c r="X238"/>
  <c r="Y238"/>
  <c r="Z238"/>
  <c r="P239"/>
  <c r="R239"/>
  <c r="V239"/>
  <c r="X239"/>
  <c r="Y239"/>
  <c r="Z239"/>
  <c r="P240"/>
  <c r="R240"/>
  <c r="V240"/>
  <c r="AA240" s="1"/>
  <c r="AC240" s="1"/>
  <c r="AK240" s="1"/>
  <c r="X240"/>
  <c r="Y240"/>
  <c r="Z240"/>
  <c r="P241"/>
  <c r="R241"/>
  <c r="V241"/>
  <c r="X241"/>
  <c r="Y241"/>
  <c r="Z241"/>
  <c r="P242"/>
  <c r="R242"/>
  <c r="V242"/>
  <c r="AA242" s="1"/>
  <c r="AC242" s="1"/>
  <c r="AK242" s="1"/>
  <c r="X242"/>
  <c r="Y242"/>
  <c r="Z242"/>
  <c r="P243"/>
  <c r="R243"/>
  <c r="V243"/>
  <c r="X243"/>
  <c r="Y243"/>
  <c r="Z243"/>
  <c r="P244"/>
  <c r="R244"/>
  <c r="V244"/>
  <c r="X244"/>
  <c r="Y244"/>
  <c r="Z244"/>
  <c r="P245"/>
  <c r="R245"/>
  <c r="V245"/>
  <c r="X245"/>
  <c r="Y245"/>
  <c r="Z245"/>
  <c r="P246"/>
  <c r="R246"/>
  <c r="V246"/>
  <c r="X246"/>
  <c r="Y246"/>
  <c r="Z246"/>
  <c r="P247"/>
  <c r="R247"/>
  <c r="V247"/>
  <c r="X247"/>
  <c r="AA247"/>
  <c r="AC247" s="1"/>
  <c r="AK247" s="1"/>
  <c r="Y247"/>
  <c r="Z247"/>
  <c r="P248"/>
  <c r="R248"/>
  <c r="V248"/>
  <c r="X248"/>
  <c r="Y248"/>
  <c r="AA248" s="1"/>
  <c r="AC248" s="1"/>
  <c r="AK248" s="1"/>
  <c r="Z248"/>
  <c r="P249"/>
  <c r="Q249"/>
  <c r="R249"/>
  <c r="S249"/>
  <c r="T249"/>
  <c r="U249"/>
  <c r="V249"/>
  <c r="W249"/>
  <c r="X249"/>
  <c r="Y249"/>
  <c r="Z249"/>
  <c r="P250"/>
  <c r="Q250"/>
  <c r="R250"/>
  <c r="S250"/>
  <c r="T250"/>
  <c r="U250"/>
  <c r="V250"/>
  <c r="W250"/>
  <c r="X250"/>
  <c r="Y250"/>
  <c r="Z250"/>
  <c r="P251"/>
  <c r="Q251"/>
  <c r="R251"/>
  <c r="S251"/>
  <c r="T251"/>
  <c r="U251"/>
  <c r="V251"/>
  <c r="W251"/>
  <c r="X251"/>
  <c r="Y251"/>
  <c r="Z251"/>
  <c r="P252"/>
  <c r="AA252" s="1"/>
  <c r="AC252" s="1"/>
  <c r="Q252"/>
  <c r="R252"/>
  <c r="S252"/>
  <c r="T252"/>
  <c r="U252"/>
  <c r="V252"/>
  <c r="W252"/>
  <c r="X252"/>
  <c r="Y252"/>
  <c r="Z252"/>
  <c r="P253"/>
  <c r="Q253"/>
  <c r="R253"/>
  <c r="S253"/>
  <c r="T253"/>
  <c r="U253"/>
  <c r="V253"/>
  <c r="W253"/>
  <c r="X253"/>
  <c r="Y253"/>
  <c r="Z253"/>
  <c r="AB253"/>
  <c r="P254"/>
  <c r="AA254" s="1"/>
  <c r="AC254" s="1"/>
  <c r="AK254" s="1"/>
  <c r="Q254"/>
  <c r="R254"/>
  <c r="S254"/>
  <c r="T254"/>
  <c r="U254"/>
  <c r="V254"/>
  <c r="W254"/>
  <c r="X254"/>
  <c r="Y254"/>
  <c r="Z254"/>
  <c r="AB254"/>
  <c r="O255"/>
  <c r="P255"/>
  <c r="Q255"/>
  <c r="R255"/>
  <c r="S255"/>
  <c r="T255"/>
  <c r="U255"/>
  <c r="V255"/>
  <c r="W255"/>
  <c r="X255"/>
  <c r="Y255"/>
  <c r="Z255"/>
  <c r="P256"/>
  <c r="Q256"/>
  <c r="R256"/>
  <c r="S256"/>
  <c r="T256"/>
  <c r="U256"/>
  <c r="V256"/>
  <c r="W256"/>
  <c r="X256"/>
  <c r="Y256"/>
  <c r="Z256"/>
  <c r="P257"/>
  <c r="Q257"/>
  <c r="R257"/>
  <c r="S257"/>
  <c r="T257"/>
  <c r="U257"/>
  <c r="V257"/>
  <c r="W257"/>
  <c r="X257"/>
  <c r="Y257"/>
  <c r="Z257"/>
  <c r="P259"/>
  <c r="Q259"/>
  <c r="R259"/>
  <c r="S259"/>
  <c r="T259"/>
  <c r="U259"/>
  <c r="V259"/>
  <c r="W259"/>
  <c r="X259"/>
  <c r="Y259"/>
  <c r="Z259"/>
  <c r="P260"/>
  <c r="Q260"/>
  <c r="R260"/>
  <c r="S260"/>
  <c r="T260"/>
  <c r="U260"/>
  <c r="V260"/>
  <c r="W260"/>
  <c r="X260"/>
  <c r="Y260"/>
  <c r="Z260"/>
  <c r="P261"/>
  <c r="Q261"/>
  <c r="R261"/>
  <c r="S261"/>
  <c r="T261"/>
  <c r="U261"/>
  <c r="V261"/>
  <c r="W261"/>
  <c r="X261"/>
  <c r="Y261"/>
  <c r="Z261"/>
  <c r="P262"/>
  <c r="Q262"/>
  <c r="R262"/>
  <c r="S262"/>
  <c r="T262"/>
  <c r="U262"/>
  <c r="V262"/>
  <c r="W262"/>
  <c r="X262"/>
  <c r="Y262"/>
  <c r="Z262"/>
  <c r="P263"/>
  <c r="Q263"/>
  <c r="R263"/>
  <c r="S263"/>
  <c r="T263"/>
  <c r="U263"/>
  <c r="V263"/>
  <c r="W263"/>
  <c r="X263"/>
  <c r="Y263"/>
  <c r="Z263"/>
  <c r="P264"/>
  <c r="AA264" s="1"/>
  <c r="AC264" s="1"/>
  <c r="AK264" s="1"/>
  <c r="Q264"/>
  <c r="R264"/>
  <c r="S264"/>
  <c r="T264"/>
  <c r="U264"/>
  <c r="V264"/>
  <c r="W264"/>
  <c r="X264"/>
  <c r="Y264"/>
  <c r="Z264"/>
  <c r="P265"/>
  <c r="Q265"/>
  <c r="R265"/>
  <c r="S265"/>
  <c r="T265"/>
  <c r="U265"/>
  <c r="V265"/>
  <c r="W265"/>
  <c r="X265"/>
  <c r="Y265"/>
  <c r="Z265"/>
  <c r="P266"/>
  <c r="Q266"/>
  <c r="R266"/>
  <c r="S266"/>
  <c r="T266"/>
  <c r="U266"/>
  <c r="V266"/>
  <c r="W266"/>
  <c r="X266"/>
  <c r="Y266"/>
  <c r="Z266"/>
  <c r="P267"/>
  <c r="Q267"/>
  <c r="R267"/>
  <c r="S267"/>
  <c r="T267"/>
  <c r="U267"/>
  <c r="V267"/>
  <c r="W267"/>
  <c r="X267"/>
  <c r="Y267"/>
  <c r="Z267"/>
  <c r="P268"/>
  <c r="Q268"/>
  <c r="R268"/>
  <c r="S268"/>
  <c r="T268"/>
  <c r="U268"/>
  <c r="V268"/>
  <c r="W268"/>
  <c r="X268"/>
  <c r="Y268"/>
  <c r="AA268"/>
  <c r="AC268" s="1"/>
  <c r="AK268" s="1"/>
  <c r="Z268"/>
  <c r="P269"/>
  <c r="Q269"/>
  <c r="R269"/>
  <c r="S269"/>
  <c r="T269"/>
  <c r="U269"/>
  <c r="V269"/>
  <c r="W269"/>
  <c r="X269"/>
  <c r="Y269"/>
  <c r="Z269"/>
  <c r="P270"/>
  <c r="Q270"/>
  <c r="R270"/>
  <c r="S270"/>
  <c r="T270"/>
  <c r="U270"/>
  <c r="V270"/>
  <c r="W270"/>
  <c r="X270"/>
  <c r="Y270"/>
  <c r="Z270"/>
  <c r="P272"/>
  <c r="Q272"/>
  <c r="R272"/>
  <c r="S272"/>
  <c r="T272"/>
  <c r="U272"/>
  <c r="V272"/>
  <c r="W272"/>
  <c r="X272"/>
  <c r="Y272"/>
  <c r="Z272"/>
  <c r="P273"/>
  <c r="Q273"/>
  <c r="R273"/>
  <c r="S273"/>
  <c r="T273"/>
  <c r="U273"/>
  <c r="V273"/>
  <c r="W273"/>
  <c r="X273"/>
  <c r="Y273"/>
  <c r="Z273"/>
  <c r="AB273"/>
  <c r="P274"/>
  <c r="Q274"/>
  <c r="R274"/>
  <c r="S274"/>
  <c r="T274"/>
  <c r="U274"/>
  <c r="V274"/>
  <c r="W274"/>
  <c r="X274"/>
  <c r="Y274"/>
  <c r="Z274"/>
  <c r="P275"/>
  <c r="Q275"/>
  <c r="R275"/>
  <c r="S275"/>
  <c r="T275"/>
  <c r="U275"/>
  <c r="V275"/>
  <c r="W275"/>
  <c r="X275"/>
  <c r="Y275"/>
  <c r="Z275"/>
  <c r="P276"/>
  <c r="Q276"/>
  <c r="R276"/>
  <c r="S276"/>
  <c r="T276"/>
  <c r="V276"/>
  <c r="W276"/>
  <c r="X276"/>
  <c r="Y276"/>
  <c r="Z276"/>
  <c r="P277"/>
  <c r="Q277"/>
  <c r="R277"/>
  <c r="S277"/>
  <c r="T277"/>
  <c r="V277"/>
  <c r="W277"/>
  <c r="X277"/>
  <c r="Y277"/>
  <c r="Z277"/>
  <c r="O278"/>
  <c r="P278"/>
  <c r="Q278"/>
  <c r="S278"/>
  <c r="T278"/>
  <c r="U278"/>
  <c r="V278"/>
  <c r="W278"/>
  <c r="X278"/>
  <c r="Y278"/>
  <c r="Z278"/>
  <c r="O279"/>
  <c r="P279"/>
  <c r="Q279"/>
  <c r="S279"/>
  <c r="T279"/>
  <c r="U279"/>
  <c r="V279"/>
  <c r="W279"/>
  <c r="X279"/>
  <c r="Y279"/>
  <c r="Z279"/>
  <c r="O280"/>
  <c r="P280"/>
  <c r="Q280"/>
  <c r="S280"/>
  <c r="T280"/>
  <c r="U280"/>
  <c r="V280"/>
  <c r="W280"/>
  <c r="X280"/>
  <c r="Y280"/>
  <c r="Z280"/>
  <c r="O281"/>
  <c r="P281"/>
  <c r="Q281"/>
  <c r="S281"/>
  <c r="T281"/>
  <c r="U281"/>
  <c r="V281"/>
  <c r="W281"/>
  <c r="X281"/>
  <c r="Y281"/>
  <c r="Z281"/>
  <c r="O282"/>
  <c r="P282"/>
  <c r="Q282"/>
  <c r="S282"/>
  <c r="T282"/>
  <c r="U282"/>
  <c r="V282"/>
  <c r="W282"/>
  <c r="X282"/>
  <c r="Y282"/>
  <c r="Z282"/>
  <c r="O283"/>
  <c r="P283"/>
  <c r="Q283"/>
  <c r="S283"/>
  <c r="T283"/>
  <c r="U283"/>
  <c r="V283"/>
  <c r="W283"/>
  <c r="X283"/>
  <c r="Y283"/>
  <c r="Z283"/>
  <c r="O284"/>
  <c r="P284"/>
  <c r="Q284"/>
  <c r="S284"/>
  <c r="T284"/>
  <c r="U284"/>
  <c r="V284"/>
  <c r="W284"/>
  <c r="X284"/>
  <c r="Y284"/>
  <c r="Z284"/>
  <c r="O285"/>
  <c r="P285"/>
  <c r="Q285"/>
  <c r="S285"/>
  <c r="T285"/>
  <c r="U285"/>
  <c r="V285"/>
  <c r="W285"/>
  <c r="X285"/>
  <c r="Y285"/>
  <c r="Z285"/>
  <c r="O286"/>
  <c r="P286"/>
  <c r="Q286"/>
  <c r="S286"/>
  <c r="T286"/>
  <c r="U286"/>
  <c r="V286"/>
  <c r="W286"/>
  <c r="X286"/>
  <c r="Y286"/>
  <c r="Z286"/>
  <c r="O287"/>
  <c r="P287"/>
  <c r="Q287"/>
  <c r="S287"/>
  <c r="T287"/>
  <c r="U287"/>
  <c r="V287"/>
  <c r="W287"/>
  <c r="X287"/>
  <c r="Y287"/>
  <c r="Z287"/>
  <c r="O288"/>
  <c r="P288"/>
  <c r="Q288"/>
  <c r="S288"/>
  <c r="T288"/>
  <c r="U288"/>
  <c r="V288"/>
  <c r="W288"/>
  <c r="X288"/>
  <c r="Y288"/>
  <c r="Z288"/>
  <c r="O289"/>
  <c r="P289"/>
  <c r="Q289"/>
  <c r="S289"/>
  <c r="T289"/>
  <c r="U289"/>
  <c r="V289"/>
  <c r="W289"/>
  <c r="X289"/>
  <c r="Y289"/>
  <c r="Z289"/>
  <c r="O290"/>
  <c r="P290"/>
  <c r="Q290"/>
  <c r="S290"/>
  <c r="T290"/>
  <c r="U290"/>
  <c r="V290"/>
  <c r="W290"/>
  <c r="X290"/>
  <c r="Y290"/>
  <c r="Z290"/>
  <c r="O291"/>
  <c r="P291"/>
  <c r="Q291"/>
  <c r="S291"/>
  <c r="T291"/>
  <c r="U291"/>
  <c r="V291"/>
  <c r="W291"/>
  <c r="X291"/>
  <c r="Y291"/>
  <c r="Z291"/>
  <c r="O292"/>
  <c r="P292"/>
  <c r="Q292"/>
  <c r="S292"/>
  <c r="T292"/>
  <c r="U292"/>
  <c r="V292"/>
  <c r="W292"/>
  <c r="X292"/>
  <c r="Y292"/>
  <c r="Z292"/>
  <c r="O293"/>
  <c r="P293"/>
  <c r="Q293"/>
  <c r="S293"/>
  <c r="T293"/>
  <c r="U293"/>
  <c r="V293"/>
  <c r="W293"/>
  <c r="X293"/>
  <c r="Y293"/>
  <c r="Z293"/>
  <c r="O294"/>
  <c r="P294"/>
  <c r="Q294"/>
  <c r="S294"/>
  <c r="T294"/>
  <c r="U294"/>
  <c r="V294"/>
  <c r="W294"/>
  <c r="X294"/>
  <c r="Y294"/>
  <c r="Z294"/>
  <c r="O295"/>
  <c r="P295"/>
  <c r="Q295"/>
  <c r="S295"/>
  <c r="T295"/>
  <c r="U295"/>
  <c r="V295"/>
  <c r="W295"/>
  <c r="X295"/>
  <c r="Y295"/>
  <c r="Z295"/>
  <c r="O296"/>
  <c r="P296"/>
  <c r="Q296"/>
  <c r="S296"/>
  <c r="T296"/>
  <c r="U296"/>
  <c r="V296"/>
  <c r="W296"/>
  <c r="X296"/>
  <c r="Y296"/>
  <c r="Z296"/>
  <c r="O297"/>
  <c r="P297"/>
  <c r="Q297"/>
  <c r="S297"/>
  <c r="T297"/>
  <c r="U297"/>
  <c r="V297"/>
  <c r="W297"/>
  <c r="X297"/>
  <c r="Y297"/>
  <c r="Z297"/>
  <c r="O298"/>
  <c r="P298"/>
  <c r="Q298"/>
  <c r="S298"/>
  <c r="T298"/>
  <c r="U298"/>
  <c r="V298"/>
  <c r="W298"/>
  <c r="X298"/>
  <c r="Y298"/>
  <c r="Z298"/>
  <c r="O299"/>
  <c r="P299"/>
  <c r="Q299"/>
  <c r="S299"/>
  <c r="T299"/>
  <c r="U299"/>
  <c r="V299"/>
  <c r="W299"/>
  <c r="X299"/>
  <c r="Y299"/>
  <c r="Z299"/>
  <c r="O300"/>
  <c r="P300"/>
  <c r="Q300"/>
  <c r="S300"/>
  <c r="T300"/>
  <c r="U300"/>
  <c r="V300"/>
  <c r="W300"/>
  <c r="X300"/>
  <c r="AA300" s="1"/>
  <c r="AC300" s="1"/>
  <c r="AK300" s="1"/>
  <c r="Y300"/>
  <c r="Z300"/>
  <c r="O301"/>
  <c r="P301"/>
  <c r="Q301"/>
  <c r="S301"/>
  <c r="T301"/>
  <c r="U301"/>
  <c r="V301"/>
  <c r="W301"/>
  <c r="X301"/>
  <c r="Y301"/>
  <c r="Z301"/>
  <c r="O302"/>
  <c r="P302"/>
  <c r="Q302"/>
  <c r="S302"/>
  <c r="T302"/>
  <c r="U302"/>
  <c r="V302"/>
  <c r="W302"/>
  <c r="X302"/>
  <c r="Y302"/>
  <c r="Z302"/>
  <c r="O303"/>
  <c r="P303"/>
  <c r="Q303"/>
  <c r="S303"/>
  <c r="T303"/>
  <c r="U303"/>
  <c r="V303"/>
  <c r="W303"/>
  <c r="X303"/>
  <c r="Y303"/>
  <c r="Z303"/>
  <c r="O304"/>
  <c r="P304"/>
  <c r="Q304"/>
  <c r="S304"/>
  <c r="T304"/>
  <c r="U304"/>
  <c r="V304"/>
  <c r="W304"/>
  <c r="AA304" s="1"/>
  <c r="AC304" s="1"/>
  <c r="AK304" s="1"/>
  <c r="X304"/>
  <c r="Y304"/>
  <c r="Z304"/>
  <c r="O305"/>
  <c r="P305"/>
  <c r="Q305"/>
  <c r="S305"/>
  <c r="T305"/>
  <c r="U305"/>
  <c r="V305"/>
  <c r="W305"/>
  <c r="X305"/>
  <c r="Y305"/>
  <c r="Z305"/>
  <c r="O306"/>
  <c r="P306"/>
  <c r="Q306"/>
  <c r="S306"/>
  <c r="T306"/>
  <c r="U306"/>
  <c r="V306"/>
  <c r="W306"/>
  <c r="X306"/>
  <c r="Y306"/>
  <c r="Z306"/>
  <c r="O307"/>
  <c r="P307"/>
  <c r="Q307"/>
  <c r="S307"/>
  <c r="T307"/>
  <c r="U307"/>
  <c r="V307"/>
  <c r="W307"/>
  <c r="X307"/>
  <c r="Y307"/>
  <c r="Z307"/>
  <c r="O308"/>
  <c r="P308"/>
  <c r="Q308"/>
  <c r="R308"/>
  <c r="S308"/>
  <c r="U308"/>
  <c r="V308"/>
  <c r="W308"/>
  <c r="X308"/>
  <c r="Y308"/>
  <c r="Z308"/>
  <c r="O309"/>
  <c r="P309"/>
  <c r="Q309"/>
  <c r="R309"/>
  <c r="S309"/>
  <c r="U309"/>
  <c r="V309"/>
  <c r="W309"/>
  <c r="X309"/>
  <c r="Y309"/>
  <c r="Z309"/>
  <c r="O310"/>
  <c r="P310"/>
  <c r="Q310"/>
  <c r="R310"/>
  <c r="S310"/>
  <c r="U310"/>
  <c r="V310"/>
  <c r="W310"/>
  <c r="X310"/>
  <c r="Y310"/>
  <c r="Z310"/>
  <c r="O311"/>
  <c r="P311"/>
  <c r="Q311"/>
  <c r="R311"/>
  <c r="S311"/>
  <c r="U311"/>
  <c r="V311"/>
  <c r="W311"/>
  <c r="X311"/>
  <c r="Y311"/>
  <c r="Z311"/>
  <c r="O312"/>
  <c r="P312"/>
  <c r="Q312"/>
  <c r="R312"/>
  <c r="S312"/>
  <c r="U312"/>
  <c r="V312"/>
  <c r="W312"/>
  <c r="X312"/>
  <c r="Y312"/>
  <c r="Z312"/>
  <c r="O313"/>
  <c r="AA313" s="1"/>
  <c r="AC313" s="1"/>
  <c r="AK313" s="1"/>
  <c r="P313"/>
  <c r="Q313"/>
  <c r="R313"/>
  <c r="S313"/>
  <c r="U313"/>
  <c r="V313"/>
  <c r="W313"/>
  <c r="X313"/>
  <c r="Y313"/>
  <c r="Z313"/>
  <c r="O314"/>
  <c r="P314"/>
  <c r="Q314"/>
  <c r="R314"/>
  <c r="S314"/>
  <c r="U314"/>
  <c r="V314"/>
  <c r="W314"/>
  <c r="X314"/>
  <c r="Y314"/>
  <c r="Z314"/>
  <c r="O315"/>
  <c r="P315"/>
  <c r="Q315"/>
  <c r="R315"/>
  <c r="S315"/>
  <c r="U315"/>
  <c r="V315"/>
  <c r="W315"/>
  <c r="X315"/>
  <c r="Y315"/>
  <c r="Z315"/>
  <c r="O316"/>
  <c r="P316"/>
  <c r="Q316"/>
  <c r="R316"/>
  <c r="S316"/>
  <c r="U316"/>
  <c r="V316"/>
  <c r="W316"/>
  <c r="X316"/>
  <c r="Y316"/>
  <c r="Z316"/>
  <c r="O317"/>
  <c r="P317"/>
  <c r="Q317"/>
  <c r="R317"/>
  <c r="S317"/>
  <c r="U317"/>
  <c r="V317"/>
  <c r="W317"/>
  <c r="X317"/>
  <c r="Y317"/>
  <c r="Z317"/>
  <c r="O318"/>
  <c r="P318"/>
  <c r="Q318"/>
  <c r="R318"/>
  <c r="S318"/>
  <c r="U318"/>
  <c r="V318"/>
  <c r="W318"/>
  <c r="X318"/>
  <c r="Y318"/>
  <c r="Z318"/>
  <c r="O319"/>
  <c r="P319"/>
  <c r="Q319"/>
  <c r="R319"/>
  <c r="S319"/>
  <c r="U319"/>
  <c r="V319"/>
  <c r="W319"/>
  <c r="X319"/>
  <c r="Y319"/>
  <c r="Z319"/>
  <c r="O320"/>
  <c r="P320"/>
  <c r="Q320"/>
  <c r="R320"/>
  <c r="S320"/>
  <c r="U320"/>
  <c r="V320"/>
  <c r="W320"/>
  <c r="X320"/>
  <c r="Y320"/>
  <c r="Z320"/>
  <c r="O321"/>
  <c r="P321"/>
  <c r="Q321"/>
  <c r="R321"/>
  <c r="S321"/>
  <c r="U321"/>
  <c r="V321"/>
  <c r="W321"/>
  <c r="X321"/>
  <c r="Y321"/>
  <c r="Z321"/>
  <c r="O322"/>
  <c r="P322"/>
  <c r="Q322"/>
  <c r="R322"/>
  <c r="S322"/>
  <c r="U322"/>
  <c r="V322"/>
  <c r="W322"/>
  <c r="X322"/>
  <c r="Y322"/>
  <c r="Z322"/>
  <c r="O323"/>
  <c r="P323"/>
  <c r="Q323"/>
  <c r="R323"/>
  <c r="S323"/>
  <c r="U323"/>
  <c r="V323"/>
  <c r="W323"/>
  <c r="X323"/>
  <c r="Y323"/>
  <c r="Z323"/>
  <c r="O324"/>
  <c r="P324"/>
  <c r="Q324"/>
  <c r="R324"/>
  <c r="S324"/>
  <c r="U324"/>
  <c r="V324"/>
  <c r="W324"/>
  <c r="X324"/>
  <c r="Y324"/>
  <c r="Z324"/>
  <c r="O325"/>
  <c r="V325"/>
  <c r="X325"/>
  <c r="Y325"/>
  <c r="Z325"/>
  <c r="V326"/>
  <c r="X326"/>
  <c r="Y326"/>
  <c r="Z326"/>
  <c r="V327"/>
  <c r="X327"/>
  <c r="AA327" s="1"/>
  <c r="AC327" s="1"/>
  <c r="AK327" s="1"/>
  <c r="Y327"/>
  <c r="Z327"/>
  <c r="V328"/>
  <c r="X328"/>
  <c r="Y328"/>
  <c r="Z328"/>
  <c r="V329"/>
  <c r="X329"/>
  <c r="Y329"/>
  <c r="Z329"/>
  <c r="V330"/>
  <c r="X330"/>
  <c r="Y330"/>
  <c r="Z330"/>
  <c r="V331"/>
  <c r="X331"/>
  <c r="Y331"/>
  <c r="Z331"/>
  <c r="V332"/>
  <c r="X332"/>
  <c r="AA332" s="1"/>
  <c r="AC332" s="1"/>
  <c r="AK332" s="1"/>
  <c r="Y332"/>
  <c r="Z332"/>
  <c r="V333"/>
  <c r="X333"/>
  <c r="AA333" s="1"/>
  <c r="AC333" s="1"/>
  <c r="AK333" s="1"/>
  <c r="Y333"/>
  <c r="Z333"/>
  <c r="V334"/>
  <c r="X334"/>
  <c r="AA334" s="1"/>
  <c r="AC334" s="1"/>
  <c r="AK334" s="1"/>
  <c r="Y334"/>
  <c r="Z334"/>
  <c r="V335"/>
  <c r="X335"/>
  <c r="Y335"/>
  <c r="Z335"/>
  <c r="V336"/>
  <c r="X336"/>
  <c r="Y336"/>
  <c r="Z336"/>
  <c r="V337"/>
  <c r="X337"/>
  <c r="Y337"/>
  <c r="Z337"/>
  <c r="V338"/>
  <c r="X338"/>
  <c r="Y338"/>
  <c r="Z338"/>
  <c r="V339"/>
  <c r="X339"/>
  <c r="Y339"/>
  <c r="Z339"/>
  <c r="V340"/>
  <c r="X340"/>
  <c r="Y340"/>
  <c r="Z340"/>
  <c r="V341"/>
  <c r="X341"/>
  <c r="Y341"/>
  <c r="Z341"/>
  <c r="V342"/>
  <c r="X342"/>
  <c r="Y342"/>
  <c r="Z342"/>
  <c r="V343"/>
  <c r="X343"/>
  <c r="AA343" s="1"/>
  <c r="AC343" s="1"/>
  <c r="AK343" s="1"/>
  <c r="Y343"/>
  <c r="Z343"/>
  <c r="V344"/>
  <c r="X344"/>
  <c r="Y344"/>
  <c r="Z344"/>
  <c r="V345"/>
  <c r="X345"/>
  <c r="Y345"/>
  <c r="Z345"/>
  <c r="V346"/>
  <c r="X346"/>
  <c r="Y346"/>
  <c r="Z346"/>
  <c r="V347"/>
  <c r="X347"/>
  <c r="AA347" s="1"/>
  <c r="AC347" s="1"/>
  <c r="AK347" s="1"/>
  <c r="Y347"/>
  <c r="Z347"/>
  <c r="V348"/>
  <c r="X348"/>
  <c r="AA348" s="1"/>
  <c r="AC348" s="1"/>
  <c r="AK348" s="1"/>
  <c r="Y348"/>
  <c r="Z348"/>
  <c r="V349"/>
  <c r="X349"/>
  <c r="Y349"/>
  <c r="Z349"/>
  <c r="V350"/>
  <c r="X350"/>
  <c r="Y350"/>
  <c r="Z350"/>
  <c r="V351"/>
  <c r="X351"/>
  <c r="Y351"/>
  <c r="Z351"/>
  <c r="V352"/>
  <c r="X352"/>
  <c r="Y352"/>
  <c r="Z352"/>
  <c r="V536"/>
  <c r="X536"/>
  <c r="Y536"/>
  <c r="Z536"/>
  <c r="V353"/>
  <c r="X353"/>
  <c r="Y353"/>
  <c r="Z353"/>
  <c r="V354"/>
  <c r="X354"/>
  <c r="Y354"/>
  <c r="Z354"/>
  <c r="V355"/>
  <c r="X355"/>
  <c r="Y355"/>
  <c r="Z355"/>
  <c r="V356"/>
  <c r="X356"/>
  <c r="AA356" s="1"/>
  <c r="AC356" s="1"/>
  <c r="AK356" s="1"/>
  <c r="Y356"/>
  <c r="Z356"/>
  <c r="V357"/>
  <c r="X357"/>
  <c r="Y357"/>
  <c r="Z357"/>
  <c r="V358"/>
  <c r="X358"/>
  <c r="Y358"/>
  <c r="Z358"/>
  <c r="V359"/>
  <c r="X359"/>
  <c r="Y359"/>
  <c r="Z359"/>
  <c r="V360"/>
  <c r="X360"/>
  <c r="AA360" s="1"/>
  <c r="AC360" s="1"/>
  <c r="AK360" s="1"/>
  <c r="Y360"/>
  <c r="Z360"/>
  <c r="AA424"/>
  <c r="AC424" s="1"/>
  <c r="AK424" s="1"/>
  <c r="AA442"/>
  <c r="AC442" s="1"/>
  <c r="AK442" s="1"/>
  <c r="AA480"/>
  <c r="AC480" s="1"/>
  <c r="AK480" s="1"/>
  <c r="AA385"/>
  <c r="AC385" s="1"/>
  <c r="AK385" s="1"/>
  <c r="AA377"/>
  <c r="AC377" s="1"/>
  <c r="AK377" s="1"/>
  <c r="AA373"/>
  <c r="AC373" s="1"/>
  <c r="AK373" s="1"/>
  <c r="AA444"/>
  <c r="AC444" s="1"/>
  <c r="AK444" s="1"/>
  <c r="AA443"/>
  <c r="AC443" s="1"/>
  <c r="AK443" s="1"/>
  <c r="AA429"/>
  <c r="AC429" s="1"/>
  <c r="AK429" s="1"/>
  <c r="AA402"/>
  <c r="AC402" s="1"/>
  <c r="AK402" s="1"/>
  <c r="AA432"/>
  <c r="AC432" s="1"/>
  <c r="AK432" s="1"/>
  <c r="AA481"/>
  <c r="AC481" s="1"/>
  <c r="AK481" s="1"/>
  <c r="AA417"/>
  <c r="AC417" s="1"/>
  <c r="AK417" s="1"/>
  <c r="AA400"/>
  <c r="AC400" s="1"/>
  <c r="AK400" s="1"/>
  <c r="AA391"/>
  <c r="AC391" s="1"/>
  <c r="AK391" s="1"/>
  <c r="AA460"/>
  <c r="AC460" s="1"/>
  <c r="AK460" s="1"/>
  <c r="AA389"/>
  <c r="AC389" s="1"/>
  <c r="AK389" s="1"/>
  <c r="AA412"/>
  <c r="AC412" s="1"/>
  <c r="AK412" s="1"/>
  <c r="AA362"/>
  <c r="AC362" s="1"/>
  <c r="AK362" s="1"/>
  <c r="AA401"/>
  <c r="AC401" s="1"/>
  <c r="AK401" s="1"/>
  <c r="AA393"/>
  <c r="AC393" s="1"/>
  <c r="AK393" s="1"/>
  <c r="AA447"/>
  <c r="AC447" s="1"/>
  <c r="AK447" s="1"/>
  <c r="AA458"/>
  <c r="AC458" s="1"/>
  <c r="AK458" s="1"/>
  <c r="AA381"/>
  <c r="AC381" s="1"/>
  <c r="AK381" s="1"/>
  <c r="AA450"/>
  <c r="AC450" s="1"/>
  <c r="AK450" s="1"/>
  <c r="AA375"/>
  <c r="AC375" s="1"/>
  <c r="AK375" s="1"/>
  <c r="AA474"/>
  <c r="AC474" s="1"/>
  <c r="AK474" s="1"/>
  <c r="AA48"/>
  <c r="AC48" s="1"/>
  <c r="AK48" s="1"/>
  <c r="AA408"/>
  <c r="AC408" s="1"/>
  <c r="AK408" s="1"/>
  <c r="AA341"/>
  <c r="AC341" s="1"/>
  <c r="AK341" s="1"/>
  <c r="AA123"/>
  <c r="AC123" s="1"/>
  <c r="AK123" s="1"/>
  <c r="AA396"/>
  <c r="AC396" s="1"/>
  <c r="AK396" s="1"/>
  <c r="AA69"/>
  <c r="AC69" s="1"/>
  <c r="AK69" s="1"/>
  <c r="AA438"/>
  <c r="AC438" s="1"/>
  <c r="AK438" s="1"/>
  <c r="AA422"/>
  <c r="AC422" s="1"/>
  <c r="AK422" s="1"/>
  <c r="AA363"/>
  <c r="AC363" s="1"/>
  <c r="AK363" s="1"/>
  <c r="AA464"/>
  <c r="AC464" s="1"/>
  <c r="AK464" s="1"/>
  <c r="AA452"/>
  <c r="AC452" s="1"/>
  <c r="AK452" s="1"/>
  <c r="AA413"/>
  <c r="AC413" s="1"/>
  <c r="AK413" s="1"/>
  <c r="AA376"/>
  <c r="AC376" s="1"/>
  <c r="AK376" s="1"/>
  <c r="AA27"/>
  <c r="AC27" s="1"/>
  <c r="AK27" s="1"/>
  <c r="AA434"/>
  <c r="AC434" s="1"/>
  <c r="AK434" s="1"/>
  <c r="AA32"/>
  <c r="AC32" s="1"/>
  <c r="AK32" s="1"/>
  <c r="AA369"/>
  <c r="AC369" s="1"/>
  <c r="AK369" s="1"/>
  <c r="AA382"/>
  <c r="AC382" s="1"/>
  <c r="AK382" s="1"/>
  <c r="AA208"/>
  <c r="AC208" s="1"/>
  <c r="AK208" s="1"/>
  <c r="AA108"/>
  <c r="AC108" s="1"/>
  <c r="AK108" s="1"/>
  <c r="AA41"/>
  <c r="AC41" s="1"/>
  <c r="AK41" s="1"/>
  <c r="AA53"/>
  <c r="AC53" s="1"/>
  <c r="AK53" s="1"/>
  <c r="AA258"/>
  <c r="AC258" s="1"/>
  <c r="AK258" s="1"/>
  <c r="AA271"/>
  <c r="AC271" s="1"/>
  <c r="AK271" s="1"/>
  <c r="AA392"/>
  <c r="AC392" s="1"/>
  <c r="AK392" s="1"/>
  <c r="AA388"/>
  <c r="AC388" s="1"/>
  <c r="AK388" s="1"/>
  <c r="AA384"/>
  <c r="AC384" s="1"/>
  <c r="AK384" s="1"/>
  <c r="AA380"/>
  <c r="AC380" s="1"/>
  <c r="AK380" s="1"/>
  <c r="AA364"/>
  <c r="AC364" s="1"/>
  <c r="AK364" s="1"/>
  <c r="AA477"/>
  <c r="AC477" s="1"/>
  <c r="AK477" s="1"/>
  <c r="AA423"/>
  <c r="AC423" s="1"/>
  <c r="AK423" s="1"/>
  <c r="AA482"/>
  <c r="AC482" s="1"/>
  <c r="AK482" s="1"/>
  <c r="AA219"/>
  <c r="AC219" s="1"/>
  <c r="AK219" s="1"/>
  <c r="AA241"/>
  <c r="AC241" s="1"/>
  <c r="AK241" s="1"/>
  <c r="AA276"/>
  <c r="AC276" s="1"/>
  <c r="AK276" s="1"/>
  <c r="AA340"/>
  <c r="AC340" s="1"/>
  <c r="AK340" s="1"/>
  <c r="AA209"/>
  <c r="AC209" s="1"/>
  <c r="AK209" s="1"/>
  <c r="AA88"/>
  <c r="AC88" s="1"/>
  <c r="AK88" s="1"/>
  <c r="AA191"/>
  <c r="AC191" s="1"/>
  <c r="AK191" s="1"/>
  <c r="AA307"/>
  <c r="AC307" s="1"/>
  <c r="AK307" s="1"/>
  <c r="AA180"/>
  <c r="AC180" s="1"/>
  <c r="AK180" s="1"/>
  <c r="AA314"/>
  <c r="AC314" s="1"/>
  <c r="AK314" s="1"/>
  <c r="AA288"/>
  <c r="AC288" s="1"/>
  <c r="AK288" s="1"/>
  <c r="AA113"/>
  <c r="AC113" s="1"/>
  <c r="AK113" s="1"/>
  <c r="AA89"/>
  <c r="AC89" s="1"/>
  <c r="AK89" s="1"/>
  <c r="AA70"/>
  <c r="AC70" s="1"/>
  <c r="AK70" s="1"/>
  <c r="AA59"/>
  <c r="AC59" s="1"/>
  <c r="AK59" s="1"/>
  <c r="AA46"/>
  <c r="AC46" s="1"/>
  <c r="AK46" s="1"/>
  <c r="AA20"/>
  <c r="AC20" s="1"/>
  <c r="AK20" s="1"/>
  <c r="AA7"/>
  <c r="AC7" s="1"/>
  <c r="AK7" s="1"/>
  <c r="AA155"/>
  <c r="AC155" s="1"/>
  <c r="AK155" s="1"/>
  <c r="AA436"/>
  <c r="AC436" s="1"/>
  <c r="AK436" s="1"/>
  <c r="AA212"/>
  <c r="AC212" s="1"/>
  <c r="AK212" s="1"/>
  <c r="AA71"/>
  <c r="AC71" s="1"/>
  <c r="AK71" s="1"/>
  <c r="AA309"/>
  <c r="AC309" s="1"/>
  <c r="AK309" s="1"/>
  <c r="AA127"/>
  <c r="AC127" s="1"/>
  <c r="AK127" s="1"/>
  <c r="AA96"/>
  <c r="AC96" s="1"/>
  <c r="AK96" s="1"/>
  <c r="AA85"/>
  <c r="AC85" s="1"/>
  <c r="AK85" s="1"/>
  <c r="AA72"/>
  <c r="AC72" s="1"/>
  <c r="AK72" s="1"/>
  <c r="AA44"/>
  <c r="AC44" s="1"/>
  <c r="AK44" s="1"/>
  <c r="AA28"/>
  <c r="AC28" s="1"/>
  <c r="AK28" s="1"/>
  <c r="AA12"/>
  <c r="AC12" s="1"/>
  <c r="AK12" s="1"/>
  <c r="AA479"/>
  <c r="AC479" s="1"/>
  <c r="AK479" s="1"/>
  <c r="AA269"/>
  <c r="AC269" s="1"/>
  <c r="AK269" s="1"/>
  <c r="AA484"/>
  <c r="AC484" s="1"/>
  <c r="AK484" s="1"/>
  <c r="AA203"/>
  <c r="AC203" s="1"/>
  <c r="AK203" s="1"/>
  <c r="AA281"/>
  <c r="AC281" s="1"/>
  <c r="AK281" s="1"/>
  <c r="AA210"/>
  <c r="AC210" s="1"/>
  <c r="AK210" s="1"/>
  <c r="AA483"/>
  <c r="AC483" s="1"/>
  <c r="AK483" s="1"/>
  <c r="AA142"/>
  <c r="AC142" s="1"/>
  <c r="AK142" s="1"/>
  <c r="AA160"/>
  <c r="AC160" s="1"/>
  <c r="AK160" s="1"/>
  <c r="AA118"/>
  <c r="AC118" s="1"/>
  <c r="AK118" s="1"/>
  <c r="AA51"/>
  <c r="AC51" s="1"/>
  <c r="AK51" s="1"/>
  <c r="AA454"/>
  <c r="AC454" s="1"/>
  <c r="AK454" s="1"/>
  <c r="AA283"/>
  <c r="AC283" s="1"/>
  <c r="AK283" s="1"/>
  <c r="AA349"/>
  <c r="AC349" s="1"/>
  <c r="AK349" s="1"/>
  <c r="AA295"/>
  <c r="AC295" s="1"/>
  <c r="AK295" s="1"/>
  <c r="AA169"/>
  <c r="AC169" s="1"/>
  <c r="AK169" s="1"/>
  <c r="AA128"/>
  <c r="AC128" s="1"/>
  <c r="AK128" s="1"/>
  <c r="AA83"/>
  <c r="AC83" s="1"/>
  <c r="AK83" s="1"/>
  <c r="AA446"/>
  <c r="AC446" s="1"/>
  <c r="AK446" s="1"/>
  <c r="AA109"/>
  <c r="AC109" s="1"/>
  <c r="AK109" s="1"/>
  <c r="AA66"/>
  <c r="AC66" s="1"/>
  <c r="AK66" s="1"/>
  <c r="AA181"/>
  <c r="AC181" s="1"/>
  <c r="AK181" s="1"/>
  <c r="AA459"/>
  <c r="AC459" s="1"/>
  <c r="AK459" s="1"/>
  <c r="AA358" l="1"/>
  <c r="AC358" s="1"/>
  <c r="AK358" s="1"/>
  <c r="AA354"/>
  <c r="AC354" s="1"/>
  <c r="AK354" s="1"/>
  <c r="AA353"/>
  <c r="AC353" s="1"/>
  <c r="AK353" s="1"/>
  <c r="AA339"/>
  <c r="AC339" s="1"/>
  <c r="AK339" s="1"/>
  <c r="AA330"/>
  <c r="AC330" s="1"/>
  <c r="AK330" s="1"/>
  <c r="AA329"/>
  <c r="AC329" s="1"/>
  <c r="AK329" s="1"/>
  <c r="AA322"/>
  <c r="AC322" s="1"/>
  <c r="AK322" s="1"/>
  <c r="AA321"/>
  <c r="AC321" s="1"/>
  <c r="AK321" s="1"/>
  <c r="AA320"/>
  <c r="AC320" s="1"/>
  <c r="AK320" s="1"/>
  <c r="AA319"/>
  <c r="AC319" s="1"/>
  <c r="AK319" s="1"/>
  <c r="AA318"/>
  <c r="AC318" s="1"/>
  <c r="AK318" s="1"/>
  <c r="AA317"/>
  <c r="AC317" s="1"/>
  <c r="AK317" s="1"/>
  <c r="AA315"/>
  <c r="AC315" s="1"/>
  <c r="AK315" s="1"/>
  <c r="AA312"/>
  <c r="AC312" s="1"/>
  <c r="AK312" s="1"/>
  <c r="AA298"/>
  <c r="AC298" s="1"/>
  <c r="AK298" s="1"/>
  <c r="AA292"/>
  <c r="AC292" s="1"/>
  <c r="AK292" s="1"/>
  <c r="AA290"/>
  <c r="AC290" s="1"/>
  <c r="AK290" s="1"/>
  <c r="AA287"/>
  <c r="AC287" s="1"/>
  <c r="AK287" s="1"/>
  <c r="AA286"/>
  <c r="AC286" s="1"/>
  <c r="AK286" s="1"/>
  <c r="AA280"/>
  <c r="AC280" s="1"/>
  <c r="AK280" s="1"/>
  <c r="AA279"/>
  <c r="AC279" s="1"/>
  <c r="AK279" s="1"/>
  <c r="AA260"/>
  <c r="AC260" s="1"/>
  <c r="AK260" s="1"/>
  <c r="AA257"/>
  <c r="AC257" s="1"/>
  <c r="AK257" s="1"/>
  <c r="AA256"/>
  <c r="AC256" s="1"/>
  <c r="AK256" s="1"/>
  <c r="AA255"/>
  <c r="AC255" s="1"/>
  <c r="AK255" s="1"/>
  <c r="AA253"/>
  <c r="AC253" s="1"/>
  <c r="AK253" s="1"/>
  <c r="AA239"/>
  <c r="AC239" s="1"/>
  <c r="AK239" s="1"/>
  <c r="AA227"/>
  <c r="AC227" s="1"/>
  <c r="AK227" s="1"/>
  <c r="AA222"/>
  <c r="AC222" s="1"/>
  <c r="AK222" s="1"/>
  <c r="AA215"/>
  <c r="AC215" s="1"/>
  <c r="AK215" s="1"/>
  <c r="AA214"/>
  <c r="AC214" s="1"/>
  <c r="AK214" s="1"/>
  <c r="AA213"/>
  <c r="AC213" s="1"/>
  <c r="AK213" s="1"/>
  <c r="AA211"/>
  <c r="AC211" s="1"/>
  <c r="AK211" s="1"/>
  <c r="AA207"/>
  <c r="AC207" s="1"/>
  <c r="AK207" s="1"/>
  <c r="AA204"/>
  <c r="AC204" s="1"/>
  <c r="AK204" s="1"/>
  <c r="AA202"/>
  <c r="AC202" s="1"/>
  <c r="AK202" s="1"/>
  <c r="AA201"/>
  <c r="AC201" s="1"/>
  <c r="AK201" s="1"/>
  <c r="AA198"/>
  <c r="AC198" s="1"/>
  <c r="AK198" s="1"/>
  <c r="AA186"/>
  <c r="AC186" s="1"/>
  <c r="AK186" s="1"/>
  <c r="AA185"/>
  <c r="AC185" s="1"/>
  <c r="AK185" s="1"/>
  <c r="AA172"/>
  <c r="AC172" s="1"/>
  <c r="AK172" s="1"/>
  <c r="AA171"/>
  <c r="AC171" s="1"/>
  <c r="AK171" s="1"/>
  <c r="AA168"/>
  <c r="AC168" s="1"/>
  <c r="AK168" s="1"/>
  <c r="AA167"/>
  <c r="AC167" s="1"/>
  <c r="AK167" s="1"/>
  <c r="AA154"/>
  <c r="AC154" s="1"/>
  <c r="AK154" s="1"/>
  <c r="AA153"/>
  <c r="AC153" s="1"/>
  <c r="AK153" s="1"/>
  <c r="AA152"/>
  <c r="AC152" s="1"/>
  <c r="AK152" s="1"/>
  <c r="AA151"/>
  <c r="AC151" s="1"/>
  <c r="AK151" s="1"/>
  <c r="AA150"/>
  <c r="AC150" s="1"/>
  <c r="AK150" s="1"/>
  <c r="AA149"/>
  <c r="AC149" s="1"/>
  <c r="AK149" s="1"/>
  <c r="AA148"/>
  <c r="AC148" s="1"/>
  <c r="AK148" s="1"/>
  <c r="AA147"/>
  <c r="AC147" s="1"/>
  <c r="AK147" s="1"/>
  <c r="AA134"/>
  <c r="AC134" s="1"/>
  <c r="AK134" s="1"/>
  <c r="AA133"/>
  <c r="AC133" s="1"/>
  <c r="AK133" s="1"/>
  <c r="AA132"/>
  <c r="AC132" s="1"/>
  <c r="AK132" s="1"/>
  <c r="AA131"/>
  <c r="AC131" s="1"/>
  <c r="AK131" s="1"/>
  <c r="AA106"/>
  <c r="AC106" s="1"/>
  <c r="AK106" s="1"/>
  <c r="AA105"/>
  <c r="AC105" s="1"/>
  <c r="AK105" s="1"/>
  <c r="AA104"/>
  <c r="AC104" s="1"/>
  <c r="AK104" s="1"/>
  <c r="AA103"/>
  <c r="AC103" s="1"/>
  <c r="AK103" s="1"/>
  <c r="AA102"/>
  <c r="AC102" s="1"/>
  <c r="AK102" s="1"/>
  <c r="AA101"/>
  <c r="AC101" s="1"/>
  <c r="AK101" s="1"/>
  <c r="AA100"/>
  <c r="AC100" s="1"/>
  <c r="AK100" s="1"/>
  <c r="AA99"/>
  <c r="AC99" s="1"/>
  <c r="AK99" s="1"/>
  <c r="AA98"/>
  <c r="AC98" s="1"/>
  <c r="AK98" s="1"/>
  <c r="AA97"/>
  <c r="AC97" s="1"/>
  <c r="AK97" s="1"/>
  <c r="AA95"/>
  <c r="AC95" s="1"/>
  <c r="AK95" s="1"/>
  <c r="AA94"/>
  <c r="AC94" s="1"/>
  <c r="AK94" s="1"/>
  <c r="AA93"/>
  <c r="AC93" s="1"/>
  <c r="AK93" s="1"/>
  <c r="AA92"/>
  <c r="AC92" s="1"/>
  <c r="AK92" s="1"/>
  <c r="AA91"/>
  <c r="AC91" s="1"/>
  <c r="AK91" s="1"/>
  <c r="AA90"/>
  <c r="AC90" s="1"/>
  <c r="AK90" s="1"/>
  <c r="AA87"/>
  <c r="AC87" s="1"/>
  <c r="AK87" s="1"/>
  <c r="AA86"/>
  <c r="AC86" s="1"/>
  <c r="AK86" s="1"/>
  <c r="AA84"/>
  <c r="AC84" s="1"/>
  <c r="AK84" s="1"/>
  <c r="AA82"/>
  <c r="AC82" s="1"/>
  <c r="AK82" s="1"/>
  <c r="AA81"/>
  <c r="AC81" s="1"/>
  <c r="AK81" s="1"/>
  <c r="AA62"/>
  <c r="AC62" s="1"/>
  <c r="AK62" s="1"/>
  <c r="AA60"/>
  <c r="AC60" s="1"/>
  <c r="AK60" s="1"/>
  <c r="AA58"/>
  <c r="AC58" s="1"/>
  <c r="AK58" s="1"/>
  <c r="AA57"/>
  <c r="AC57" s="1"/>
  <c r="AK57" s="1"/>
  <c r="AA56"/>
  <c r="AC56" s="1"/>
  <c r="AK56" s="1"/>
  <c r="AA55"/>
  <c r="AC55" s="1"/>
  <c r="AK55" s="1"/>
  <c r="AA22"/>
  <c r="AC22" s="1"/>
  <c r="AK22" s="1"/>
  <c r="AA21"/>
  <c r="AC21" s="1"/>
  <c r="AK21" s="1"/>
  <c r="AA19"/>
  <c r="AC19" s="1"/>
  <c r="AK19" s="1"/>
  <c r="AA18"/>
  <c r="AC18" s="1"/>
  <c r="AK18" s="1"/>
  <c r="AA17"/>
  <c r="AC17" s="1"/>
  <c r="AK17" s="1"/>
  <c r="AA16"/>
  <c r="AC16" s="1"/>
  <c r="AK16" s="1"/>
  <c r="AA469"/>
  <c r="AC469" s="1"/>
  <c r="AK469" s="1"/>
  <c r="AA470"/>
  <c r="AC470" s="1"/>
  <c r="AK470" s="1"/>
  <c r="AA466"/>
  <c r="AC466" s="1"/>
  <c r="AK466" s="1"/>
  <c r="AA467"/>
  <c r="AC467" s="1"/>
  <c r="AK467" s="1"/>
  <c r="AA462"/>
  <c r="AC462" s="1"/>
  <c r="AK462" s="1"/>
  <c r="AA486"/>
  <c r="AC486" s="1"/>
  <c r="AK486" s="1"/>
  <c r="AA536"/>
  <c r="AC536" s="1"/>
  <c r="AK536" s="1"/>
  <c r="AA346"/>
  <c r="AC346" s="1"/>
  <c r="AK346" s="1"/>
  <c r="AA345"/>
  <c r="AC345" s="1"/>
  <c r="AK345" s="1"/>
  <c r="AA338"/>
  <c r="AC338" s="1"/>
  <c r="AK338" s="1"/>
  <c r="AA336"/>
  <c r="AC336" s="1"/>
  <c r="AK336" s="1"/>
  <c r="AA311"/>
  <c r="AC311" s="1"/>
  <c r="AK311" s="1"/>
  <c r="AA308"/>
  <c r="AC308" s="1"/>
  <c r="AK308" s="1"/>
  <c r="AA306"/>
  <c r="AC306" s="1"/>
  <c r="AK306" s="1"/>
  <c r="AA297"/>
  <c r="AC297" s="1"/>
  <c r="AK297" s="1"/>
  <c r="AA296"/>
  <c r="AC296" s="1"/>
  <c r="AK296" s="1"/>
  <c r="AA294"/>
  <c r="AC294" s="1"/>
  <c r="AK294" s="1"/>
  <c r="AA293"/>
  <c r="AC293" s="1"/>
  <c r="AK293" s="1"/>
  <c r="AA267"/>
  <c r="AC267" s="1"/>
  <c r="AK267" s="1"/>
  <c r="AA266"/>
  <c r="AC266" s="1"/>
  <c r="AK266" s="1"/>
  <c r="AA265"/>
  <c r="AC265" s="1"/>
  <c r="AK265" s="1"/>
  <c r="AA263"/>
  <c r="AC263" s="1"/>
  <c r="AK263" s="1"/>
  <c r="AA262"/>
  <c r="AC262" s="1"/>
  <c r="AK262" s="1"/>
  <c r="AA261"/>
  <c r="AC261" s="1"/>
  <c r="AK261" s="1"/>
  <c r="AA259"/>
  <c r="AC259" s="1"/>
  <c r="AK259" s="1"/>
  <c r="AA249"/>
  <c r="AC249" s="1"/>
  <c r="AK249" s="1"/>
  <c r="AA246"/>
  <c r="AC246" s="1"/>
  <c r="AK246" s="1"/>
  <c r="AA245"/>
  <c r="AC245" s="1"/>
  <c r="AK245" s="1"/>
  <c r="AA244"/>
  <c r="AC244" s="1"/>
  <c r="AK244" s="1"/>
  <c r="AA238"/>
  <c r="AC238" s="1"/>
  <c r="AK238" s="1"/>
  <c r="AA236"/>
  <c r="AC236" s="1"/>
  <c r="AK236" s="1"/>
  <c r="AA235"/>
  <c r="AC235" s="1"/>
  <c r="AK235" s="1"/>
  <c r="AA234"/>
  <c r="AC234" s="1"/>
  <c r="AK234" s="1"/>
  <c r="AA226"/>
  <c r="AC226" s="1"/>
  <c r="AK226" s="1"/>
  <c r="AA221"/>
  <c r="AC221" s="1"/>
  <c r="AK221" s="1"/>
  <c r="AA196"/>
  <c r="AC196" s="1"/>
  <c r="AK196" s="1"/>
  <c r="AA193"/>
  <c r="AC193" s="1"/>
  <c r="AK193" s="1"/>
  <c r="AA187"/>
  <c r="AC187" s="1"/>
  <c r="AK187" s="1"/>
  <c r="AA165"/>
  <c r="AC165" s="1"/>
  <c r="AK165" s="1"/>
  <c r="AA129"/>
  <c r="AC129" s="1"/>
  <c r="AK129" s="1"/>
  <c r="AA126"/>
  <c r="AC126" s="1"/>
  <c r="AK126" s="1"/>
  <c r="AA125"/>
  <c r="AC125" s="1"/>
  <c r="AK125" s="1"/>
  <c r="AA124"/>
  <c r="AC124" s="1"/>
  <c r="AK124" s="1"/>
  <c r="AA122"/>
  <c r="AC122" s="1"/>
  <c r="AK122" s="1"/>
  <c r="AA75"/>
  <c r="AC75" s="1"/>
  <c r="AK75" s="1"/>
  <c r="AA54"/>
  <c r="AC54" s="1"/>
  <c r="AK54" s="1"/>
  <c r="AA52"/>
  <c r="AC52" s="1"/>
  <c r="AK52" s="1"/>
  <c r="AA50"/>
  <c r="AC50" s="1"/>
  <c r="AK50" s="1"/>
  <c r="AA49"/>
  <c r="AC49" s="1"/>
  <c r="AK49" s="1"/>
  <c r="AA47"/>
  <c r="AC47" s="1"/>
  <c r="AK47" s="1"/>
  <c r="AA45"/>
  <c r="AC45" s="1"/>
  <c r="AK45" s="1"/>
  <c r="AA43"/>
  <c r="AC43" s="1"/>
  <c r="AK43" s="1"/>
  <c r="AA42"/>
  <c r="AC42" s="1"/>
  <c r="AK42" s="1"/>
  <c r="AA40"/>
  <c r="AC40" s="1"/>
  <c r="AK40" s="1"/>
  <c r="AA39"/>
  <c r="AC39" s="1"/>
  <c r="AK39" s="1"/>
  <c r="AA15"/>
  <c r="AC15" s="1"/>
  <c r="AK15" s="1"/>
  <c r="AA14"/>
  <c r="AC14" s="1"/>
  <c r="AK14" s="1"/>
  <c r="AA13"/>
  <c r="AC13" s="1"/>
  <c r="AK13" s="1"/>
  <c r="AA11"/>
  <c r="AC11" s="1"/>
  <c r="AK11" s="1"/>
  <c r="AA10"/>
  <c r="AC10" s="1"/>
  <c r="AK10" s="1"/>
  <c r="AA9"/>
  <c r="AC9" s="1"/>
  <c r="AK9" s="1"/>
  <c r="AA8"/>
  <c r="AC8" s="1"/>
  <c r="AK8" s="1"/>
  <c r="AA6"/>
  <c r="AC6" s="1"/>
  <c r="AK6" s="1"/>
  <c r="AA471"/>
  <c r="AC471" s="1"/>
  <c r="AK471" s="1"/>
  <c r="AA472"/>
  <c r="AC472" s="1"/>
  <c r="AK472" s="1"/>
  <c r="AA468"/>
  <c r="AC468" s="1"/>
  <c r="AK468" s="1"/>
  <c r="AA461"/>
  <c r="AC461" s="1"/>
  <c r="AK461" s="1"/>
  <c r="AA457"/>
  <c r="AC457" s="1"/>
  <c r="AK457" s="1"/>
  <c r="AA455"/>
  <c r="AC455" s="1"/>
  <c r="AK455" s="1"/>
  <c r="AA453"/>
  <c r="AC453" s="1"/>
  <c r="AK453" s="1"/>
  <c r="AA439"/>
  <c r="AC439" s="1"/>
  <c r="AK439" s="1"/>
  <c r="AA437"/>
  <c r="AC437" s="1"/>
  <c r="AK437" s="1"/>
  <c r="AA435"/>
  <c r="AC435" s="1"/>
  <c r="AK435" s="1"/>
  <c r="AA428"/>
  <c r="AC428" s="1"/>
  <c r="AK428" s="1"/>
  <c r="AA421"/>
  <c r="AC421" s="1"/>
  <c r="AK421" s="1"/>
  <c r="AA419"/>
  <c r="AC419" s="1"/>
  <c r="AK419" s="1"/>
  <c r="AA410"/>
  <c r="AC410" s="1"/>
  <c r="AK410" s="1"/>
  <c r="AA378"/>
  <c r="AC378" s="1"/>
  <c r="AK378" s="1"/>
  <c r="AA359"/>
  <c r="AC359" s="1"/>
  <c r="AK359" s="1"/>
  <c r="AA357"/>
  <c r="AC357" s="1"/>
  <c r="AK357" s="1"/>
  <c r="AA355"/>
  <c r="AC355" s="1"/>
  <c r="AK355" s="1"/>
  <c r="AA352"/>
  <c r="AC352" s="1"/>
  <c r="AK352" s="1"/>
  <c r="AA351"/>
  <c r="AC351" s="1"/>
  <c r="AK351" s="1"/>
  <c r="AA350"/>
  <c r="AC350" s="1"/>
  <c r="AK350" s="1"/>
  <c r="AA344"/>
  <c r="AC344" s="1"/>
  <c r="AK344" s="1"/>
  <c r="AA342"/>
  <c r="AC342" s="1"/>
  <c r="AK342" s="1"/>
  <c r="AA337"/>
  <c r="AC337" s="1"/>
  <c r="AK337" s="1"/>
  <c r="AA335"/>
  <c r="AC335" s="1"/>
  <c r="AK335" s="1"/>
  <c r="AA331"/>
  <c r="AC331" s="1"/>
  <c r="AK331" s="1"/>
  <c r="AA328"/>
  <c r="AC328" s="1"/>
  <c r="AK328" s="1"/>
  <c r="AA326"/>
  <c r="AC326" s="1"/>
  <c r="AK326" s="1"/>
  <c r="AA325"/>
  <c r="AC325" s="1"/>
  <c r="AK325" s="1"/>
  <c r="AA324"/>
  <c r="AC324" s="1"/>
  <c r="AK324" s="1"/>
  <c r="AA323"/>
  <c r="AC323" s="1"/>
  <c r="AK323" s="1"/>
  <c r="AA316"/>
  <c r="AC316" s="1"/>
  <c r="AK316" s="1"/>
  <c r="AA285"/>
  <c r="AC285" s="1"/>
  <c r="AK285" s="1"/>
  <c r="AA284"/>
  <c r="AC284" s="1"/>
  <c r="AK284" s="1"/>
  <c r="AA282"/>
  <c r="AC282" s="1"/>
  <c r="AK282" s="1"/>
  <c r="AA278"/>
  <c r="AC278" s="1"/>
  <c r="AK278" s="1"/>
  <c r="AA251"/>
  <c r="AC251" s="1"/>
  <c r="AA250"/>
  <c r="AC250" s="1"/>
  <c r="AK250" s="1"/>
  <c r="AA230"/>
  <c r="AC230" s="1"/>
  <c r="AK230" s="1"/>
  <c r="AA225"/>
  <c r="AC225" s="1"/>
  <c r="AK225" s="1"/>
  <c r="AA206"/>
  <c r="AC206" s="1"/>
  <c r="AK206" s="1"/>
  <c r="AA195"/>
  <c r="AC195" s="1"/>
  <c r="AK195" s="1"/>
  <c r="AA194"/>
  <c r="AC194" s="1"/>
  <c r="AK194" s="1"/>
  <c r="AA184"/>
  <c r="AC184" s="1"/>
  <c r="AK184" s="1"/>
  <c r="AA183"/>
  <c r="AC183" s="1"/>
  <c r="AK183" s="1"/>
  <c r="AA179"/>
  <c r="AC179" s="1"/>
  <c r="AK179" s="1"/>
  <c r="AA178"/>
  <c r="AC178" s="1"/>
  <c r="AK178" s="1"/>
  <c r="AA177"/>
  <c r="AC177" s="1"/>
  <c r="AK177" s="1"/>
  <c r="AA176"/>
  <c r="AC176" s="1"/>
  <c r="AK176" s="1"/>
  <c r="AA175"/>
  <c r="AC175" s="1"/>
  <c r="AK175" s="1"/>
  <c r="AA174"/>
  <c r="AC174" s="1"/>
  <c r="AK174" s="1"/>
  <c r="AA164"/>
  <c r="AC164" s="1"/>
  <c r="AK164" s="1"/>
  <c r="AA163"/>
  <c r="AC163" s="1"/>
  <c r="AK163" s="1"/>
  <c r="AA161"/>
  <c r="AC161" s="1"/>
  <c r="AK161" s="1"/>
  <c r="AA159"/>
  <c r="AC159" s="1"/>
  <c r="AK159" s="1"/>
  <c r="AA157"/>
  <c r="AC157" s="1"/>
  <c r="AK157" s="1"/>
  <c r="AA156"/>
  <c r="AC156" s="1"/>
  <c r="AK156" s="1"/>
  <c r="AA130"/>
  <c r="AC130" s="1"/>
  <c r="AK130" s="1"/>
  <c r="AA80"/>
  <c r="AC80" s="1"/>
  <c r="AK80" s="1"/>
  <c r="AA74"/>
  <c r="AC74" s="1"/>
  <c r="AK74" s="1"/>
  <c r="AA68"/>
  <c r="AC68" s="1"/>
  <c r="AK68" s="1"/>
  <c r="AA67"/>
  <c r="AC67" s="1"/>
  <c r="AK67" s="1"/>
  <c r="AA65"/>
  <c r="AC65" s="1"/>
  <c r="AK65" s="1"/>
  <c r="AA64"/>
  <c r="AC64" s="1"/>
  <c r="AK64" s="1"/>
  <c r="AA63"/>
  <c r="AC63" s="1"/>
  <c r="AK63" s="1"/>
  <c r="AA38"/>
  <c r="AC38" s="1"/>
  <c r="AK38" s="1"/>
  <c r="AA37"/>
  <c r="AC37" s="1"/>
  <c r="AK37" s="1"/>
  <c r="AA36"/>
  <c r="AC36" s="1"/>
  <c r="AK36" s="1"/>
  <c r="AA35"/>
  <c r="AC35" s="1"/>
  <c r="AK35" s="1"/>
  <c r="AA34"/>
  <c r="AC34" s="1"/>
  <c r="AK34" s="1"/>
  <c r="AA33"/>
  <c r="AC33" s="1"/>
  <c r="AK33" s="1"/>
  <c r="AA31"/>
  <c r="AC31" s="1"/>
  <c r="AK31" s="1"/>
  <c r="AA30"/>
  <c r="AC30" s="1"/>
  <c r="AK30" s="1"/>
  <c r="AA29"/>
  <c r="AC29" s="1"/>
  <c r="AK29" s="1"/>
  <c r="AA478"/>
  <c r="AC478" s="1"/>
  <c r="AK478" s="1"/>
  <c r="AA310"/>
  <c r="AC310" s="1"/>
  <c r="AK310" s="1"/>
  <c r="AA305"/>
  <c r="AC305" s="1"/>
  <c r="AK305" s="1"/>
  <c r="AA303"/>
  <c r="AC303" s="1"/>
  <c r="AK303" s="1"/>
  <c r="AA302"/>
  <c r="AC302" s="1"/>
  <c r="AK302" s="1"/>
  <c r="AA301"/>
  <c r="AC301" s="1"/>
  <c r="AK301" s="1"/>
  <c r="AA299"/>
  <c r="AC299" s="1"/>
  <c r="AK299" s="1"/>
  <c r="AA291"/>
  <c r="AC291" s="1"/>
  <c r="AK291" s="1"/>
  <c r="AA289"/>
  <c r="AC289" s="1"/>
  <c r="AK289" s="1"/>
  <c r="AA277"/>
  <c r="AC277" s="1"/>
  <c r="AK277" s="1"/>
  <c r="AA275"/>
  <c r="AC275" s="1"/>
  <c r="AK275" s="1"/>
  <c r="AA274"/>
  <c r="AC274" s="1"/>
  <c r="AK274" s="1"/>
  <c r="AA273"/>
  <c r="AC273" s="1"/>
  <c r="AK273" s="1"/>
  <c r="AA272"/>
  <c r="AC272" s="1"/>
  <c r="AK272" s="1"/>
  <c r="AA270"/>
  <c r="AC270" s="1"/>
  <c r="AK270" s="1"/>
  <c r="AA243"/>
  <c r="AC243" s="1"/>
  <c r="AK243" s="1"/>
  <c r="AA223"/>
  <c r="AC223" s="1"/>
  <c r="AK223" s="1"/>
  <c r="AA220"/>
  <c r="AC220" s="1"/>
  <c r="AK220" s="1"/>
  <c r="AA218"/>
  <c r="AC218" s="1"/>
  <c r="AK218" s="1"/>
  <c r="AA217"/>
  <c r="AC217" s="1"/>
  <c r="AK217" s="1"/>
  <c r="AA216"/>
  <c r="AC216" s="1"/>
  <c r="AK216" s="1"/>
  <c r="AA205"/>
  <c r="AC205" s="1"/>
  <c r="AK205" s="1"/>
  <c r="AA200"/>
  <c r="AC200" s="1"/>
  <c r="AK200" s="1"/>
  <c r="AA199"/>
  <c r="AC199" s="1"/>
  <c r="AK199" s="1"/>
  <c r="AA190"/>
  <c r="AC190" s="1"/>
  <c r="AK190" s="1"/>
  <c r="AA189"/>
  <c r="AC189" s="1"/>
  <c r="AK189" s="1"/>
  <c r="AA188"/>
  <c r="AC188" s="1"/>
  <c r="AK188" s="1"/>
  <c r="AA173"/>
  <c r="AC173" s="1"/>
  <c r="AK173" s="1"/>
  <c r="AA146"/>
  <c r="AC146" s="1"/>
  <c r="AK146" s="1"/>
  <c r="AA145"/>
  <c r="AC145" s="1"/>
  <c r="AK145" s="1"/>
  <c r="AA144"/>
  <c r="AC144" s="1"/>
  <c r="AK144" s="1"/>
  <c r="AA143"/>
  <c r="AC143" s="1"/>
  <c r="AK143" s="1"/>
  <c r="AA141"/>
  <c r="AC141" s="1"/>
  <c r="AK141" s="1"/>
  <c r="AA140"/>
  <c r="AC140" s="1"/>
  <c r="AK140" s="1"/>
  <c r="AA139"/>
  <c r="AC139" s="1"/>
  <c r="AK139" s="1"/>
  <c r="AA138"/>
  <c r="AC138" s="1"/>
  <c r="AK138" s="1"/>
  <c r="AA137"/>
  <c r="AC137" s="1"/>
  <c r="AK137" s="1"/>
  <c r="AA136"/>
  <c r="AC136" s="1"/>
  <c r="AK136" s="1"/>
  <c r="AA135"/>
  <c r="AC135" s="1"/>
  <c r="AK135" s="1"/>
  <c r="AA121"/>
  <c r="AC121" s="1"/>
  <c r="AK121" s="1"/>
  <c r="AA120"/>
  <c r="AC120" s="1"/>
  <c r="AK120" s="1"/>
  <c r="AA119"/>
  <c r="AC119" s="1"/>
  <c r="AK119" s="1"/>
  <c r="AA117"/>
  <c r="AC117" s="1"/>
  <c r="AK117" s="1"/>
  <c r="AA116"/>
  <c r="AC116" s="1"/>
  <c r="AK116" s="1"/>
  <c r="AA115"/>
  <c r="AC115" s="1"/>
  <c r="AK115" s="1"/>
  <c r="AA112"/>
  <c r="AC112" s="1"/>
  <c r="AK112" s="1"/>
  <c r="AA111"/>
  <c r="AC111" s="1"/>
  <c r="AK111" s="1"/>
  <c r="AA110"/>
  <c r="AC110" s="1"/>
  <c r="AK110" s="1"/>
  <c r="AA107"/>
  <c r="AC107" s="1"/>
  <c r="AK107" s="1"/>
  <c r="AA79"/>
  <c r="AC79" s="1"/>
  <c r="AK79" s="1"/>
  <c r="AA78"/>
  <c r="AC78" s="1"/>
  <c r="AK78" s="1"/>
  <c r="AA77"/>
  <c r="AC77" s="1"/>
  <c r="AK77" s="1"/>
  <c r="AA76"/>
  <c r="AC76" s="1"/>
  <c r="AK76" s="1"/>
  <c r="AA61"/>
  <c r="AC61" s="1"/>
  <c r="AK61" s="1"/>
  <c r="AA26"/>
  <c r="AC26" s="1"/>
  <c r="AK26" s="1"/>
  <c r="AA25"/>
  <c r="AC25" s="1"/>
  <c r="AK25" s="1"/>
  <c r="AA24"/>
  <c r="AC24" s="1"/>
  <c r="AK24" s="1"/>
  <c r="AA23"/>
  <c r="AC23" s="1"/>
  <c r="AK23" s="1"/>
  <c r="AA473"/>
  <c r="AC473" s="1"/>
  <c r="AK473" s="1"/>
  <c r="AA475"/>
  <c r="AC475" s="1"/>
  <c r="AK475" s="1"/>
  <c r="AA441"/>
  <c r="AC441" s="1"/>
  <c r="AK441" s="1"/>
  <c r="AA386"/>
  <c r="AC386" s="1"/>
  <c r="AK386" s="1"/>
</calcChain>
</file>

<file path=xl/comments1.xml><?xml version="1.0" encoding="utf-8"?>
<comments xmlns="http://schemas.openxmlformats.org/spreadsheetml/2006/main">
  <authors>
    <author/>
  </authors>
  <commentList>
    <comment ref="P2" authorId="0">
      <text>
        <r>
          <rPr>
            <b/>
            <sz val="9"/>
            <color indexed="8"/>
            <rFont val="Times New Roman"/>
            <family val="1"/>
            <charset val="238"/>
          </rPr>
          <t>Osoby ku</t>
        </r>
      </text>
    </comment>
    <comment ref="Q2" authorId="0">
      <text>
        <r>
          <rPr>
            <b/>
            <sz val="9"/>
            <color indexed="8"/>
            <rFont val="Times New Roman"/>
            <family val="1"/>
            <charset val="238"/>
          </rPr>
          <t>Osoby ku</t>
        </r>
      </text>
    </comment>
  </commentList>
</comments>
</file>

<file path=xl/sharedStrings.xml><?xml version="1.0" encoding="utf-8"?>
<sst xmlns="http://schemas.openxmlformats.org/spreadsheetml/2006/main" count="7177" uniqueCount="1614">
  <si>
    <t>Nazwa projektu:</t>
  </si>
  <si>
    <t>Osoba sporządzająca listę:</t>
  </si>
  <si>
    <t>Data:</t>
  </si>
  <si>
    <t>jak z tego korzystać:</t>
  </si>
  <si>
    <t>ARKUSZ EDYCJA:</t>
  </si>
  <si>
    <t>nazwa pliku:</t>
  </si>
  <si>
    <t>plik nazywamy:</t>
  </si>
  <si>
    <t>np.:</t>
  </si>
  <si>
    <t>data w formacie YYYY-MM-DD</t>
  </si>
  <si>
    <r>
      <t>datę wstawiamy skrótem kalwiatutowym</t>
    </r>
    <r>
      <rPr>
        <b/>
        <i/>
        <sz val="8"/>
        <rFont val="Arial"/>
        <family val="2"/>
        <charset val="238"/>
      </rPr>
      <t xml:space="preserve"> CTRL  +   ;</t>
    </r>
  </si>
  <si>
    <t>tzn.  trzymając wciśnięty CTRL jeden raz naciskamy klawisz "średnik"</t>
  </si>
  <si>
    <t>ochrona arkusza przed zmianami</t>
  </si>
  <si>
    <t>hasło 123</t>
  </si>
  <si>
    <t>wpisuje zamawiający</t>
  </si>
  <si>
    <t>Lp</t>
  </si>
  <si>
    <t>ilość sztuk
SUMA</t>
  </si>
  <si>
    <t>Osoba kupująca</t>
  </si>
  <si>
    <t>Numer zamówienia</t>
  </si>
  <si>
    <t>Data zamówienia:
yyyy-mm-dd</t>
  </si>
  <si>
    <t>Uwagi</t>
  </si>
  <si>
    <t>Uwagi do zamówienia</t>
  </si>
  <si>
    <t>Ilość dostarczona</t>
  </si>
  <si>
    <t>Konstruktor</t>
  </si>
  <si>
    <t>Uzupełnia przyjmujący</t>
  </si>
  <si>
    <t>zamawiajacy edytuje listę w kolumnach od U do Y</t>
  </si>
  <si>
    <t>konstruktor edytuje listę w kolumnach od A do Q  plus ewentualnie kolumne S jeżeli coś odkłada, zabezpiecza do projektu</t>
  </si>
  <si>
    <t>przyjmuący, odkładajacy do projektu wypełnia kolumny Z-AA</t>
  </si>
  <si>
    <t>numer projektu - "lista materiałów " "elktrycznych "/ "mechanicznych" - nazwisko osoby</t>
  </si>
  <si>
    <t>0637 - LISTA MATERIAŁÓW MECHANICZNYCH - S.GAWECKI</t>
  </si>
  <si>
    <t>0637 - LISTA MATERIAŁÓW ELEKTRYCZNYCH - J. FATYGA</t>
  </si>
  <si>
    <t>ARKUSZ PROFILE:</t>
  </si>
  <si>
    <t xml:space="preserve">konstruktor edytuje listę w kolumnach od A do G </t>
  </si>
  <si>
    <t>zamawiajacy edytuje listę w kolumnach od H do L</t>
  </si>
  <si>
    <t>Inspektor Jakości</t>
  </si>
  <si>
    <t>DOSTAWCA</t>
  </si>
  <si>
    <t>Obróbka</t>
  </si>
  <si>
    <t>Obróbka cieplna</t>
  </si>
  <si>
    <t>Powłoka</t>
  </si>
  <si>
    <t xml:space="preserve">Wymagana data dostawy 
</t>
  </si>
  <si>
    <t>Opis</t>
  </si>
  <si>
    <t>xxx</t>
  </si>
  <si>
    <t>Uwagi Inspektora</t>
  </si>
  <si>
    <t>Data inspekcji</t>
  </si>
  <si>
    <t>Nr. Kat.</t>
  </si>
  <si>
    <t>MAGAZYN</t>
  </si>
  <si>
    <t>Do Zamówienia</t>
  </si>
  <si>
    <t>11</t>
  </si>
  <si>
    <t xml:space="preserve">Nr. Części </t>
  </si>
  <si>
    <t>ID. Części</t>
  </si>
  <si>
    <t>Rewizja</t>
  </si>
  <si>
    <t>Braki</t>
  </si>
  <si>
    <t>Notatki</t>
  </si>
  <si>
    <t>Data wpisania
dd-mm-yyyy</t>
  </si>
  <si>
    <t>Producent</t>
  </si>
  <si>
    <t>Uzupełnia konstruktor</t>
  </si>
  <si>
    <t>Uzupełnia zamawiający</t>
  </si>
  <si>
    <t>Data wpisania 
yyyy-mm-dd</t>
  </si>
  <si>
    <t>Ilość</t>
  </si>
  <si>
    <t>Zespół</t>
  </si>
  <si>
    <t>Wymagana data dostawy 
yyyy-mm-dd.</t>
  </si>
  <si>
    <t>Wpisuje Konstruktor</t>
  </si>
  <si>
    <t>Materiał</t>
  </si>
  <si>
    <t>Długość [mm]</t>
  </si>
  <si>
    <t>Nr katalogowy</t>
  </si>
  <si>
    <t>x</t>
  </si>
  <si>
    <t>xx</t>
  </si>
  <si>
    <t>xxxx</t>
  </si>
  <si>
    <t>x2</t>
  </si>
  <si>
    <t>Obudowa sterownicza 1600(W)x1800(H)x400(D)</t>
  </si>
  <si>
    <t>SE 5842.600</t>
  </si>
  <si>
    <t>Rittal</t>
  </si>
  <si>
    <t>sztuk</t>
  </si>
  <si>
    <t>Profil do wprowadzania kabli, tylny do VX, SE</t>
  </si>
  <si>
    <t>VX 8618.814</t>
  </si>
  <si>
    <t>Obudowa sterownicza 600(W)x1800(H)x400(D)</t>
  </si>
  <si>
    <t>SE 5830.600</t>
  </si>
  <si>
    <t>VX 8618.810</t>
  </si>
  <si>
    <t>MITSUBISHI iQ-R CPU</t>
  </si>
  <si>
    <t>R32CPU</t>
  </si>
  <si>
    <t>Mitsubishi</t>
  </si>
  <si>
    <t>SZTUK</t>
  </si>
  <si>
    <t>MITSUBISHI iQ-R ROBOT CPU</t>
  </si>
  <si>
    <t>R16RTCPU</t>
  </si>
  <si>
    <t>MITSUBISHI iQ-R SIMPLE MOTION MODULE</t>
  </si>
  <si>
    <t>RD77GF16</t>
  </si>
  <si>
    <t>MITSUBISHI iQ-R PROFINET IO controller</t>
  </si>
  <si>
    <t>RJ71PN92</t>
  </si>
  <si>
    <t>Przetwornica częstotliwości 2,5A</t>
  </si>
  <si>
    <t>Przetwornica częstotliwości 0,8A</t>
  </si>
  <si>
    <t>Serwowzmacniacz MR-J4-70GF-RJ</t>
  </si>
  <si>
    <t>MR-J4-70GF-RJ</t>
  </si>
  <si>
    <t>Connector Kit CN1 I/O</t>
  </si>
  <si>
    <t>MR-J2CN1</t>
  </si>
  <si>
    <t>55912</t>
  </si>
  <si>
    <t>Serwowzmacniacz MR-J4-20GF-RJ</t>
  </si>
  <si>
    <t>MR-J4-20GF-RJ</t>
  </si>
  <si>
    <t>Filtr sieciowy</t>
  </si>
  <si>
    <t>FFR-CS-050-14A-RF1</t>
  </si>
  <si>
    <t>MF-2F230-006.230MFc</t>
  </si>
  <si>
    <t>Mitsubishi MR-J4 Battery-Set</t>
  </si>
  <si>
    <t>MR-BAT6V1SET</t>
  </si>
  <si>
    <t>Zasilacz iQ-R 5VDC 9A</t>
  </si>
  <si>
    <t>R64P</t>
  </si>
  <si>
    <t>MITSUBISHI servo STO cable 3m</t>
  </si>
  <si>
    <t>MR-D05UDL3M-B</t>
  </si>
  <si>
    <t>silnik</t>
  </si>
  <si>
    <t>Serwo silnik z hamulcem</t>
  </si>
  <si>
    <t>HG-KR73 (B)</t>
  </si>
  <si>
    <t>HG-KR23B</t>
  </si>
  <si>
    <t>MITSUBISHI servo power cable 10m</t>
  </si>
  <si>
    <t>MR-PWS3CBL10M-A1-L</t>
  </si>
  <si>
    <t>MITSUBISHI servo power cable 5m</t>
  </si>
  <si>
    <t>MR-PWS3CBL5M-A1-L</t>
  </si>
  <si>
    <t>MR-PWS3CBL5M-A2-L</t>
  </si>
  <si>
    <t>PWS007N-05.0-A1</t>
  </si>
  <si>
    <t>PWS007N-10.0-A1</t>
  </si>
  <si>
    <t>MITSUBISHI servo encoder cable 10m</t>
  </si>
  <si>
    <t>MR-J3ENCBL10M-A1-L</t>
  </si>
  <si>
    <t>161551</t>
  </si>
  <si>
    <t>MITSUBISHI brake cable, 10m</t>
  </si>
  <si>
    <t>MR-BKS1CBL10M-A1-L</t>
  </si>
  <si>
    <t>161609</t>
  </si>
  <si>
    <t>MITSUBISHI servo encoder cable 5m</t>
  </si>
  <si>
    <t>MR-J3ENCBL5M-A1-L</t>
  </si>
  <si>
    <t>161550</t>
  </si>
  <si>
    <t>MITSUBISHI brake cable, 5m</t>
  </si>
  <si>
    <t>MR-BKS1CBL5M-A1-L</t>
  </si>
  <si>
    <t>161608</t>
  </si>
  <si>
    <t>MR-J3ENCBL5M-A2-L</t>
  </si>
  <si>
    <t>161555</t>
  </si>
  <si>
    <t>MR-BKS1CBL5M-A2-L</t>
  </si>
  <si>
    <t>161613</t>
  </si>
  <si>
    <t>MR-J3ENCBL5M-A1-H</t>
  </si>
  <si>
    <t>161547</t>
  </si>
  <si>
    <t>MR-BKS1CBL5M-A1-H</t>
  </si>
  <si>
    <t>MR-J3ENCBL10M-A1-H</t>
  </si>
  <si>
    <t>161548</t>
  </si>
  <si>
    <t>MR-BKS1CBL10M-A1-H</t>
  </si>
  <si>
    <t>161606</t>
  </si>
  <si>
    <t>Wtyczki - podłaczenia Wyjścia (GR1, GR2) robota</t>
  </si>
  <si>
    <t>Wtyczki - podłaczenia czujników do ramienia robota (OP1, OP3)</t>
  </si>
  <si>
    <t>Hand output cable</t>
  </si>
  <si>
    <t>1F-GR60S-01</t>
  </si>
  <si>
    <t>Internal Wiring/Piping set for hand</t>
  </si>
  <si>
    <t>1F-HS604S-01</t>
  </si>
  <si>
    <t>Moduł WE/WY IOL-LINK (16 in/out)</t>
  </si>
  <si>
    <t>BNI IOL-310-000-K025</t>
  </si>
  <si>
    <t>BNI004L</t>
  </si>
  <si>
    <t>BALLUFF</t>
  </si>
  <si>
    <t>Koncentratory sygnałów z interfejsem IO-Link</t>
  </si>
  <si>
    <t>MS: POTRZEBNE SĄ  MURR 59401 albo BALLUFF BNI 006</t>
  </si>
  <si>
    <t>Wtyczka do wysp zaworowych IO-Link</t>
  </si>
  <si>
    <t>BNI IOL-751-V10-K007</t>
  </si>
  <si>
    <t>BNI006P</t>
  </si>
  <si>
    <t>BNI IOL-104-000-K006</t>
  </si>
  <si>
    <t>BNI0006</t>
  </si>
  <si>
    <t>Wyłącznik ryglujący</t>
  </si>
  <si>
    <t>Klucz elastyczny wyłacznika bezpieczeństwa</t>
  </si>
  <si>
    <t>Tag RFID (2000 Byte)</t>
  </si>
  <si>
    <t>BIS M-133-02/A</t>
  </si>
  <si>
    <t>BIS00Y9</t>
  </si>
  <si>
    <t>Głowica RFID  ( ZMIANA TYPU WG. DOSTĘPNOŚCI )</t>
  </si>
  <si>
    <t>Switch - 8 portów</t>
  </si>
  <si>
    <t>Murrelektronik</t>
  </si>
  <si>
    <t>Zasilacz 24VDC/40A</t>
  </si>
  <si>
    <t>85004</t>
  </si>
  <si>
    <t>Kontroler listew naciskowych</t>
  </si>
  <si>
    <t>SCC-1224A</t>
  </si>
  <si>
    <t>OMRON</t>
  </si>
  <si>
    <t>6053253</t>
  </si>
  <si>
    <t>SICK</t>
  </si>
  <si>
    <t>rozdzielacz aktywny 4x IO-Link</t>
  </si>
  <si>
    <t>SIG200-0412200
1089794</t>
  </si>
  <si>
    <t>Programowalny przekaźnik bezpieczeństwa</t>
  </si>
  <si>
    <t>R1.190.1110.0</t>
  </si>
  <si>
    <t>Karta pamięci przekaźnika bezpieczeństwa</t>
  </si>
  <si>
    <t>R1.190.1000.0</t>
  </si>
  <si>
    <t>Moduł digital I/O SP-SDIO84-P1-K-A DC 24V</t>
  </si>
  <si>
    <t>R1.190.0030.0</t>
  </si>
  <si>
    <t>WIELAND</t>
  </si>
  <si>
    <t>Przycisk bezpieczeństwa 3-pozycyjny</t>
  </si>
  <si>
    <t>A4E-C211VA</t>
  </si>
  <si>
    <t>Hand input cable</t>
  </si>
  <si>
    <t>1S-HC30C-11</t>
  </si>
  <si>
    <t>MITSUBISHI</t>
  </si>
  <si>
    <t>1E-GR35S</t>
  </si>
  <si>
    <t>Kratka wentylatora</t>
  </si>
  <si>
    <t>NSYCAG223LPF</t>
  </si>
  <si>
    <t>Schneider</t>
  </si>
  <si>
    <t>Wentylator</t>
  </si>
  <si>
    <t>NSYCVF300M230PF</t>
  </si>
  <si>
    <t>Lampka LED biała 230 VAC (kompletna)</t>
  </si>
  <si>
    <t>BZ501219-B</t>
  </si>
  <si>
    <t>SCHRACK</t>
  </si>
  <si>
    <t>Rozłącznik główny; awaryjny</t>
  </si>
  <si>
    <t>LTS 63 EHN4 A3</t>
  </si>
  <si>
    <t>IN8E2337</t>
  </si>
  <si>
    <t>Elastyczna listwa naciskowa</t>
  </si>
  <si>
    <t>3100.1610</t>
  </si>
  <si>
    <t>GELBAU</t>
  </si>
  <si>
    <t>Zakrywka końcowa listwy elastycznej</t>
  </si>
  <si>
    <t>3050.1303B</t>
  </si>
  <si>
    <t>Terminator 8,2kΩ</t>
  </si>
  <si>
    <t>3031.1306B</t>
  </si>
  <si>
    <t>Kabel - podłączenie elastycznej listwy naciskowej L=5m)</t>
  </si>
  <si>
    <t>3020.1305B</t>
  </si>
  <si>
    <t>Kabel ethernetowy IV-MXXX L=5000</t>
  </si>
  <si>
    <t>OP-87458</t>
  </si>
  <si>
    <t>Czujnik wizyjny</t>
  </si>
  <si>
    <t>IV-500MA</t>
  </si>
  <si>
    <t>Kabel zasilający i I/O IV-XXX L=10m</t>
  </si>
  <si>
    <t>OP-87442</t>
  </si>
  <si>
    <t>Wzmacniacz pomiarowy Main unit</t>
  </si>
  <si>
    <t>IL-1000</t>
  </si>
  <si>
    <t>Jednostka komunikacyjna ProfiNet</t>
  </si>
  <si>
    <t>DL-PN1</t>
  </si>
  <si>
    <t>Wzmacniacz pomiarowy 5-kanałowy</t>
  </si>
  <si>
    <t>GT2-500</t>
  </si>
  <si>
    <t>Czujnik ruchu</t>
  </si>
  <si>
    <t>SES10-WH</t>
  </si>
  <si>
    <t>LEDSYSTEMS</t>
  </si>
  <si>
    <t>Remote Ethernet I/O 16 wejść cyfrowych</t>
  </si>
  <si>
    <t>E1210-T</t>
  </si>
  <si>
    <t>MOXA</t>
  </si>
  <si>
    <t>Przekaźnik nadzorczy</t>
  </si>
  <si>
    <t>K8AKAS224VACDC</t>
  </si>
  <si>
    <t>K8AK-AS2 24VAC/DC</t>
  </si>
  <si>
    <t>SMC</t>
  </si>
  <si>
    <t>Kabel kurtyny 5 żył L=5m</t>
  </si>
  <si>
    <t>ZAS35R501</t>
  </si>
  <si>
    <t>wenglor</t>
  </si>
  <si>
    <t>Kabel kurtyny 8 żył L=5m</t>
  </si>
  <si>
    <t>ZAS89R501</t>
  </si>
  <si>
    <t>Set Safety Light Curtain Type 4 Finger Protection</t>
  </si>
  <si>
    <t>SEMG436</t>
  </si>
  <si>
    <t>Wzmacniacz światłowodowy (IO-LINK)</t>
  </si>
  <si>
    <t>FS-N41C</t>
  </si>
  <si>
    <t>KM</t>
  </si>
  <si>
    <t>Weiss</t>
  </si>
  <si>
    <t>MS</t>
  </si>
  <si>
    <t>Elektroniczna karta sterujaca</t>
  </si>
  <si>
    <t>EF2037B-0000-0000-01</t>
  </si>
  <si>
    <t>IV-500CA</t>
  </si>
  <si>
    <t>Kabel zasilający i I/O IV-XXX L=5000</t>
  </si>
  <si>
    <t>OP-87441</t>
  </si>
  <si>
    <t>Głowica czujnika laserowego</t>
  </si>
  <si>
    <t>IL-065</t>
  </si>
  <si>
    <t>Kabel głowicy pomarowej IL-XXXX L=5 m</t>
  </si>
  <si>
    <t>OP-87057</t>
  </si>
  <si>
    <t>Stopka 80kg</t>
  </si>
  <si>
    <t>FATH</t>
  </si>
  <si>
    <t>H. Mech.</t>
  </si>
  <si>
    <t>-</t>
  </si>
  <si>
    <t>098D080KG</t>
  </si>
  <si>
    <t>K. Wróblewski</t>
  </si>
  <si>
    <t>Bosch Rexroth</t>
  </si>
  <si>
    <t>Stoper</t>
  </si>
  <si>
    <t>VE 2 STOP GATE</t>
  </si>
  <si>
    <t>Uchwyt czujnika indukcyjnego obecności palety</t>
  </si>
  <si>
    <t>SH 2/UV SWITCH BRACKET</t>
  </si>
  <si>
    <t>Ramka (bok) palety</t>
  </si>
  <si>
    <t>WT 2 CORNER MODULES (PA)  LWT=400MM</t>
  </si>
  <si>
    <t>Tulejka pozycjonująca</t>
  </si>
  <si>
    <t>POSITIONING BUSHINGS  A=8MM</t>
  </si>
  <si>
    <t>ZAMÓWIENIE Z/703/1851/MS/2022 ( ŁĄCZNIE 2 SZTUKI)</t>
  </si>
  <si>
    <t>ZAPAS DO LINII NR 4</t>
  </si>
  <si>
    <t>ZAMÓWIENIE Z/703/1851/MS/2022 ( ŁĄCZNIE 8 SZTUK)</t>
  </si>
  <si>
    <t>Listwa montażowa</t>
  </si>
  <si>
    <t>3045.1212</t>
  </si>
  <si>
    <t>L=629 mm</t>
  </si>
  <si>
    <t>ZAŁADUNEK RĘCZNY</t>
  </si>
  <si>
    <t>zamówienie Z/1366/1851, 1927/MS/2022</t>
  </si>
  <si>
    <t>Termin dostawy 30 wrzesień ( proszę nie dostarczać wcześniej )</t>
  </si>
  <si>
    <t>zamówienie Z/1368/1927/MS/2022</t>
  </si>
  <si>
    <t>zamówienie Z/1369/1927/MS/2022</t>
  </si>
  <si>
    <t>Zamówienie Z/1370/1927/MS/2022</t>
  </si>
  <si>
    <t>ZENEX</t>
  </si>
  <si>
    <t>Przekaźnik 24VDC</t>
  </si>
  <si>
    <t>G7SA-3A1B</t>
  </si>
  <si>
    <t>ZAMÓWIENIE Z/704/1851/MS/2022 ( ŁĄCZNIE 30 SZTUK)</t>
  </si>
  <si>
    <t>ZAMÓWIENIE Z/704/1851/MS/2022 ( ŁĄCZNIE 3 SZTUKI)</t>
  </si>
  <si>
    <t>G7SA-2A2B</t>
  </si>
  <si>
    <t>MK</t>
  </si>
  <si>
    <t>2022-07-25 MK dostarczono z 1851</t>
  </si>
  <si>
    <t>1 mag</t>
  </si>
  <si>
    <t>2022-07-25 mj</t>
  </si>
  <si>
    <t>2022-08-01 mj</t>
  </si>
  <si>
    <t>2022-09-13 MK</t>
  </si>
  <si>
    <t>2022-09-14 Emil (dostarczono 8 szt. - 6 szt. w projekcie 1851)</t>
  </si>
  <si>
    <t>2022-08-12 MK</t>
  </si>
  <si>
    <t>2022-10-10 JP</t>
  </si>
  <si>
    <t>2022-10-11 MK po projekcie 1857</t>
  </si>
  <si>
    <t>magazyn</t>
  </si>
  <si>
    <t>4 mag</t>
  </si>
  <si>
    <t>2022-10-11 MK</t>
  </si>
  <si>
    <t>2 mag</t>
  </si>
  <si>
    <t>Silnik serwo</t>
  </si>
  <si>
    <t>HG-KN43K</t>
  </si>
  <si>
    <t>8 mag</t>
  </si>
  <si>
    <t>obok szafy SIEMENS na samej górze</t>
  </si>
  <si>
    <t>Potrzebne</t>
  </si>
  <si>
    <t>1 mag
1</t>
  </si>
  <si>
    <t>2022-07-26 mj
2022-10-24 JP</t>
  </si>
  <si>
    <t>Nakrętka Łożyskowa</t>
  </si>
  <si>
    <t>KM 0</t>
  </si>
  <si>
    <t>SKF</t>
  </si>
  <si>
    <t>R. Swaciak</t>
  </si>
  <si>
    <t>K0292.08</t>
  </si>
  <si>
    <t>Kołki podporowe</t>
  </si>
  <si>
    <t>KIPP</t>
  </si>
  <si>
    <t>999 - Paletka</t>
  </si>
  <si>
    <t>Paletka testowa</t>
  </si>
  <si>
    <t>D</t>
  </si>
  <si>
    <t>Śruba</t>
  </si>
  <si>
    <t>handlowy</t>
  </si>
  <si>
    <t>HGW15CCZOH</t>
  </si>
  <si>
    <t>F</t>
  </si>
  <si>
    <t xml:space="preserve">Wózek </t>
  </si>
  <si>
    <t>HIWIN</t>
  </si>
  <si>
    <t>K</t>
  </si>
  <si>
    <t>Szyna</t>
  </si>
  <si>
    <t>K0307.08036</t>
  </si>
  <si>
    <t>A</t>
  </si>
  <si>
    <t>Śruba podporowa</t>
  </si>
  <si>
    <t>WH-060250</t>
  </si>
  <si>
    <t xml:space="preserve">Wypychacz </t>
  </si>
  <si>
    <t xml:space="preserve"> </t>
  </si>
  <si>
    <t>HGL-M5-B-530029</t>
  </si>
  <si>
    <t>B</t>
  </si>
  <si>
    <t>FESTO</t>
  </si>
  <si>
    <t>Promatik</t>
  </si>
  <si>
    <t>Czernić</t>
  </si>
  <si>
    <t>Prowadnik</t>
  </si>
  <si>
    <t>IGUS</t>
  </si>
  <si>
    <t>HGL-1_8-B</t>
  </si>
  <si>
    <t xml:space="preserve"> ASV410F-02-08S</t>
  </si>
  <si>
    <t>L5032</t>
  </si>
  <si>
    <t>RBC2015</t>
  </si>
  <si>
    <t>C</t>
  </si>
  <si>
    <t>Amortyzator</t>
  </si>
  <si>
    <t>RBC1007</t>
  </si>
  <si>
    <t>MDSUB7-90S-S7P</t>
  </si>
  <si>
    <t>Stół obrotowy</t>
  </si>
  <si>
    <t>M-5H-6</t>
  </si>
  <si>
    <t>JA50-16-150</t>
  </si>
  <si>
    <t>Sprzęgło</t>
  </si>
  <si>
    <t>JA30-10-125</t>
  </si>
  <si>
    <t>Sprzęgło siłownika</t>
  </si>
  <si>
    <t>RSDQB32TF-15D</t>
  </si>
  <si>
    <t>Siłownik</t>
  </si>
  <si>
    <t>CP96SDB32-125C</t>
  </si>
  <si>
    <t>CP96SDB50-200C</t>
  </si>
  <si>
    <t>FCPK /handlowy</t>
  </si>
  <si>
    <t xml:space="preserve">Śruba </t>
  </si>
  <si>
    <t>FESTO/handlowy</t>
  </si>
  <si>
    <t>Złączka zaciskowa</t>
  </si>
  <si>
    <t>lub zamiennik</t>
  </si>
  <si>
    <t>000.MAG.50 - M10 x50</t>
  </si>
  <si>
    <t>000.MAG.22.M6</t>
  </si>
  <si>
    <t>Kostka zderzaka</t>
  </si>
  <si>
    <t>z łb. walc. gn. 6kąt. M8x55</t>
  </si>
  <si>
    <t>E</t>
  </si>
  <si>
    <t>z łb. walc. gn. 6kąt. M8x50</t>
  </si>
  <si>
    <t>Zatrzask kulowy</t>
  </si>
  <si>
    <t>Uchwyt</t>
  </si>
  <si>
    <t>095k4040f10</t>
  </si>
  <si>
    <t>Zawias 40X40 N10</t>
  </si>
  <si>
    <t>Zaślepka 40x40</t>
  </si>
  <si>
    <t>3 842 993 133</t>
  </si>
  <si>
    <t>REXROTH</t>
  </si>
  <si>
    <t>Kątownik 80x80</t>
  </si>
  <si>
    <t xml:space="preserve">Profil 80x80 </t>
  </si>
  <si>
    <t>S.Gawęcki</t>
  </si>
  <si>
    <t>Zespół podawania trzpienia</t>
  </si>
  <si>
    <t>A 10x8x40</t>
  </si>
  <si>
    <t>MGNR15HM L=80 otw. sym.</t>
  </si>
  <si>
    <t>MGN15CZ0HM</t>
  </si>
  <si>
    <t>Wózek</t>
  </si>
  <si>
    <t>GRLA-M5-QS-4-RS-D-197577</t>
  </si>
  <si>
    <t>walcowy 5x10</t>
  </si>
  <si>
    <t>G</t>
  </si>
  <si>
    <t>Kołek</t>
  </si>
  <si>
    <t>sześciokątna M6</t>
  </si>
  <si>
    <t>Nakrętka zwykła</t>
  </si>
  <si>
    <t>bez łba, koniec płaski M6x20</t>
  </si>
  <si>
    <t>JA15-6-100</t>
  </si>
  <si>
    <t>CDQ2B16-25DMZ</t>
  </si>
  <si>
    <t>RJ0604</t>
  </si>
  <si>
    <t>Profil 40x40L</t>
  </si>
  <si>
    <t>3 842 993 120/</t>
  </si>
  <si>
    <t>FESTO/Handlowy</t>
  </si>
  <si>
    <t xml:space="preserve">Złączka prosta </t>
  </si>
  <si>
    <t>093W404N10</t>
  </si>
  <si>
    <t>Kątownik 40x40</t>
  </si>
  <si>
    <t>098DM12100M</t>
  </si>
  <si>
    <t>Nóżka M12x100</t>
  </si>
  <si>
    <t>R35B</t>
  </si>
  <si>
    <t>NZ2GF2BN-60AD4</t>
  </si>
  <si>
    <t>NZ2GF2B1-32D</t>
  </si>
  <si>
    <t>NZ2GF2B1-32TE</t>
  </si>
  <si>
    <t>FR-E820S-0030-4-60</t>
  </si>
  <si>
    <t>FR-E820S-0008-4-60</t>
  </si>
  <si>
    <t>FR-E820S-0015-4-60</t>
  </si>
  <si>
    <t>GT2512-STBD-040</t>
  </si>
  <si>
    <t>RV-S Hand OUTPUT 
connector</t>
  </si>
  <si>
    <t>RV-2FRL-D-S25</t>
  </si>
  <si>
    <t>RV-7FRLLM-D</t>
  </si>
  <si>
    <t>zmiana typu</t>
  </si>
  <si>
    <t>PLC iQ-R Series| Main Base Unit, 5-slot</t>
  </si>
  <si>
    <t>PLC CC-Link IE Field I/O module|4 channels, Input: -10-10 V DC, 0-20 mA DC</t>
  </si>
  <si>
    <t>CC-Link IE field network remote IO, 32 Points Input Plus Common/Minus Common</t>
  </si>
  <si>
    <t>CC-Link IE field network remote IO, 32 Points Output Source</t>
  </si>
  <si>
    <t>GOT2000|12,1"TFT|DC|SVGA|65k colors|USB|Eth|SD|Without extension interface</t>
  </si>
  <si>
    <t>przewody STO do wszystkich serw</t>
  </si>
  <si>
    <t>dojazd pomiaru</t>
  </si>
  <si>
    <t>winda 1</t>
  </si>
  <si>
    <t>winda 2 ( rozładunek )</t>
  </si>
  <si>
    <t>pomiar właściwy ( obrót)</t>
  </si>
  <si>
    <t>manipulator osie 1/2/3</t>
  </si>
  <si>
    <t>Robot option Connection cable for customer specific valves</t>
  </si>
  <si>
    <t>Industrial Robot RV-2FR-D 6-axis| +/- 0,02mm|2kg|649mm|IP30|incl. CR800|no brake</t>
  </si>
  <si>
    <t>Industrial Robot RV-7FR-D 6-axis| +/- 0.06mm| 7kg| 1503mm| IP67| incl. CR800</t>
  </si>
  <si>
    <t xml:space="preserve">zmiana typu, zmniejszenie ilości </t>
  </si>
  <si>
    <t xml:space="preserve">zmniejszenie ilości </t>
  </si>
  <si>
    <t>ŁWCZ+MS</t>
  </si>
  <si>
    <t>ZAMÓWIENIE z/18927/2022</t>
  </si>
  <si>
    <t>magazym</t>
  </si>
  <si>
    <t>ZAMÓWIENIE z/18927/2022  ( MECON)</t>
  </si>
  <si>
    <t>6 MARZEC 2022</t>
  </si>
  <si>
    <t>30 STYCZEŃ 2022</t>
  </si>
  <si>
    <t>ELEKTRYCZNE ILOŚĆ NA 2 LINIE: PIERWSZA LINIA W KOLUMNIE 0 DRUGA LINIA W KOLUMNIE BB15</t>
  </si>
  <si>
    <t>ZAMÓWIENIE Z/1851, LINIA3/MS/2022  ( BALLUFF )  - 30 SZTUK !</t>
  </si>
  <si>
    <t>ZAPAS DO LINII NR 4: zlec 1927</t>
  </si>
  <si>
    <t>MS: Z ROZMOWY Z BALLUFF 26.07.2022 - TERMIN OK KOŃCA LIPCA</t>
  </si>
  <si>
    <t>ZAMÓWIENIE Z/701/1851/MS/2022   ( ŁĄCZNIE 13 SZTUK )</t>
  </si>
  <si>
    <t>MS: Z ROZMOWY Z BALLUFF 26.07.2022 - TERMIN NIEZNANY !!!!!</t>
  </si>
  <si>
    <t>MS: Z ROZMOWY Z BALLUFF 26.07.2022 - TERMIN OK POŁOWY SIERPNIA</t>
  </si>
  <si>
    <t>ZAMÓWIENIE Z/705/1851/MS/2022  ( ŁĄCZNIE 3 SZTUKI )</t>
  </si>
  <si>
    <t>2022-06-24 MK</t>
  </si>
  <si>
    <t>ZAMÓWIENIE Z/705/1851/MS/2022  ( ŁĄCZNIE 9 SZTUK )</t>
  </si>
  <si>
    <t>6
4
4</t>
  </si>
  <si>
    <t>2022-08-22 Sylwek
2022-09-12 op
2022-11-28 JP</t>
  </si>
  <si>
    <t>2022-07-25 mj 
14 szt. przekazane do zlecenia, 16 szt. magazyn</t>
  </si>
  <si>
    <t>13.05.2022+17.08.2022</t>
  </si>
  <si>
    <t>ZAMÓWIENIE Z/704/1851/MS/2022 ( ŁĄCZNIE 10 SZTUK) + 4 SZTUKI RS COMPONETS Z/1559/1857/MS/2022</t>
  </si>
  <si>
    <t>2022-10-14 JP</t>
  </si>
  <si>
    <t>ELEKTRYCZNE ILOŚĆ NA 2 LINIE: PIERWSZA LINIA W KOLUMNIE 0 DRUGA LINIA W KOLUMNIE BB7</t>
  </si>
  <si>
    <t>RS COMPONENTS DODATKOWO</t>
  </si>
  <si>
    <t>ELEKTRYCZNE ILOŚĆ NA 2 LINIE: PIERWSZA LINIA W KOLUMNIE 0 DRUGA LINIA W KOLUMNIE BB6</t>
  </si>
  <si>
    <t>2022-07-25 mj 
2 szt. przekazane do zlecenia, 1 szt. magazyn</t>
  </si>
  <si>
    <t>łwcześniak+mstrzeelcki</t>
  </si>
  <si>
    <t>ELEKTRYCZNE ILOŚĆ NA 2 LINIE: PIERWSZA LINIA W KOLUMNIE 0 DRUGA LINIA W KOLUMNIE BB5</t>
  </si>
  <si>
    <t xml:space="preserve">ELEKTRYCZNE ILOŚĆ NA 2 LINIE: PIERWSZA LINIA W KOLUMNIE 0 DRUGA LINIA W KOLUMNIE BB1 </t>
  </si>
  <si>
    <t>08.07.2022</t>
  </si>
  <si>
    <t>Ł.Wcześniak</t>
  </si>
  <si>
    <t>Panel sterowniczy PIZZATO BN</t>
  </si>
  <si>
    <t>BN AC4ZA28</t>
  </si>
  <si>
    <t>Panel sterowniczy: 1x przycisk biały
1NO, 1x przycisk niebieski 1NO, 1x
przycisk żółty 1NO, 1x E-Stop 2NC, z
konektorem M12</t>
  </si>
  <si>
    <t>PIZZATO</t>
  </si>
  <si>
    <t>M12 złącze żeńskie proste
12-pinowe z kablem 5 m</t>
  </si>
  <si>
    <t>VF CA12PD5M</t>
  </si>
  <si>
    <t>zamówienie Z/1851-1927/MS/2022  ( łacznie  3 sztuki )</t>
  </si>
  <si>
    <t>Lustro czujnika refleksyjnego</t>
  </si>
  <si>
    <t>E39-R4</t>
  </si>
  <si>
    <t>E39-R9</t>
  </si>
  <si>
    <t>zamówienie  1371/1851-1927/MS/2022  ( zakup 100 sztuk)</t>
  </si>
  <si>
    <t>2022-09-29 Jarek (dostarczono 100 szt.)</t>
  </si>
  <si>
    <t>zamówienie  1371/1851-1927/MS/2022  ( zakup 20 sztuk)</t>
  </si>
  <si>
    <t>2022-09-29 Jarek (dostarczono 50 szt.)</t>
  </si>
  <si>
    <t>ELEKTRYCZNE ILOŚĆ NA 2 LINIE: PIERWSZA LINIA W KOLUMNIE 0 DRUGA LINIA W KOLUMNIE BB3</t>
  </si>
  <si>
    <t xml:space="preserve">Wtyczka do wysp zaworowych IO-Link   </t>
  </si>
  <si>
    <t xml:space="preserve">BNI006P              </t>
  </si>
  <si>
    <t xml:space="preserve">BNI IOL-104-000-K006    </t>
  </si>
  <si>
    <t xml:space="preserve">BNI IOL-751-V10-K007   </t>
  </si>
  <si>
    <t>MS: WG. FAKTURY 14 SZTUK PRZYSZŁO 10-10-2022 ??</t>
  </si>
  <si>
    <t>MS: NIE ZAKUPIONE DO LINII 1927</t>
  </si>
  <si>
    <t>MAGZYN</t>
  </si>
  <si>
    <t>Tulejka montazowa</t>
  </si>
  <si>
    <t>OP-76874</t>
  </si>
  <si>
    <t>KEYENCE</t>
  </si>
  <si>
    <t>Głowica czujnika, model z cylindrem pneumatycznym / Czujnik liniowy</t>
  </si>
  <si>
    <t>Głowica czujnika odbiciowego światłowodowego</t>
  </si>
  <si>
    <t>FU-57TZ</t>
  </si>
  <si>
    <t>Kabel głowicy pomarowej 5m (wtyczka prosta)</t>
  </si>
  <si>
    <t>GT2-CH5M  TO JEST ZWYKŁY PRZEWÓD MOŻE BYĆ NONAME</t>
  </si>
  <si>
    <t>MS: KOPIA 50% Z PROJEKTU 1851 - DO DALSZEJ EDYCJI</t>
  </si>
  <si>
    <t>L=700 mm</t>
  </si>
  <si>
    <t>L=5300 mm</t>
  </si>
  <si>
    <t>Stół obrotowy TC0120G</t>
  </si>
  <si>
    <t>TC0120G-0000-0000-10</t>
  </si>
  <si>
    <t>SS5Y5-10-5059OFZ</t>
  </si>
  <si>
    <t>Wyspa zaworowa, Seria SY5000 (Type 10), 12 Stanowisk Wtyk</t>
  </si>
  <si>
    <t xml:space="preserve">Z MAGAZYNU PROMETIK PLUS 6 SZTUK MINIMIM </t>
  </si>
  <si>
    <t>magazyn   DO WYKORZYSTANIA W INNYCH PROJEKTACH NIŻ 1927</t>
  </si>
  <si>
    <t>REXROTH / fath</t>
  </si>
  <si>
    <t>MS&gt;&gt;MK 1 SZT</t>
  </si>
  <si>
    <t>MS&gt;&gt;MK 3 SZT</t>
  </si>
  <si>
    <t>GT2-A12   k?</t>
  </si>
  <si>
    <t>2022-12-12 MK</t>
  </si>
  <si>
    <t>mag</t>
  </si>
  <si>
    <t>6 mag</t>
  </si>
  <si>
    <t>na magazynie mamy 10x8x80</t>
  </si>
  <si>
    <t>2022-12-12 MK od Pana Marka</t>
  </si>
  <si>
    <t>Z/KIPP/1927/575/MK</t>
  </si>
  <si>
    <t>dostawa 2023-02-15</t>
  </si>
  <si>
    <t>Bidon</t>
  </si>
  <si>
    <t xml:space="preserve">Kątownik 40-40 </t>
  </si>
  <si>
    <t>DAS30 05CR</t>
  </si>
  <si>
    <t>Zawór dozujący</t>
  </si>
  <si>
    <t>DAVTECH</t>
  </si>
  <si>
    <t>Decathlon/Alustar</t>
  </si>
  <si>
    <t>Koszyk bidonu</t>
  </si>
  <si>
    <t>ZK2A12K5RWA-08</t>
  </si>
  <si>
    <t>odłożone na magazynie</t>
  </si>
  <si>
    <t>M8x1</t>
  </si>
  <si>
    <t>1012BS 2600812060</t>
  </si>
  <si>
    <t>Tulejka ślizgowa</t>
  </si>
  <si>
    <t>BIMET</t>
  </si>
  <si>
    <t>ZP08BS+ZPT1-A5</t>
  </si>
  <si>
    <t>Złączka</t>
  </si>
  <si>
    <t>Y-G02</t>
  </si>
  <si>
    <t>CDQ2B20_10DMZ</t>
  </si>
  <si>
    <t>HLH20X60S</t>
  </si>
  <si>
    <t>AirTAC</t>
  </si>
  <si>
    <t>HLH20X40S</t>
  </si>
  <si>
    <t>Zespół smarowania dźwigni</t>
  </si>
  <si>
    <t>Profil 40x80L</t>
  </si>
  <si>
    <t>4 842 993 130/</t>
  </si>
  <si>
    <t xml:space="preserve">Siłownik </t>
  </si>
  <si>
    <t>JP</t>
  </si>
  <si>
    <t>2022-12-14 JP</t>
  </si>
  <si>
    <t>HGL-M5-B / 530029</t>
  </si>
  <si>
    <t>wykorzystać zdemontowany z linii 1851</t>
  </si>
  <si>
    <t>wykorzystać zdemontowany z linii  1851</t>
  </si>
  <si>
    <t>2022-12-15 MK po projekcie 1851</t>
  </si>
  <si>
    <t>Z/QUAY/1927/582/MK</t>
  </si>
  <si>
    <t>100 - Zespół Ramy Transportera</t>
  </si>
  <si>
    <t>200 - Montaż Bumper</t>
  </si>
  <si>
    <t>300 - Montaż dźwigni</t>
  </si>
  <si>
    <t>400 - Montaż Trzpienia</t>
  </si>
  <si>
    <t>500 - Montaż Sprężyny</t>
  </si>
  <si>
    <t>600 - Stacja Testu</t>
  </si>
  <si>
    <t>700 - Zespół  Znakowania</t>
  </si>
  <si>
    <t xml:space="preserve">800 - Rozładunek/Pakowanie </t>
  </si>
  <si>
    <t>docisk komponentu</t>
  </si>
  <si>
    <t>5 mag</t>
  </si>
  <si>
    <t>2022-12-16 MK ŁW</t>
  </si>
  <si>
    <t>Rozdzielacz akty+AL73+F72:K73+F72:L73+F72:L72+F72:M72</t>
  </si>
  <si>
    <r>
      <t xml:space="preserve">2022-12-15 MK po projekcie 1851 
</t>
    </r>
    <r>
      <rPr>
        <sz val="14"/>
        <color indexed="10"/>
        <rFont val="Arial"/>
        <family val="2"/>
        <charset val="238"/>
      </rPr>
      <t>4 szt. zabrane do projektu 1948 2022-12-16 MK ŁW</t>
    </r>
  </si>
  <si>
    <t>Wieszak na przewód</t>
  </si>
  <si>
    <t>https://allegro.pl/oferta/hak-podwojny-garazowy-wieszak-uchwyt-na-narzedzia-9524419584?fromVariant=9524415985</t>
  </si>
  <si>
    <t>Allegro</t>
  </si>
  <si>
    <t>na 4 linie</t>
  </si>
  <si>
    <t>Panel HMI</t>
  </si>
  <si>
    <t>K0142.11203</t>
  </si>
  <si>
    <t>Pokrętło radełkowe</t>
  </si>
  <si>
    <t>MC-647</t>
  </si>
  <si>
    <t>Uchwyt Monitora</t>
  </si>
  <si>
    <t>Maclean</t>
  </si>
  <si>
    <t>1827-01-PRT-A0056636-A-Transporter</t>
  </si>
  <si>
    <t>PRT-A0056636</t>
  </si>
  <si>
    <t>1827-01-PRT-A0056488-A-Transporter Windy</t>
  </si>
  <si>
    <t>PRT-A0056488</t>
  </si>
  <si>
    <t>AS1201F-M5-04A</t>
  </si>
  <si>
    <t>Zawór dławiąco-
zwrotny</t>
  </si>
  <si>
    <t>AS1201F-M5-
04A</t>
  </si>
  <si>
    <t>RQSL 186</t>
  </si>
  <si>
    <t>Złącze katowe</t>
  </si>
  <si>
    <t>RQS</t>
  </si>
  <si>
    <t>E39_L117</t>
  </si>
  <si>
    <t>Mocowanie czujnika</t>
  </si>
  <si>
    <t>E39-L117</t>
  </si>
  <si>
    <t>ZBS-4</t>
  </si>
  <si>
    <t>Trzpień centrujący</t>
  </si>
  <si>
    <t>098DM12150M</t>
  </si>
  <si>
    <t>Trzpień stopki</t>
  </si>
  <si>
    <t>HLS12X20SB</t>
  </si>
  <si>
    <t>Stół przesuwny</t>
  </si>
  <si>
    <t>Montaż Bumper</t>
  </si>
  <si>
    <t>Nazwa Podzespołu</t>
  </si>
  <si>
    <t>2022-12-20 MK po projekcie 1851</t>
  </si>
  <si>
    <t>zamówienie Z/1368/1927/MS/2022
po projekcie 1851</t>
  </si>
  <si>
    <t>zamówienie Z/1366/1851, 1927/MS/2022
po projekcie 1851</t>
  </si>
  <si>
    <t>zamówienie Z/1366/1851, 1927/MS/2022
 po projekcie 1851</t>
  </si>
  <si>
    <t>2 szt.</t>
  </si>
  <si>
    <t>zamówienie Z/1369/1927/MS/2022
po projekcie 1851</t>
  </si>
  <si>
    <t>2022-12-20 MK po projekcie 1851 Allen-Bradley 440G-T27121</t>
  </si>
  <si>
    <t>po projekcie 1851</t>
  </si>
  <si>
    <t>2022-12-20 MK po projekcie</t>
  </si>
  <si>
    <t>2022-12-20 po projekcie 1851</t>
  </si>
  <si>
    <t>2022-12-21 MK po projekcie 1851</t>
  </si>
  <si>
    <t>ZAMÓWIENIE z/18927/2022
po projekcie 1851</t>
  </si>
  <si>
    <t>VM430-F01-01S</t>
  </si>
  <si>
    <t>Zawór</t>
  </si>
  <si>
    <t>Elementy poziomujące 
nastawne z podkładką 
wahliwą</t>
  </si>
  <si>
    <t>K0691.201</t>
  </si>
  <si>
    <t>Podkładka wahliwa</t>
  </si>
  <si>
    <t>094005M6</t>
  </si>
  <si>
    <t>Uniblock</t>
  </si>
  <si>
    <t>098DM16100M</t>
  </si>
  <si>
    <t>Nóżka M16x100</t>
  </si>
  <si>
    <t>Stół sprężyny</t>
  </si>
  <si>
    <t>Profil 30x30</t>
  </si>
  <si>
    <t>Zespół stołu obrotowego</t>
  </si>
  <si>
    <t>2022-12-27 JP</t>
  </si>
  <si>
    <t>JT20_M8x1.25</t>
  </si>
  <si>
    <t xml:space="preserve">Amortyzator </t>
  </si>
  <si>
    <t>CD55B20-80M</t>
  </si>
  <si>
    <t>HGR15R L=150mm 3 otw. 
sym.</t>
  </si>
  <si>
    <t>HGR15R</t>
  </si>
  <si>
    <t>HGH15CAZOH</t>
  </si>
  <si>
    <t>Zawór natryskowy</t>
  </si>
  <si>
    <t>Smarowanie Sprężyny</t>
  </si>
  <si>
    <t>2912.2022</t>
  </si>
  <si>
    <t>Ł.Woźniak</t>
  </si>
  <si>
    <t>Pas transportowy</t>
  </si>
  <si>
    <t>YONG LI</t>
  </si>
  <si>
    <t>H</t>
  </si>
  <si>
    <t>Łożysko kulkowe 6304</t>
  </si>
  <si>
    <t>Łożysko toczne</t>
  </si>
  <si>
    <t>--Łożysko kulk. zwyk-C-Łożysko toczne</t>
  </si>
  <si>
    <t>PN-85M-86100</t>
  </si>
  <si>
    <t>T0308_20x38</t>
  </si>
  <si>
    <t>Tuleja rozprężna BK61</t>
  </si>
  <si>
    <t>--Tuleja rozprężna BK61-A-Tuleja rozprężna BK61</t>
  </si>
  <si>
    <t>T0308</t>
  </si>
  <si>
    <t>PIVEXIN</t>
  </si>
  <si>
    <t>Śruba pasowana</t>
  </si>
  <si>
    <t>0--Śruba pasowana - ISO 7379 - kipp-H-Śruba pasowana</t>
  </si>
  <si>
    <t>FABORY</t>
  </si>
  <si>
    <t>DIN 912</t>
  </si>
  <si>
    <t>Z 20</t>
  </si>
  <si>
    <t>Seger zewnętrzny</t>
  </si>
  <si>
    <t>--DIN 471 Z-A-Seger zewnętrzny</t>
  </si>
  <si>
    <t>DIN 471</t>
  </si>
  <si>
    <t>A 4x4x40</t>
  </si>
  <si>
    <t>Wpust pryzmatyczny</t>
  </si>
  <si>
    <t>--DIN 6885 A-D-Wpust pryzmatyczny</t>
  </si>
  <si>
    <t>DIN 6885 A</t>
  </si>
  <si>
    <t>Ramie reakcyjne CHT MV 25</t>
  </si>
  <si>
    <t>Transporter NOK</t>
  </si>
  <si>
    <t>ISO 739</t>
  </si>
  <si>
    <t>KACPEREK</t>
  </si>
  <si>
    <t>Motoreduktor</t>
  </si>
  <si>
    <t xml:space="preserve"> Φ8x30</t>
  </si>
  <si>
    <t xml:space="preserve"> z łb. walc. gn. 6kąt. M5x20</t>
  </si>
  <si>
    <t>DL84 0,12kW</t>
  </si>
  <si>
    <t>RULMECA</t>
  </si>
  <si>
    <t>H. Elek.</t>
  </si>
  <si>
    <t>Bęben napinający</t>
  </si>
  <si>
    <t>800HV</t>
  </si>
  <si>
    <t>Element z oferty OF22P00526-2</t>
  </si>
  <si>
    <t>3 842 993 130/</t>
  </si>
  <si>
    <t>Podajnik OK</t>
  </si>
  <si>
    <t>Podajnik NOK</t>
  </si>
  <si>
    <t>AC-300S</t>
  </si>
  <si>
    <t>Koło ze stopką</t>
  </si>
  <si>
    <t>CARRYMASTER</t>
  </si>
  <si>
    <t>Przegub 40x40</t>
  </si>
  <si>
    <t>3 842 532 235</t>
  </si>
  <si>
    <t>Zespół pakowania</t>
  </si>
  <si>
    <t>Obrobić na 801,4</t>
  </si>
  <si>
    <t>CP96SDB32-350C</t>
  </si>
  <si>
    <t>0--CP96SDB32-350C-B-Siłownik</t>
  </si>
  <si>
    <t>JT32</t>
  </si>
  <si>
    <t>0---JT32-0-Sprzęgło</t>
  </si>
  <si>
    <t>CD55B40-125</t>
  </si>
  <si>
    <t>Siłownik 
pneumatyczny</t>
  </si>
  <si>
    <t>0--CD55B40-125-A-Siłownik pneumatyczny</t>
  </si>
  <si>
    <t>GRLARQS 186</t>
  </si>
  <si>
    <t>Zawór dławiąco - 
zwrotny</t>
  </si>
  <si>
    <t>--GRLARQS 186-C-Zawór dławiąco - zwrotny</t>
  </si>
  <si>
    <t>Prowadnik kablowy</t>
  </si>
  <si>
    <t>1927--1927 - 0.78m B07.30.038.0 + 060.30.12PZ.A2-A-
Prowadnik kablowy</t>
  </si>
  <si>
    <t>Wózek HGW20CCZOH</t>
  </si>
  <si>
    <t>--HGW20CCZOH-B-Wózek</t>
  </si>
  <si>
    <t>HGW20CCZOH</t>
  </si>
  <si>
    <t>--HGR20R-G-Szyna</t>
  </si>
  <si>
    <t>HGR20R</t>
  </si>
  <si>
    <t>0--DIN 934-E-Nakrętka zwykła</t>
  </si>
  <si>
    <t>DIN 934</t>
  </si>
  <si>
    <t>A 6x6x40</t>
  </si>
  <si>
    <t>ACA1412-1</t>
  </si>
  <si>
    <t>Amortyzator 
hydrauliczny</t>
  </si>
  <si>
    <t>0---ACA1412-1-0-Amortyzator hydrauliczny</t>
  </si>
  <si>
    <t>0.78m B07.30.038.0 + 060.30.12PZ.A2</t>
  </si>
  <si>
    <t>HGR20R L=445mm 8 otw. sym.</t>
  </si>
  <si>
    <t>HGR20R L=320mm 6 otw. sym.</t>
  </si>
  <si>
    <t>sześciokątna M8x1</t>
  </si>
  <si>
    <t>drobnozwojna</t>
  </si>
  <si>
    <t>39 ogniw + zestaw końcowy</t>
  </si>
  <si>
    <t>Zespół montażu sprężyny</t>
  </si>
  <si>
    <t xml:space="preserve">VP744R-5DZ1-04F-X538 </t>
  </si>
  <si>
    <t xml:space="preserve">Zawory bezpieczne    </t>
  </si>
  <si>
    <t>AC40-OFY01033</t>
  </si>
  <si>
    <t>Zestaw przygotowania powietrza</t>
  </si>
  <si>
    <t>Przygotowanie Powietrza</t>
  </si>
  <si>
    <t>SY5120-5YO-C6F-F2-Q</t>
  </si>
  <si>
    <t>SY5000, Zawór rozdzielające 5-drogowe 5/2 Monostabilny</t>
  </si>
  <si>
    <t>Zawory stoperów</t>
  </si>
  <si>
    <t>SY7320-5YO-02F-F2-Q</t>
  </si>
  <si>
    <t>SY7000, Zawór rozdzielające 5-drogowe 5/3 w środkowej pozycji zamknięty</t>
  </si>
  <si>
    <t>Zawory bazowania paletki</t>
  </si>
  <si>
    <t>Sprawdzić stany magazynowe</t>
  </si>
  <si>
    <t>K43</t>
  </si>
  <si>
    <t>Wtyczka zaworu pneumatycznego</t>
  </si>
  <si>
    <t>Zespół Rama Podajników</t>
  </si>
  <si>
    <t>Obrobić na 470,3</t>
  </si>
  <si>
    <t>Transporter OK</t>
  </si>
  <si>
    <t xml:space="preserve">Zespół pakowania </t>
  </si>
  <si>
    <t>Tzrpień stopki</t>
  </si>
  <si>
    <t>sześciokątna M12</t>
  </si>
  <si>
    <t>Bosch Rexroth-Przegub 40x40 
elast.</t>
  </si>
  <si>
    <t>Rama podajników</t>
  </si>
  <si>
    <t>Oprawa natynkowa</t>
  </si>
  <si>
    <t>VO 0412</t>
  </si>
  <si>
    <t>SW-Material</t>
  </si>
  <si>
    <t>Volteno</t>
  </si>
  <si>
    <t>K0695.0716</t>
  </si>
  <si>
    <t>Zmiana typu artykułu 2023.01.02</t>
  </si>
  <si>
    <t>Wygrodzenie</t>
  </si>
  <si>
    <t>K0521.130X1650</t>
  </si>
  <si>
    <t>Języczek zamka</t>
  </si>
  <si>
    <t>0--K0521.130X1650-A-Języczek zamka</t>
  </si>
  <si>
    <t>K0520.131</t>
  </si>
  <si>
    <t>Zamek</t>
  </si>
  <si>
    <t>--K0520.131-B-Zamek</t>
  </si>
  <si>
    <t>0--092001-A-Uchwyt</t>
  </si>
  <si>
    <t>--091046-B-Zaślepka 40x40</t>
  </si>
  <si>
    <t>0--098DM12150M-A-Tzrpień stopki</t>
  </si>
  <si>
    <t>0--098D080KG-D-Stopka 80kg</t>
  </si>
  <si>
    <t>--095k4040f10-B-Zawias 40X40 N10</t>
  </si>
  <si>
    <t>2023-01-03 MK po projekcie 1851</t>
  </si>
  <si>
    <t>2023-01-04 MK po projekcie 1851</t>
  </si>
  <si>
    <t>2023-01-04 MK JP</t>
  </si>
  <si>
    <t>magazyn 4x4x20 / 4x4x45</t>
  </si>
  <si>
    <t>08.01.2023 - DWIE PALETY MAMY NA MAGAZYNIE ???</t>
  </si>
  <si>
    <t>Zamówienie Z/ATCP/1927/1948/606/MK</t>
  </si>
  <si>
    <t>dostawa w 4 tygodniu lutego</t>
  </si>
  <si>
    <t>Z/IGUS/1927/1943/610/MK</t>
  </si>
  <si>
    <t>2023-01-11 MK</t>
  </si>
  <si>
    <t>2023-01-12 JP</t>
  </si>
  <si>
    <t>Z/KACPEREK/1927/624/MK</t>
  </si>
  <si>
    <t>DOSTAWA 2023-03-15</t>
  </si>
  <si>
    <t xml:space="preserve">Z/FATH/1927/1948/608/MK </t>
  </si>
  <si>
    <t>Y-G012</t>
  </si>
  <si>
    <t>Końcówka widełkowa</t>
  </si>
  <si>
    <t>MHW2-32D</t>
  </si>
  <si>
    <t>CQ-D012</t>
  </si>
  <si>
    <t>Wspornik montażowy</t>
  </si>
  <si>
    <t>CDQMB16-20</t>
  </si>
  <si>
    <t>CDQ2A12-20M</t>
  </si>
  <si>
    <t>WAI 18 K</t>
  </si>
  <si>
    <t xml:space="preserve">Kolanko </t>
  </si>
  <si>
    <t>K0574.02002455</t>
  </si>
  <si>
    <t>K0342.3004</t>
  </si>
  <si>
    <t>Trzpień ustalający</t>
  </si>
  <si>
    <t>HGL-M5-B</t>
  </si>
  <si>
    <t>1010BS</t>
  </si>
  <si>
    <t>Tulejka samosmarna</t>
  </si>
  <si>
    <t>Chwytak 2-szczękowy, 
kątowy, mechanizm 
zębatkowy</t>
  </si>
  <si>
    <t>Siłownik kompaktowy 
zabezpieczony przed 
obrotem</t>
  </si>
  <si>
    <t>Amortyzatory gumowe 
paraboliczne</t>
  </si>
  <si>
    <t>Zawór zwrotny 
sterowany</t>
  </si>
  <si>
    <t>037624 10</t>
  </si>
  <si>
    <t>WURTH</t>
  </si>
  <si>
    <t>CDQ2A12-
20DMZ</t>
  </si>
  <si>
    <t>H. Mech</t>
  </si>
  <si>
    <t>Bimex</t>
  </si>
  <si>
    <t>M4 z kołnierzem</t>
  </si>
  <si>
    <t>Kiść rozładunkowa</t>
  </si>
  <si>
    <t>Mufa połączeniowa - SKD-8X10-M4</t>
  </si>
  <si>
    <t>SKD-8X10-M4</t>
  </si>
  <si>
    <t>2023-01-13 JP</t>
  </si>
  <si>
    <t>Z/SMC/1912/1927/1948/626/MK</t>
  </si>
  <si>
    <t xml:space="preserve">HT100B105C0320SANNRX079G0603 </t>
  </si>
  <si>
    <t>Prowadnica Liniowa</t>
  </si>
  <si>
    <t>25-002372</t>
  </si>
  <si>
    <t>Zaślepka koła pasowego HT100B</t>
  </si>
  <si>
    <t>093W403N10</t>
  </si>
  <si>
    <t>Kątownik 40x80</t>
  </si>
  <si>
    <t>3 842 528 746</t>
  </si>
  <si>
    <t>Łącznik profilu 180, 
N10</t>
  </si>
  <si>
    <t>3 842 528 968</t>
  </si>
  <si>
    <t>Zaślepka 40x40L</t>
  </si>
  <si>
    <t>3 842 528 967</t>
  </si>
  <si>
    <t>3 842 529 005</t>
  </si>
  <si>
    <t xml:space="preserve">Kątownik 40-80 </t>
  </si>
  <si>
    <t>PRT-A0057980</t>
  </si>
  <si>
    <t>Rolka</t>
  </si>
  <si>
    <t>Przyssawka</t>
  </si>
  <si>
    <t>HGR25R L=520mm 9 otw. 
sym.</t>
  </si>
  <si>
    <t>HGR25R</t>
  </si>
  <si>
    <t>C5050</t>
  </si>
  <si>
    <t>Ucho pojedyncze</t>
  </si>
  <si>
    <t>Φ12x60</t>
  </si>
  <si>
    <t>Wózek HGH25HAZ0H</t>
  </si>
  <si>
    <t>bez łba, koniec płaski M12x55</t>
  </si>
  <si>
    <t>DIN 913</t>
  </si>
  <si>
    <t>Φ12x70</t>
  </si>
  <si>
    <t>093T40801212R</t>
  </si>
  <si>
    <t>Płytka stopki 40X80 
M12</t>
  </si>
  <si>
    <t>Zaślepka 40x80</t>
  </si>
  <si>
    <t>HGR15R L=170mm 3 otw. 
sym.</t>
  </si>
  <si>
    <t>CD85N20-100C-B</t>
  </si>
  <si>
    <t>3 842 548 783</t>
  </si>
  <si>
    <t>Zaślepka 40x40 z 
otworem</t>
  </si>
  <si>
    <t>Montaż Dźwigni</t>
  </si>
  <si>
    <t>HLS12X30-S</t>
  </si>
  <si>
    <t>HGH25HAZ0H</t>
  </si>
  <si>
    <t>M.Szcześniak</t>
  </si>
  <si>
    <t>Montaż dźwigni- zabudowa boczna</t>
  </si>
  <si>
    <t>Montaż dźwigni- zabudowa podajnika</t>
  </si>
  <si>
    <t>Montaż dźwigni- rama przenośnika dźwigni</t>
  </si>
  <si>
    <t>Profil zjazdu pudełka</t>
  </si>
  <si>
    <t>Montaż dźwigni- rama transportera zewnętrznego</t>
  </si>
  <si>
    <t>Montaż dźwigni- rama transportera wewnętrznego</t>
  </si>
  <si>
    <t>HFK20B</t>
  </si>
  <si>
    <t>Chwytak</t>
  </si>
  <si>
    <t>EAMD-28-22-14-10X12</t>
  </si>
  <si>
    <t>K0477.550</t>
  </si>
  <si>
    <t>1927--1927 - 0.274m B15i.025.038.0 + podparty025.12PZ.A2</t>
  </si>
  <si>
    <t>0.274m B15i.025.038.0 + podparty025.12P
Z.A2</t>
  </si>
  <si>
    <t>0.274m B15i.025.038.0 + podparty025.12PZ.A2</t>
  </si>
  <si>
    <t>HS21XD1YT1-0800-0660A2R + HC025B081N0100SANNN</t>
  </si>
  <si>
    <t>EAMD-28-22-14-10x12</t>
  </si>
  <si>
    <t>Portal XYZ</t>
  </si>
  <si>
    <t>wg oferty 20022674A z 17.01.2023</t>
  </si>
  <si>
    <t>DAS 100/50F</t>
  </si>
  <si>
    <t>BSLM02</t>
  </si>
  <si>
    <t>Tłumik z brązu 
spiekanego (Płaski)</t>
  </si>
  <si>
    <t>0---BSLM02-0-Tłumik z brązu spiekanego (Płaski)</t>
  </si>
  <si>
    <t>095k3040f00</t>
  </si>
  <si>
    <t>Zawias 30X40 N8</t>
  </si>
  <si>
    <t>0--095k3040f00-A-Zawias 30X40 N8</t>
  </si>
  <si>
    <t>K1569.0300</t>
  </si>
  <si>
    <t>Prowadnica 
teleskopowa</t>
  </si>
  <si>
    <t>MU 1414</t>
  </si>
  <si>
    <t>Mufka 1/4</t>
  </si>
  <si>
    <t>Rura hydr. precyzyjna 
8x1,5 mm E235</t>
  </si>
  <si>
    <t>HD-M-08L</t>
  </si>
  <si>
    <t>Nakrętka M do 
łączników DIN 2353</t>
  </si>
  <si>
    <t>HD-GE-08L-BE-04</t>
  </si>
  <si>
    <t>Przyłączka wkrętna 
GE-BE</t>
  </si>
  <si>
    <t>HD-D-08</t>
  </si>
  <si>
    <t>Pierścień zacinający D</t>
  </si>
  <si>
    <t>TUBES-INTERNATIONAL</t>
  </si>
  <si>
    <t>PT10 LSLS</t>
  </si>
  <si>
    <t>Zbiornik ciśnieniowy na olej</t>
  </si>
  <si>
    <t>HR-HPC1-08X1,5</t>
  </si>
  <si>
    <t>MAG</t>
  </si>
  <si>
    <t>2023-01-19 JP</t>
  </si>
  <si>
    <t>PRT-A0056240</t>
  </si>
  <si>
    <t>Śruba kulowa</t>
  </si>
  <si>
    <t>Śruba kulowa wg Rysunku: 1927-102-PRT-A0056240-A-Śruba kulowa</t>
  </si>
  <si>
    <t>Skok gwintu P=10</t>
  </si>
  <si>
    <t>D.Papka</t>
  </si>
  <si>
    <t>SX5000-16-1A</t>
  </si>
  <si>
    <t>Wspornik boczny</t>
  </si>
  <si>
    <t>D5032</t>
  </si>
  <si>
    <t>CD55B63-50</t>
  </si>
  <si>
    <t>CD55B50-50</t>
  </si>
  <si>
    <t>C5032</t>
  </si>
  <si>
    <t>ASP330F-01-06S</t>
  </si>
  <si>
    <t>SN-80-5/7MP90A-70-A</t>
  </si>
  <si>
    <t>Przekładnia planetarna</t>
  </si>
  <si>
    <t>d1=19 mm</t>
  </si>
  <si>
    <t>LM12LUU</t>
  </si>
  <si>
    <t>H.Mech.</t>
  </si>
  <si>
    <t>K0571.02002555</t>
  </si>
  <si>
    <t>Odbój</t>
  </si>
  <si>
    <t>HGW25CCZOH</t>
  </si>
  <si>
    <t>R32-10K5-FSCDIN</t>
  </si>
  <si>
    <t>Śruba kulowa P=10</t>
  </si>
  <si>
    <t>SB09C63269</t>
  </si>
  <si>
    <t xml:space="preserve">SKOK GWINTU P=10 </t>
  </si>
  <si>
    <t>HGL15CAZ0H</t>
  </si>
  <si>
    <t>PRT-A0059002</t>
  </si>
  <si>
    <t>1927-115-PRT-A0059002-0-Listwa montażowa</t>
  </si>
  <si>
    <t>YSR-8-8-C</t>
  </si>
  <si>
    <t>YSR-8-8-C-B-Amortyzator hydrauliczny M12x1</t>
  </si>
  <si>
    <t>GKM10-20</t>
  </si>
  <si>
    <t>Głowica widełkowa</t>
  </si>
  <si>
    <t>CP96SDB32-460C</t>
  </si>
  <si>
    <t>098DM16150M</t>
  </si>
  <si>
    <t>Nóżka M16x150</t>
  </si>
  <si>
    <t>098DM16150M-0-Nóżka M16x150</t>
  </si>
  <si>
    <t>Stopka 80</t>
  </si>
  <si>
    <t xml:space="preserve">098D080KG-0-Stopka </t>
  </si>
  <si>
    <t xml:space="preserve"> Zawór zwrotny sterowany 
ASP330F-01-06S</t>
  </si>
  <si>
    <t>LMF25LUU</t>
  </si>
  <si>
    <t>LMF16LUU</t>
  </si>
  <si>
    <t>PRT-A0056257</t>
  </si>
  <si>
    <t xml:space="preserve">Szyna </t>
  </si>
  <si>
    <t xml:space="preserve">HGR25R </t>
  </si>
  <si>
    <t xml:space="preserve">FK20-C5 </t>
  </si>
  <si>
    <t>FK20-C5-Wariant B-0-Zespół łożyskowy stały</t>
  </si>
  <si>
    <t>Wariant B</t>
  </si>
  <si>
    <t>FK20-C5</t>
  </si>
  <si>
    <t>FK20-C5-Wariant A-0-Zespół łożyskowy stały</t>
  </si>
  <si>
    <t>Wariant A</t>
  </si>
  <si>
    <t>Szerokość 400 mm; Długość L = 5300 mm</t>
  </si>
  <si>
    <t>Szerokość 400 mm; Długość L = 700 mm</t>
  </si>
  <si>
    <t>PRT-A0050274</t>
  </si>
  <si>
    <t>Wkręt dociskowy z gniazdem sześciokątnym z czopem walcowym M16x40</t>
  </si>
  <si>
    <t>1927-106-PRT-A0050274-B-Śruba podpierająca</t>
  </si>
  <si>
    <t>07820.160.040</t>
  </si>
  <si>
    <t>FABORY lub ARGIP</t>
  </si>
  <si>
    <t>Skrawanie</t>
  </si>
  <si>
    <t>PRT-A0059005</t>
  </si>
  <si>
    <t>Prowadnik kablowy z mocowaniem</t>
  </si>
  <si>
    <t>14.1.028.0-114.12PZ</t>
  </si>
  <si>
    <t>18 ogniw+pełny zestaw końcowy</t>
  </si>
  <si>
    <t>PRT-A0059004</t>
  </si>
  <si>
    <t>L=820 mm Otwory symetrycznie</t>
  </si>
  <si>
    <t>D22098U</t>
  </si>
  <si>
    <t>Sprężyna naciskowa</t>
  </si>
  <si>
    <t>TEVEMA</t>
  </si>
  <si>
    <t>PRT-A0049981</t>
  </si>
  <si>
    <t>B15i.038.075.0-1038.12PZ</t>
  </si>
  <si>
    <t>26 ogniw+pełny zestaw końcowy</t>
  </si>
  <si>
    <t>GV 100</t>
  </si>
  <si>
    <t>Kratka wentylacyjna</t>
  </si>
  <si>
    <t>RUBSAMEN&amp;HERR</t>
  </si>
  <si>
    <t>K0569.03003055</t>
  </si>
  <si>
    <t>Amortyzator gumowy</t>
  </si>
  <si>
    <t>Łącznik Rotex</t>
  </si>
  <si>
    <t>ŁĄCZNIK ROTEX GS 24 98 Shore A (czerwony)</t>
  </si>
  <si>
    <t>55024.100.0002</t>
  </si>
  <si>
    <t>KTR</t>
  </si>
  <si>
    <t>Piasta Rotex</t>
  </si>
  <si>
    <t> PIASTA ROTEX GS 24 AL-H L=30 2.5 18(H7)</t>
  </si>
  <si>
    <t>55024.715.1850</t>
  </si>
  <si>
    <t> PIASTA ROTEX GS 24 AL-H L=30 2.5 20(H7)</t>
  </si>
  <si>
    <t>55024.715.2050</t>
  </si>
  <si>
    <t>UM 12 X 8 M4</t>
  </si>
  <si>
    <t>Magnes</t>
  </si>
  <si>
    <t>ENES</t>
  </si>
  <si>
    <t>STOPER</t>
  </si>
  <si>
    <r>
      <t xml:space="preserve">Zespół łożyskowy </t>
    </r>
    <r>
      <rPr>
        <sz val="14"/>
        <rFont val="Arial"/>
        <family val="2"/>
        <charset val="238"/>
      </rPr>
      <t>stały</t>
    </r>
  </si>
  <si>
    <r>
      <t xml:space="preserve">Łożysko liniowe </t>
    </r>
    <r>
      <rPr>
        <sz val="14"/>
        <rFont val="Arial"/>
        <family val="2"/>
        <charset val="238"/>
      </rPr>
      <t>kołnierzowe</t>
    </r>
  </si>
  <si>
    <r>
      <t xml:space="preserve">Siłownik </t>
    </r>
    <r>
      <rPr>
        <sz val="14"/>
        <rFont val="Arial"/>
        <family val="2"/>
        <charset val="238"/>
      </rPr>
      <t>pneumatyczny</t>
    </r>
  </si>
  <si>
    <r>
      <t xml:space="preserve">Amortyzator </t>
    </r>
    <r>
      <rPr>
        <sz val="14"/>
        <rFont val="Arial"/>
        <family val="2"/>
        <charset val="238"/>
      </rPr>
      <t>hydrauliczny M12x1</t>
    </r>
  </si>
  <si>
    <t>Winda We./Wy.</t>
  </si>
  <si>
    <t>Osłona lasera</t>
  </si>
  <si>
    <t>Osłona załadunku</t>
  </si>
  <si>
    <t>Rama transportera</t>
  </si>
  <si>
    <t>Bazowanie paletki-Bumper/Test</t>
  </si>
  <si>
    <t>Bazowanie paletki-Montaż</t>
  </si>
  <si>
    <t>Bazowanie paletki Bumper/Test/Montaż</t>
  </si>
  <si>
    <t>Bazowanie paletki-bumper</t>
  </si>
  <si>
    <t>2023-01-20 JP</t>
  </si>
  <si>
    <t>Przetwornica częstotliwości1,5A</t>
  </si>
  <si>
    <t>Dioda</t>
  </si>
  <si>
    <t>Wtyczka (M12; kodowanie A; źeńska)</t>
  </si>
  <si>
    <t>Wtyczka (M12; kodowanie A; męska)</t>
  </si>
  <si>
    <t>Wtyczka Profinet (M12; kodowanie D; męska)</t>
  </si>
  <si>
    <t>Wtyczka M12-5 pin męska</t>
  </si>
  <si>
    <t>Wtyczka M12-5 pin żeńska</t>
  </si>
  <si>
    <t>Czujnik indukcyjny M8 NC</t>
  </si>
  <si>
    <t>Czujnik indukcyjny M8</t>
  </si>
  <si>
    <t>Czujnik indukcyjny L=0,3m, M8</t>
  </si>
  <si>
    <t>Czujnik indukcyjny M12</t>
  </si>
  <si>
    <t>Czujnik pola magnetycznego (rowek C-SMC)</t>
  </si>
  <si>
    <t>Czujnik indukcyjny Ø6,5 z kablem L=2m</t>
  </si>
  <si>
    <t>Bariera optyczna nadajnik - odbiornik</t>
  </si>
  <si>
    <t>Czujnik pola magnetycznego</t>
  </si>
  <si>
    <t>Opaska mont. do BMF 307</t>
  </si>
  <si>
    <t>Koncentrator 8xM8 z kablem L=5m</t>
  </si>
  <si>
    <t>Wentylator kolumnowy z pilotem</t>
  </si>
  <si>
    <t>Stycznik miniaturowy</t>
  </si>
  <si>
    <t>Duży przycisk ręczny</t>
  </si>
  <si>
    <t>Wkładka 25-pin męska</t>
  </si>
  <si>
    <t>Kontakty posrebrzany - zaciskany, męski - 0,75 mm²</t>
  </si>
  <si>
    <t>Obudowa wtyczki Han A</t>
  </si>
  <si>
    <t>Wkładka 25-pin żeńska</t>
  </si>
  <si>
    <t>Kontakty posrebrzany - zaciskany (0,75mm²), żeński</t>
  </si>
  <si>
    <t>Obudowa gniazda, montaż powierzchniowy</t>
  </si>
  <si>
    <t>Listwa mocująca kable L=140 mm</t>
  </si>
  <si>
    <t>Lampka sygnalizacyjna RD/GN</t>
  </si>
  <si>
    <t>Kolumna sygnalizacyjna 3-kolorowa</t>
  </si>
  <si>
    <t>Oprawa punktowa 50W Gx5,3 12V</t>
  </si>
  <si>
    <t>Oprawka GX5,3 ceramiczna</t>
  </si>
  <si>
    <t>Żarówka LED 3W GX5,3 12V AC/DC</t>
  </si>
  <si>
    <t>Wzmacniacz pomiarowy Expansion unit</t>
  </si>
  <si>
    <t>Dalemierz laserowy</t>
  </si>
  <si>
    <t>Bezpiecznik elektroniczny DC 1A-10A</t>
  </si>
  <si>
    <t>MITSUBISHI CC-LINK IE FIELD moduł 16 wyjść cyfrowych</t>
  </si>
  <si>
    <t>MITSUBISHI CC-Link IE field moduł 16 wejść cyfrowych</t>
  </si>
  <si>
    <t>Switch 8 portów</t>
  </si>
  <si>
    <t>Kabel profinet M12X1/RJ45 10m D-coded</t>
  </si>
  <si>
    <t>Kabel profinet M12X1/RJ45 5m D-coded</t>
  </si>
  <si>
    <t>Trójnik 2xM8 3-pin M12 4-pin</t>
  </si>
  <si>
    <t>Przetwornik momentu Mn=2.5 Nm</t>
  </si>
  <si>
    <t>Przekaźnik 2PDT 24VDC</t>
  </si>
  <si>
    <t>Podstawka przekaźnika dwutorowego</t>
  </si>
  <si>
    <t>Przekaźnik 1PDT; 24VDC</t>
  </si>
  <si>
    <t>Podstawka przekaźnika</t>
  </si>
  <si>
    <t>Zasilacz impulsowy 12V/2,5A</t>
  </si>
  <si>
    <t>BRAMKA OPTYCZNA</t>
  </si>
  <si>
    <t>Przysłonka bramki E3T-FT14</t>
  </si>
  <si>
    <t>BRAMKA OPTYCZNA; Nadajnik-odbiornik</t>
  </si>
  <si>
    <t>Przysłonka bramki E3T-ST13</t>
  </si>
  <si>
    <t>Uchwyt bramki E3T-ST</t>
  </si>
  <si>
    <t>Czujnik indukcyjny</t>
  </si>
  <si>
    <t>Czujnik optyczny-diffuse</t>
  </si>
  <si>
    <t>Zasilacz do oświetlenia LED</t>
  </si>
  <si>
    <t>Wyłącznik nadprądowy iC60N 40A/4P ch-ka C</t>
  </si>
  <si>
    <t>Wyłącznik różnicowo-nadprądowy 2P 10A B</t>
  </si>
  <si>
    <t>Wyłączniki i C60N</t>
  </si>
  <si>
    <t>Wyłącznik i C60N</t>
  </si>
  <si>
    <t>Wyłącznik nadprądowy iC60 10A ch-ka C</t>
  </si>
  <si>
    <t>Wyłącznik silnikowy 0,63-1A</t>
  </si>
  <si>
    <t>Styki pomocnicze 1NC+1NO</t>
  </si>
  <si>
    <t>Wyłącznik różnicowo-nadprądowy 2P 16A C</t>
  </si>
  <si>
    <t>Stycznik</t>
  </si>
  <si>
    <t>Łącznik magnetyczny bezpieczeństwa (L=10000 mm)</t>
  </si>
  <si>
    <t>Przycisk monostabilny podświetlany - niebieski</t>
  </si>
  <si>
    <t>Obudowa kasety 1-otworowa 22mm szara</t>
  </si>
  <si>
    <t>Blok styków pojedyńczy dla głowicy Ø22 NO</t>
  </si>
  <si>
    <t>Dioda LED -(niebieski) 24VAC/DC</t>
  </si>
  <si>
    <t>Przycisk bezpieczeństwa 2NC+1NO w kasecie</t>
  </si>
  <si>
    <t>Obudowa kasety 2-otworowa 22mm szara</t>
  </si>
  <si>
    <t>Główka - dwa poł. stabilne</t>
  </si>
  <si>
    <t>Adapter-mocowanie zestyków</t>
  </si>
  <si>
    <t>Zestyk zwierny</t>
  </si>
  <si>
    <t>Główka podświetlana (zielona) - monostabilna</t>
  </si>
  <si>
    <t>Dioda LED</t>
  </si>
  <si>
    <t>Czujnik położenia MPS</t>
  </si>
  <si>
    <t>Czujniki pomiaru przemieszczeń OD Mini</t>
  </si>
  <si>
    <t>Bariera świetlna Pick2Light L=420 mm</t>
  </si>
  <si>
    <t>Folia odblaskowa na profilu aluminiowym 16,5 mm x 494,3 mm</t>
  </si>
  <si>
    <t>Gniazdo 2X16A IP54</t>
  </si>
  <si>
    <t>Gniazdo IP54</t>
  </si>
  <si>
    <t>EX260, Moduł SI</t>
  </si>
  <si>
    <t>Czujnik pola magnetycznego; 3-przewodowy</t>
  </si>
  <si>
    <t>Wyłącznik ciśnieniowy</t>
  </si>
  <si>
    <t>Uchwyt do montażu czujnika w rowku teowym</t>
  </si>
  <si>
    <t>Generator podciśnienia</t>
  </si>
  <si>
    <t>Złącze 7/8", proste, żeńskie - POWER IN</t>
  </si>
  <si>
    <t>Złącze 7/8", proste, męskie - POWER OUT</t>
  </si>
  <si>
    <t>Panel LED 30W 6000K; 600mm x 300mm</t>
  </si>
  <si>
    <t>Ramka pojedyncza</t>
  </si>
  <si>
    <t>Wkładka 1 x zasilanie: 2 x data</t>
  </si>
  <si>
    <t>Wkładka 230VAC-EUR</t>
  </si>
  <si>
    <t>Wkładka RJ45 &lt;-&gt; RJ45 ETHERNET</t>
  </si>
  <si>
    <t>1N4007</t>
  </si>
  <si>
    <t>M12_B_F</t>
  </si>
  <si>
    <t>M12_A_M</t>
  </si>
  <si>
    <t>M12_D_M</t>
  </si>
  <si>
    <t>M12-5M</t>
  </si>
  <si>
    <t>M12-5F</t>
  </si>
  <si>
    <t>BES M08EE-POC20B-S49G-003</t>
  </si>
  <si>
    <t>BES M08MI-PSC20B-S49G</t>
  </si>
  <si>
    <t>BES R04KC-PSC25F-EP00,3-GS49</t>
  </si>
  <si>
    <t>BES M12MI-PSC40B-S04G</t>
  </si>
  <si>
    <t>BMF 214K-PS-C-2A-SA2-S49-00,3</t>
  </si>
  <si>
    <t>BES 516-371-G-E4-C-02</t>
  </si>
  <si>
    <t>BOS0125</t>
  </si>
  <si>
    <t>BMF 235K-PS-C-2A-SA2-S49-00,3</t>
  </si>
  <si>
    <t>BMF 307-HW-73-Z-115</t>
  </si>
  <si>
    <t>BPI 8M303P-5K-B0-KPXA0-050</t>
  </si>
  <si>
    <t>TX-TF29CR</t>
  </si>
  <si>
    <t>DILER−31−G(24VDC)</t>
  </si>
  <si>
    <t>FAK-S/KC11/I</t>
  </si>
  <si>
    <t>Han 25D-STI-C</t>
  </si>
  <si>
    <t>Han D R15 stift-c 0,75 mm Ag</t>
  </si>
  <si>
    <t>Han 16A-gs-M20</t>
  </si>
  <si>
    <t>Han 25D-BU-C</t>
  </si>
  <si>
    <t>Han D F Crimp Contact Ag</t>
  </si>
  <si>
    <t>Han 16A-asg2-LB-K-M20</t>
  </si>
  <si>
    <t>KZL140</t>
  </si>
  <si>
    <t>LH1D-H2HQ4C30RG</t>
  </si>
  <si>
    <t>ML50</t>
  </si>
  <si>
    <t>CT-DTO50-W 22430</t>
  </si>
  <si>
    <t>HLDR-GX5,3 7210</t>
  </si>
  <si>
    <t>MR16-WW 18473</t>
  </si>
  <si>
    <t>IL-1050</t>
  </si>
  <si>
    <t>IL-300</t>
  </si>
  <si>
    <t>LOCC-Box-FB 7-6400</t>
  </si>
  <si>
    <t>NZ2GF2B1-16TE</t>
  </si>
  <si>
    <t>NZ2GF2S1-16D</t>
  </si>
  <si>
    <t>8 port unmanaged switch</t>
  </si>
  <si>
    <t>7000-44711-7941000</t>
  </si>
  <si>
    <t>7000-44711-7940500</t>
  </si>
  <si>
    <t>7000-41201-0000000</t>
  </si>
  <si>
    <t>NCTE 2200</t>
  </si>
  <si>
    <t>G2R-2-SND 24VDC</t>
  </si>
  <si>
    <t>P2RF-08-E</t>
  </si>
  <si>
    <t>G2RV-SR700 DC24</t>
  </si>
  <si>
    <t>P7SA-10F-ND</t>
  </si>
  <si>
    <t>S8VS-03012</t>
  </si>
  <si>
    <t>E3T-FT14-M5J</t>
  </si>
  <si>
    <t>E39-S64</t>
  </si>
  <si>
    <t>E3T-ST14-M5J</t>
  </si>
  <si>
    <t>E39-S63</t>
  </si>
  <si>
    <t>E2E-C03SR8-CJ-B1</t>
  </si>
  <si>
    <t>E3Z-LS86</t>
  </si>
  <si>
    <t>OR-ZL-1603</t>
  </si>
  <si>
    <t>A9F04440</t>
  </si>
  <si>
    <t>A9D55610</t>
  </si>
  <si>
    <t>A9F04210</t>
  </si>
  <si>
    <t>A9F04106</t>
  </si>
  <si>
    <t>A9F04102</t>
  </si>
  <si>
    <t>A9F04104</t>
  </si>
  <si>
    <t>A9F04310</t>
  </si>
  <si>
    <t>GV2ME05</t>
  </si>
  <si>
    <t>GVAE11</t>
  </si>
  <si>
    <t>A9D31616</t>
  </si>
  <si>
    <t>A9F04110</t>
  </si>
  <si>
    <t>A9F04206</t>
  </si>
  <si>
    <t>LC1D09BD</t>
  </si>
  <si>
    <t>LC1D32BD</t>
  </si>
  <si>
    <t>XCSDMP70010</t>
  </si>
  <si>
    <t>ZB5AW363</t>
  </si>
  <si>
    <t>XALD01</t>
  </si>
  <si>
    <t>ZENL1111</t>
  </si>
  <si>
    <t>ZALVB6</t>
  </si>
  <si>
    <t>XALK178G</t>
  </si>
  <si>
    <t>XALD02</t>
  </si>
  <si>
    <t>ZB4BD2</t>
  </si>
  <si>
    <t>ZB4BZ009</t>
  </si>
  <si>
    <t>ZBE101</t>
  </si>
  <si>
    <t>ZB4BW333</t>
  </si>
  <si>
    <t>ZBVB3 (zielona) 24VAC/DC</t>
  </si>
  <si>
    <t>MPS-032TLTQ0</t>
  </si>
  <si>
    <t>OD1-B150F0AQ14</t>
  </si>
  <si>
    <t>PLG3-420F431</t>
  </si>
  <si>
    <t>REF-PLG420</t>
  </si>
  <si>
    <t>AQGZ1-2/11A</t>
  </si>
  <si>
    <t>AQGZ1/11A</t>
  </si>
  <si>
    <t>EX260-SPN1</t>
  </si>
  <si>
    <t>D-S7P1L</t>
  </si>
  <si>
    <t>D-S7P2L</t>
  </si>
  <si>
    <t>ISE30A-01-B-G</t>
  </si>
  <si>
    <t>ISE30A-01-P-L</t>
  </si>
  <si>
    <t>BMG2-012</t>
  </si>
  <si>
    <t>ZK2A07K5RW-06-B</t>
  </si>
  <si>
    <t>VO0264</t>
  </si>
  <si>
    <t>IE-FC-SFP-KNOB</t>
  </si>
  <si>
    <t>IE-FC-SP-PWB/2ST</t>
  </si>
  <si>
    <t>IE-FCI-PWB-FR</t>
  </si>
  <si>
    <t>IE-BI-RJ45-C</t>
  </si>
  <si>
    <t>M12_A_F</t>
  </si>
  <si>
    <t>BES00CF</t>
  </si>
  <si>
    <t>BES003P</t>
  </si>
  <si>
    <t>BES01YM</t>
  </si>
  <si>
    <t>BES0068</t>
  </si>
  <si>
    <t>BMF00A2</t>
  </si>
  <si>
    <t>BES00ZF</t>
  </si>
  <si>
    <t>BMF00C4</t>
  </si>
  <si>
    <t>BAM02W1</t>
  </si>
  <si>
    <t>BPI00CM</t>
  </si>
  <si>
    <t>010157</t>
  </si>
  <si>
    <t>09 21 025 3001</t>
  </si>
  <si>
    <t>09 15 000 6105</t>
  </si>
  <si>
    <t>19 20 016 1540</t>
  </si>
  <si>
    <t>09 21 025 3101</t>
  </si>
  <si>
    <t>09 15 000 6205</t>
  </si>
  <si>
    <t>19 20 016 0295</t>
  </si>
  <si>
    <t>32264</t>
  </si>
  <si>
    <t>716400</t>
  </si>
  <si>
    <t>Seria 2200 Mn=2.5</t>
  </si>
  <si>
    <t>ZBVB3</t>
  </si>
  <si>
    <t>1062506</t>
  </si>
  <si>
    <t>6052326</t>
  </si>
  <si>
    <t>1029132</t>
  </si>
  <si>
    <t>1029200</t>
  </si>
  <si>
    <t>1450510000</t>
  </si>
  <si>
    <t>1450550000</t>
  </si>
  <si>
    <t>1450750000</t>
  </si>
  <si>
    <t>1962840000</t>
  </si>
  <si>
    <t>Balluff</t>
  </si>
  <si>
    <t>Challenge</t>
  </si>
  <si>
    <t>EATON</t>
  </si>
  <si>
    <t>Harting</t>
  </si>
  <si>
    <t>ICOTEK</t>
  </si>
  <si>
    <t>IDEC</t>
  </si>
  <si>
    <t>INDUAL</t>
  </si>
  <si>
    <t>KANLUX</t>
  </si>
  <si>
    <t>Keyence</t>
  </si>
  <si>
    <t>LUETZE</t>
  </si>
  <si>
    <t>Mitsubishi Electric</t>
  </si>
  <si>
    <t>NCTE AG</t>
  </si>
  <si>
    <t>OMRON Corporation</t>
  </si>
  <si>
    <t>ORNO POLSKA</t>
  </si>
  <si>
    <t>SIMON</t>
  </si>
  <si>
    <t>VOLTENO</t>
  </si>
  <si>
    <t>Weidmüller</t>
  </si>
  <si>
    <t>MAGAZYN OD Ł.Wcześniak</t>
  </si>
  <si>
    <t>K0705.04X06</t>
  </si>
  <si>
    <t>I</t>
  </si>
  <si>
    <t>0.644m 240.03.075.0 + 
2030.34PZ.A2</t>
  </si>
  <si>
    <t>Prowadnik kablowy z 
mocowaniem</t>
  </si>
  <si>
    <t>Seria 240</t>
  </si>
  <si>
    <t>0.2m E2.10.10.028.0 + 
E2.100.10.34PZ A2</t>
  </si>
  <si>
    <t>Seria E2</t>
  </si>
  <si>
    <t>MGNR09R65HM</t>
  </si>
  <si>
    <t>MGN9C</t>
  </si>
  <si>
    <t>HT100B105C0320SANNRX079
G0603</t>
  </si>
  <si>
    <t>Stół liniowy pasowy</t>
  </si>
  <si>
    <t xml:space="preserve">HT100B105C032
0SANNRX079G0
603 </t>
  </si>
  <si>
    <t>HGR20R L=280mm 5 otw. 
sym.</t>
  </si>
  <si>
    <t>Osłona bloku napędu 
HT100B</t>
  </si>
  <si>
    <t>25-000511</t>
  </si>
  <si>
    <t>Tuleja centrująca 8h6</t>
  </si>
  <si>
    <t>20-000529</t>
  </si>
  <si>
    <t>Wpust przesuwny 
teowy, rozmiar 5 - M5</t>
  </si>
  <si>
    <t>HLS12X100SB</t>
  </si>
  <si>
    <t>Stół przesuwny 
kompaktowy</t>
  </si>
  <si>
    <t>ACE40X70SBG</t>
  </si>
  <si>
    <t>ACA2030-1</t>
  </si>
  <si>
    <t>Amortyzator M20x1.5</t>
  </si>
  <si>
    <t>AirTac</t>
  </si>
  <si>
    <t>Stacja Testu</t>
  </si>
  <si>
    <t>K0705.04X12</t>
  </si>
  <si>
    <t xml:space="preserve">Końcówka widełkowa </t>
  </si>
  <si>
    <t>kulkowe 6203</t>
  </si>
  <si>
    <t>KM 2</t>
  </si>
  <si>
    <t>PN-82-M-86478</t>
  </si>
  <si>
    <t>GS 14 spider 98 Sh-A-GS red</t>
  </si>
  <si>
    <t>GS 14</t>
  </si>
  <si>
    <t>ROTEX</t>
  </si>
  <si>
    <t>GS 14 AL-H clamp hub 2.1 
Ø14H7</t>
  </si>
  <si>
    <t>GS 14 AL-H</t>
  </si>
  <si>
    <t>GS 14 AL-H clamp hub 2.1 
Ø9H7</t>
  </si>
  <si>
    <t>SN60-1-50M5</t>
  </si>
  <si>
    <t>T30925</t>
  </si>
  <si>
    <t>Sprężyna naciągowa</t>
  </si>
  <si>
    <t>Z/ATCP/1927/52/JP</t>
  </si>
  <si>
    <t>Z/PREMA/1927/50/JP</t>
  </si>
  <si>
    <t>2023-01-23 JP</t>
  </si>
  <si>
    <t>KOSZYK TIM</t>
  </si>
  <si>
    <t>2023-01-23 MK</t>
  </si>
  <si>
    <t>MAGAZYN PO 1851</t>
  </si>
  <si>
    <t>MAGAZYN - 2426700000</t>
  </si>
  <si>
    <t xml:space="preserve">Z/KIPP/1927/1943/46/JP </t>
  </si>
  <si>
    <t>Z/KIPP/1927/36/JP</t>
  </si>
  <si>
    <t>Z/KIPP/1927/51/JP</t>
  </si>
  <si>
    <t>08/2023</t>
  </si>
  <si>
    <t>2023-01-24 JP</t>
  </si>
  <si>
    <t>Z/TEVEMA/1927/53/JP</t>
  </si>
  <si>
    <t>2023-01-23 JP DOSTARCZONO 150349 FATH</t>
  </si>
  <si>
    <t>Z/POLTECH/1927/38/JP</t>
  </si>
  <si>
    <t>2
5 mag
5</t>
  </si>
  <si>
    <t>2022-10-11 MK po projekcie 1857
2022-10-11 MK 
2023-01-24 JP DOSTARCZONO 291739</t>
  </si>
  <si>
    <t>2023-01-24 JP DOSTARCZONO 312348</t>
  </si>
  <si>
    <t>Z/IGUS/1927/56/JP</t>
  </si>
  <si>
    <t>2023-01-25 JP</t>
  </si>
  <si>
    <t>Z/LAUZE/1927/645/MK</t>
  </si>
  <si>
    <t>Z/FABORY/1927/650/MK</t>
  </si>
  <si>
    <t>2023-01-25 MK</t>
  </si>
  <si>
    <t>2023-01-26 JP</t>
  </si>
  <si>
    <t>Y44-F03-A</t>
  </si>
  <si>
    <t>Element z 4 odejściami</t>
  </si>
  <si>
    <t>Przygotowanie powietrza</t>
  </si>
  <si>
    <t>Y400-A</t>
  </si>
  <si>
    <t>Element łączący</t>
  </si>
  <si>
    <t>Stopery</t>
  </si>
  <si>
    <t>Załadunek ręczny - Osłona</t>
  </si>
  <si>
    <t>Zawór zwrotny sterowany</t>
  </si>
  <si>
    <t>Załadunek ręczny</t>
  </si>
  <si>
    <t>Reduktor ciśnienia</t>
  </si>
  <si>
    <t>Ogólnie</t>
  </si>
  <si>
    <t>EVR1210-F01</t>
  </si>
  <si>
    <t>Zawór LUB</t>
  </si>
  <si>
    <t>Wbijanie Pina</t>
  </si>
  <si>
    <t>SY5320-5YO-01F-F2-Q</t>
  </si>
  <si>
    <t>SY5000, Zawór rozdzielające 5-drogowe 5/3 środkowa pozycja zamknięta</t>
  </si>
  <si>
    <t>Robot rozładunku</t>
  </si>
  <si>
    <t>Robot montażu dźwigni</t>
  </si>
  <si>
    <t>DA 400 18RM</t>
  </si>
  <si>
    <t>Zawór smarujący</t>
  </si>
  <si>
    <t>Smarowanie kołka</t>
  </si>
  <si>
    <t>2023-01-27 JP</t>
  </si>
  <si>
    <t xml:space="preserve">Z/ATCP/1927/1948/66/JP </t>
  </si>
  <si>
    <t>tydzień 08/2023</t>
  </si>
  <si>
    <t>GAR20006SGK</t>
  </si>
  <si>
    <t>P25-14A L=1472 B=415</t>
  </si>
  <si>
    <t>P25-14A L=1972 B=415</t>
  </si>
  <si>
    <t xml:space="preserve">1927-300-PRT-A0058013-Pas transportowy zgrzany w pętlę 
</t>
  </si>
  <si>
    <t xml:space="preserve">Pas transportowy zgrzany w pętlę </t>
  </si>
  <si>
    <t>PRT-A0058013</t>
  </si>
  <si>
    <t xml:space="preserve">1927-300-PRT-A0058000-Pas transportowy zgrzany w pętlę 
</t>
  </si>
  <si>
    <t>PRT-A0058000</t>
  </si>
  <si>
    <t>E2i.26.038.055.0 (12 ogniw) + 2030.12PZ+.A1</t>
  </si>
  <si>
    <t>30x1.5 stal ocynkowana, DRR 433 mm, DDZ 448 mm, DO 465 mm, oś Φ8</t>
  </si>
  <si>
    <t>2023-01-26 MK dostarczone z 1948</t>
  </si>
  <si>
    <t>2023-01-30 MK</t>
  </si>
  <si>
    <t>2023-01-20 JP
2023-01-30 MK po projekcie 1851</t>
  </si>
  <si>
    <t xml:space="preserve">
1 mag</t>
  </si>
  <si>
    <t>2023-01-30 MK po projekcie 1851</t>
  </si>
  <si>
    <t>2023-01-30 MK od Pana Marka</t>
  </si>
  <si>
    <t>3 mag
1</t>
  </si>
  <si>
    <t>2022-12-12 MK od Pana Marka
2023-01-30 MK zakup internetowy</t>
  </si>
  <si>
    <t>Z/VOLTENO/1927/58/JP</t>
  </si>
  <si>
    <t>2023-01-30 JP</t>
  </si>
  <si>
    <t>anulowano</t>
  </si>
  <si>
    <t>Uwagi2</t>
  </si>
  <si>
    <t>2023-01-31 MK</t>
  </si>
  <si>
    <t>Obudowa gniazda</t>
  </si>
  <si>
    <t>Han 3A-asgw-QB-M20</t>
  </si>
  <si>
    <t>19 20 003 1250</t>
  </si>
  <si>
    <t>Wkładka żeńska 7 pin+PE</t>
  </si>
  <si>
    <t>Han Q 7/0-F</t>
  </si>
  <si>
    <t>09 12 007 3101</t>
  </si>
  <si>
    <t>Obudowa wtyczki</t>
  </si>
  <si>
    <t>Han 3A-gw-M20</t>
  </si>
  <si>
    <t>19 20 003 1640</t>
  </si>
  <si>
    <t>Wkładka męska 7 pin+PE</t>
  </si>
  <si>
    <t>Han Q 7/0-M</t>
  </si>
  <si>
    <t>09 12 007 3001</t>
  </si>
  <si>
    <t>Napęd przycisku (zielony) monostabilny Ø40mm</t>
  </si>
  <si>
    <t>ZB5AC3</t>
  </si>
  <si>
    <t>Rama rozładunku ręcznego</t>
  </si>
  <si>
    <t>2023-02-01 JP</t>
  </si>
  <si>
    <t>2023-02-02 MK</t>
  </si>
  <si>
    <t>Kioski pakowania</t>
  </si>
  <si>
    <t>lista zakupowa Kielce</t>
  </si>
  <si>
    <t>2023-02-02 MK SY5120-5YO-C6F-Q</t>
  </si>
  <si>
    <t>2023-02-03 MK brak 25.1</t>
  </si>
  <si>
    <t>2023-02-03 MK</t>
  </si>
  <si>
    <t>Z/ALBECO/1927/644/MK</t>
  </si>
  <si>
    <t>Z/KE/1927/693/MK</t>
  </si>
  <si>
    <t>Z/FATH/1912/1927/635/MK</t>
  </si>
  <si>
    <t>2023-02-03 MK kupione M12x80</t>
  </si>
  <si>
    <t>Z/KE/1927/57/JP</t>
  </si>
  <si>
    <t>09/2023</t>
  </si>
  <si>
    <t>Z/PREMA/1927/55/JP</t>
  </si>
  <si>
    <t>K0612.01001</t>
  </si>
  <si>
    <t>Pierścień zaciskowy</t>
  </si>
  <si>
    <t>stacja testu</t>
  </si>
  <si>
    <t>6282-0202</t>
  </si>
  <si>
    <t>Kóńcówka pomiarowa</t>
  </si>
  <si>
    <t>INSIZE</t>
  </si>
  <si>
    <t>Z/KIPP/1927/76/JP</t>
  </si>
  <si>
    <t>Z/TUBES/1927/701/MK</t>
  </si>
  <si>
    <t>Z/FESTO/1927/702/MK</t>
  </si>
  <si>
    <t>Z/ASTAT/1927/706/MK</t>
  </si>
  <si>
    <r>
      <rPr>
        <strike/>
        <sz val="14"/>
        <color indexed="8"/>
        <rFont val="Arial"/>
        <family val="2"/>
        <charset val="238"/>
      </rPr>
      <t>Z/QUAY/1927/582/MK</t>
    </r>
    <r>
      <rPr>
        <sz val="14"/>
        <color indexed="8"/>
        <rFont val="Arial"/>
        <family val="2"/>
        <charset val="238"/>
      </rPr>
      <t xml:space="preserve">
po projekcie 1851</t>
    </r>
  </si>
  <si>
    <r>
      <t xml:space="preserve">Pas transportowy </t>
    </r>
    <r>
      <rPr>
        <sz val="14"/>
        <color indexed="8"/>
        <rFont val="Arial"/>
        <family val="2"/>
        <charset val="238"/>
      </rPr>
      <t xml:space="preserve">zgrzany w pętlę </t>
    </r>
  </si>
  <si>
    <r>
      <t xml:space="preserve">1927-802-PRT-A0057043-A-Pas transportowy zgrzany w </t>
    </r>
    <r>
      <rPr>
        <i/>
        <sz val="14"/>
        <color indexed="8"/>
        <rFont val="Arial"/>
        <family val="2"/>
        <charset val="238"/>
      </rPr>
      <t xml:space="preserve">pętlę </t>
    </r>
  </si>
  <si>
    <r>
      <t xml:space="preserve">P25-14A L=3148 </t>
    </r>
    <r>
      <rPr>
        <i/>
        <sz val="14"/>
        <color indexed="8"/>
        <rFont val="Arial"/>
        <family val="2"/>
        <charset val="238"/>
      </rPr>
      <t>B=450</t>
    </r>
  </si>
  <si>
    <r>
      <t xml:space="preserve">Elektrobęben 80LP </t>
    </r>
    <r>
      <rPr>
        <sz val="14"/>
        <color indexed="8"/>
        <rFont val="Arial"/>
        <family val="2"/>
        <charset val="238"/>
      </rPr>
      <t>fi84</t>
    </r>
  </si>
  <si>
    <r>
      <t xml:space="preserve">Zawór zwrotny </t>
    </r>
    <r>
      <rPr>
        <sz val="14"/>
        <rFont val="Arial"/>
        <family val="2"/>
        <charset val="238"/>
      </rPr>
      <t xml:space="preserve">
sterowany R1/8 (Fi 6)</t>
    </r>
  </si>
  <si>
    <r>
      <t xml:space="preserve">Łożysko liniowe </t>
    </r>
    <r>
      <rPr>
        <sz val="14"/>
        <rFont val="Arial"/>
        <family val="2"/>
        <charset val="238"/>
      </rPr>
      <t xml:space="preserve">
przedłużane</t>
    </r>
  </si>
  <si>
    <r>
      <t xml:space="preserve">Łożysko liniowe z </t>
    </r>
    <r>
      <rPr>
        <sz val="14"/>
        <rFont val="Arial"/>
        <family val="2"/>
        <charset val="238"/>
      </rPr>
      <t>kołnierzem okrągłym przedłużane</t>
    </r>
  </si>
  <si>
    <r>
      <t xml:space="preserve">L= 810 </t>
    </r>
    <r>
      <rPr>
        <sz val="14"/>
        <rFont val="Arial"/>
        <family val="2"/>
        <charset val="238"/>
      </rPr>
      <t>mm 
Otwory symetrycznie</t>
    </r>
  </si>
  <si>
    <r>
      <t>Wykona</t>
    </r>
    <r>
      <rPr>
        <sz val="14"/>
        <rFont val="Arial"/>
        <family val="2"/>
        <charset val="238"/>
      </rPr>
      <t>ć z elemntu handlowego 
firmy FABORY 07820.160.040</t>
    </r>
  </si>
  <si>
    <r>
      <rPr>
        <strike/>
        <sz val="14"/>
        <rFont val="Arial"/>
        <family val="2"/>
        <charset val="238"/>
      </rPr>
      <t xml:space="preserve">TLS1-GD2  </t>
    </r>
    <r>
      <rPr>
        <sz val="14"/>
        <rFont val="Arial"/>
        <family val="2"/>
        <charset val="238"/>
      </rPr>
      <t>i200-M0413 Lock.</t>
    </r>
  </si>
  <si>
    <r>
      <rPr>
        <strike/>
        <sz val="14"/>
        <rFont val="Arial"/>
        <family val="2"/>
        <charset val="238"/>
      </rPr>
      <t xml:space="preserve">440G-A27143   </t>
    </r>
    <r>
      <rPr>
        <sz val="14"/>
        <rFont val="Arial"/>
        <family val="2"/>
        <charset val="238"/>
      </rPr>
      <t>iE200-F1</t>
    </r>
  </si>
  <si>
    <r>
      <rPr>
        <strike/>
        <sz val="14"/>
        <rFont val="Arial"/>
        <family val="2"/>
        <charset val="238"/>
      </rPr>
      <t xml:space="preserve">BIS M-404-045-401-07-S4 </t>
    </r>
    <r>
      <rPr>
        <sz val="14"/>
        <rFont val="Arial"/>
        <family val="2"/>
        <charset val="238"/>
      </rPr>
      <t xml:space="preserve">   BIS M-4A6-082-401-07-S4         </t>
    </r>
  </si>
  <si>
    <r>
      <rPr>
        <strike/>
        <sz val="14"/>
        <rFont val="Arial"/>
        <family val="2"/>
        <charset val="238"/>
      </rPr>
      <t>BIS015R</t>
    </r>
    <r>
      <rPr>
        <sz val="14"/>
        <rFont val="Arial"/>
        <family val="2"/>
        <charset val="238"/>
      </rPr>
      <t xml:space="preserve">  BIS01E6            </t>
    </r>
  </si>
  <si>
    <r>
      <rPr>
        <strike/>
        <sz val="14"/>
        <color indexed="8"/>
        <rFont val="Arial"/>
        <family val="2"/>
        <charset val="238"/>
      </rPr>
      <t xml:space="preserve">58812B  </t>
    </r>
    <r>
      <rPr>
        <sz val="14"/>
        <color indexed="8"/>
        <rFont val="Arial"/>
        <family val="2"/>
        <charset val="238"/>
      </rPr>
      <t>58152</t>
    </r>
  </si>
  <si>
    <r>
      <t xml:space="preserve">bez łba, koniec płaski </t>
    </r>
    <r>
      <rPr>
        <b/>
        <sz val="14"/>
        <color indexed="8"/>
        <rFont val="Arial"/>
        <family val="2"/>
        <charset val="238"/>
      </rPr>
      <t xml:space="preserve">
M8x40</t>
    </r>
  </si>
  <si>
    <r>
      <t xml:space="preserve">HGR15R L=520mm 9 otw. </t>
    </r>
    <r>
      <rPr>
        <b/>
        <sz val="14"/>
        <color indexed="8"/>
        <rFont val="Arial"/>
        <family val="2"/>
        <charset val="238"/>
      </rPr>
      <t xml:space="preserve">
sym.</t>
    </r>
  </si>
  <si>
    <r>
      <t xml:space="preserve">HGR15R L=280mm 5 otw. </t>
    </r>
    <r>
      <rPr>
        <b/>
        <sz val="14"/>
        <color indexed="8"/>
        <rFont val="Arial"/>
        <family val="2"/>
        <charset val="238"/>
      </rPr>
      <t xml:space="preserve">
sym.</t>
    </r>
  </si>
  <si>
    <r>
      <t xml:space="preserve">Zawór zwrotny </t>
    </r>
    <r>
      <rPr>
        <b/>
        <sz val="14"/>
        <color indexed="8"/>
        <rFont val="Arial"/>
        <family val="2"/>
        <charset val="238"/>
      </rPr>
      <t xml:space="preserve">
sterowany</t>
    </r>
  </si>
  <si>
    <r>
      <t xml:space="preserve">40 </t>
    </r>
    <r>
      <rPr>
        <b/>
        <sz val="14"/>
        <color indexed="8"/>
        <rFont val="Arial"/>
        <family val="2"/>
        <charset val="238"/>
      </rPr>
      <t xml:space="preserve">
HRC±2HRC</t>
    </r>
  </si>
  <si>
    <r>
      <t>0.414m_2400.05.075.0+2</t>
    </r>
    <r>
      <rPr>
        <b/>
        <sz val="14"/>
        <color indexed="8"/>
        <rFont val="Arial"/>
        <family val="2"/>
        <charset val="238"/>
      </rPr>
      <t xml:space="preserve">
050.12PZB+A2+25.1.1</t>
    </r>
  </si>
  <si>
    <r>
      <t>GRLA-1_8-QS-6-RS-D-</t>
    </r>
    <r>
      <rPr>
        <b/>
        <sz val="14"/>
        <color indexed="8"/>
        <rFont val="Arial"/>
        <family val="2"/>
        <charset val="238"/>
      </rPr>
      <t xml:space="preserve">
197581</t>
    </r>
  </si>
  <si>
    <r>
      <t>Zawór dławiąco-</t>
    </r>
    <r>
      <rPr>
        <b/>
        <sz val="14"/>
        <color indexed="8"/>
        <rFont val="Arial"/>
        <family val="2"/>
        <charset val="238"/>
      </rPr>
      <t xml:space="preserve">
zwrotny</t>
    </r>
  </si>
  <si>
    <r>
      <t xml:space="preserve">  193146_GRLA-1_4-QS-6-</t>
    </r>
    <r>
      <rPr>
        <b/>
        <sz val="14"/>
        <color indexed="8"/>
        <rFont val="Arial"/>
        <family val="2"/>
        <charset val="238"/>
      </rPr>
      <t xml:space="preserve">
D</t>
    </r>
  </si>
  <si>
    <r>
      <t xml:space="preserve">Zawór dławiąco </t>
    </r>
    <r>
      <rPr>
        <b/>
        <sz val="14"/>
        <color indexed="8"/>
        <rFont val="Arial"/>
        <family val="2"/>
        <charset val="238"/>
      </rPr>
      <t xml:space="preserve">
zwrotny</t>
    </r>
  </si>
  <si>
    <r>
      <t xml:space="preserve">Zawór szybk. </t>
    </r>
    <r>
      <rPr>
        <b/>
        <sz val="14"/>
        <color indexed="8"/>
        <rFont val="Arial"/>
        <family val="2"/>
        <charset val="238"/>
      </rPr>
      <t xml:space="preserve">
spustu</t>
    </r>
  </si>
  <si>
    <r>
      <t xml:space="preserve">Element montażowy </t>
    </r>
    <r>
      <rPr>
        <b/>
        <sz val="14"/>
        <color indexed="8"/>
        <rFont val="Arial"/>
        <family val="2"/>
        <charset val="238"/>
      </rPr>
      <t xml:space="preserve">
2 szt.</t>
    </r>
  </si>
  <si>
    <r>
      <t xml:space="preserve">bez łba, koniec płaski </t>
    </r>
    <r>
      <rPr>
        <b/>
        <sz val="14"/>
        <color indexed="8"/>
        <rFont val="Arial"/>
        <family val="2"/>
        <charset val="238"/>
      </rPr>
      <t xml:space="preserve">
M6x30</t>
    </r>
  </si>
  <si>
    <r>
      <t xml:space="preserve">Wpust </t>
    </r>
    <r>
      <rPr>
        <b/>
        <sz val="14"/>
        <color indexed="8"/>
        <rFont val="Arial"/>
        <family val="2"/>
        <charset val="238"/>
      </rPr>
      <t xml:space="preserve">
pryzmatyczny</t>
    </r>
  </si>
  <si>
    <r>
      <t>186096 QS-</t>
    </r>
    <r>
      <rPr>
        <b/>
        <sz val="14"/>
        <color indexed="8"/>
        <rFont val="Arial"/>
        <family val="2"/>
        <charset val="238"/>
      </rPr>
      <t xml:space="preserve">
G1_8-6</t>
    </r>
  </si>
  <si>
    <r>
      <t xml:space="preserve">bez łba, koniec płaski </t>
    </r>
    <r>
      <rPr>
        <b/>
        <sz val="14"/>
        <color indexed="8"/>
        <rFont val="Arial"/>
        <family val="2"/>
        <charset val="238"/>
      </rPr>
      <t xml:space="preserve">
M6x20</t>
    </r>
  </si>
  <si>
    <r>
      <t xml:space="preserve">MGNR15HM L=120 otw. </t>
    </r>
    <r>
      <rPr>
        <b/>
        <sz val="14"/>
        <color indexed="8"/>
        <rFont val="Arial"/>
        <family val="2"/>
        <charset val="238"/>
      </rPr>
      <t xml:space="preserve">
sym.</t>
    </r>
  </si>
  <si>
    <r>
      <t>GRLA-M5-QS-4-RS-D-</t>
    </r>
    <r>
      <rPr>
        <b/>
        <sz val="14"/>
        <color indexed="8"/>
        <rFont val="Arial"/>
        <family val="2"/>
        <charset val="238"/>
      </rPr>
      <t xml:space="preserve">
197577</t>
    </r>
  </si>
  <si>
    <r>
      <t xml:space="preserve">Generator </t>
    </r>
    <r>
      <rPr>
        <sz val="14"/>
        <color indexed="8"/>
        <rFont val="Arial"/>
        <family val="2"/>
        <charset val="238"/>
      </rPr>
      <t xml:space="preserve">
podciśnienia</t>
    </r>
  </si>
  <si>
    <r>
      <t xml:space="preserve">bez łba, koniec płaski </t>
    </r>
    <r>
      <rPr>
        <sz val="14"/>
        <color indexed="8"/>
        <rFont val="Arial"/>
        <family val="2"/>
        <charset val="238"/>
      </rPr>
      <t xml:space="preserve">
M5x14</t>
    </r>
  </si>
  <si>
    <r>
      <t xml:space="preserve">bez łba, koniec płaski </t>
    </r>
    <r>
      <rPr>
        <i/>
        <sz val="14"/>
        <color indexed="8"/>
        <rFont val="Arial"/>
        <family val="2"/>
        <charset val="238"/>
      </rPr>
      <t xml:space="preserve">
M5x14</t>
    </r>
  </si>
  <si>
    <r>
      <t xml:space="preserve">Nakrętka </t>
    </r>
    <r>
      <rPr>
        <sz val="14"/>
        <color indexed="8"/>
        <rFont val="Arial"/>
        <family val="2"/>
        <charset val="238"/>
      </rPr>
      <t xml:space="preserve">
sześciokątna niska</t>
    </r>
  </si>
  <si>
    <r>
      <t>GRLA-M5-QS-4-RS-D-</t>
    </r>
    <r>
      <rPr>
        <sz val="14"/>
        <color indexed="8"/>
        <rFont val="Arial"/>
        <family val="2"/>
        <charset val="238"/>
      </rPr>
      <t xml:space="preserve">
197577</t>
    </r>
  </si>
  <si>
    <r>
      <t>Zawór dławiąco-</t>
    </r>
    <r>
      <rPr>
        <sz val="14"/>
        <color indexed="8"/>
        <rFont val="Arial"/>
        <family val="2"/>
        <charset val="238"/>
      </rPr>
      <t xml:space="preserve">
zwrotny</t>
    </r>
  </si>
  <si>
    <r>
      <t>GRLA-M5-QS-4-RS-D-</t>
    </r>
    <r>
      <rPr>
        <i/>
        <sz val="14"/>
        <color indexed="8"/>
        <rFont val="Arial"/>
        <family val="2"/>
        <charset val="238"/>
      </rPr>
      <t xml:space="preserve">
197577</t>
    </r>
  </si>
  <si>
    <r>
      <t xml:space="preserve">Zawór zwrotny </t>
    </r>
    <r>
      <rPr>
        <sz val="14"/>
        <color indexed="8"/>
        <rFont val="Arial"/>
        <family val="2"/>
        <charset val="238"/>
      </rPr>
      <t xml:space="preserve">
sterowany</t>
    </r>
  </si>
  <si>
    <r>
      <t xml:space="preserve">Przyssawka </t>
    </r>
    <r>
      <rPr>
        <sz val="14"/>
        <color indexed="8"/>
        <rFont val="Arial"/>
        <family val="2"/>
        <charset val="238"/>
      </rPr>
      <t xml:space="preserve">
mieszkowa+adapter</t>
    </r>
  </si>
  <si>
    <r>
      <t xml:space="preserve">Końcówka </t>
    </r>
    <r>
      <rPr>
        <sz val="14"/>
        <color indexed="8"/>
        <rFont val="Arial"/>
        <family val="2"/>
        <charset val="238"/>
      </rPr>
      <t xml:space="preserve">
widełkowa</t>
    </r>
  </si>
  <si>
    <r>
      <t xml:space="preserve">Siłownik z </t>
    </r>
    <r>
      <rPr>
        <sz val="14"/>
        <color indexed="8"/>
        <rFont val="Arial"/>
        <family val="2"/>
        <charset val="238"/>
      </rPr>
      <t xml:space="preserve">
prowadzeniem</t>
    </r>
  </si>
  <si>
    <r>
      <t xml:space="preserve">1927-803-PRT-A0056641-A-Pas transportowy zgrzany w </t>
    </r>
    <r>
      <rPr>
        <i/>
        <sz val="14"/>
        <color indexed="8"/>
        <rFont val="Arial"/>
        <family val="2"/>
        <charset val="238"/>
      </rPr>
      <t xml:space="preserve">
pętlę </t>
    </r>
  </si>
  <si>
    <r>
      <t xml:space="preserve">P25-14A L=2348 </t>
    </r>
    <r>
      <rPr>
        <i/>
        <sz val="14"/>
        <color indexed="8"/>
        <rFont val="Arial"/>
        <family val="2"/>
        <charset val="238"/>
      </rPr>
      <t>B=180</t>
    </r>
  </si>
  <si>
    <r>
      <t>Motoreduktor (TM-</t>
    </r>
    <r>
      <rPr>
        <sz val="14"/>
        <color indexed="8"/>
        <rFont val="Arial"/>
        <family val="2"/>
        <charset val="238"/>
      </rPr>
      <t>025/30-80/9,  G-IE1-
56C2-4-0,12-80/9-230/400V)</t>
    </r>
  </si>
  <si>
    <r>
      <t xml:space="preserve">1927-803-ASM-A0008298--Motoreduktor (TM-025/30-80/9,  </t>
    </r>
    <r>
      <rPr>
        <i/>
        <sz val="14"/>
        <color indexed="8"/>
        <rFont val="Arial"/>
        <family val="2"/>
        <charset val="238"/>
      </rPr>
      <t xml:space="preserve">
G-IE1-56C2-4-0,12-80/9-230/400V)</t>
    </r>
  </si>
  <si>
    <r>
      <t>----Śruba z łb. walc. gn. 6kąt. z gwint. na cał dł. - DIN 912-</t>
    </r>
    <r>
      <rPr>
        <sz val="14"/>
        <rFont val="Arial"/>
        <family val="2"/>
        <charset val="238"/>
      </rPr>
      <t xml:space="preserve">
0-Śruba</t>
    </r>
  </si>
  <si>
    <r>
      <t>Ramie reakcyjne CHT</t>
    </r>
    <r>
      <rPr>
        <sz val="14"/>
        <rFont val="Arial"/>
        <family val="2"/>
        <charset val="238"/>
      </rPr>
      <t>MV 25</t>
    </r>
  </si>
  <si>
    <r>
      <t xml:space="preserve">0---Ramie reakcyjne CHT MV 25-0-Ramie reakcyjne CHT MV </t>
    </r>
    <r>
      <rPr>
        <sz val="14"/>
        <rFont val="Arial"/>
        <family val="2"/>
        <charset val="238"/>
      </rPr>
      <t xml:space="preserve">
25</t>
    </r>
  </si>
  <si>
    <r>
      <t xml:space="preserve">MK: </t>
    </r>
    <r>
      <rPr>
        <i/>
        <strike/>
        <sz val="14"/>
        <color indexed="8"/>
        <rFont val="Arial"/>
        <family val="2"/>
        <charset val="238"/>
      </rPr>
      <t>CHT MV 25</t>
    </r>
    <r>
      <rPr>
        <i/>
        <sz val="14"/>
        <color indexed="8"/>
        <rFont val="Arial"/>
        <family val="2"/>
        <charset val="238"/>
      </rPr>
      <t xml:space="preserve">
TM-025</t>
    </r>
  </si>
  <si>
    <r>
      <t xml:space="preserve">MK: </t>
    </r>
    <r>
      <rPr>
        <i/>
        <strike/>
        <sz val="14"/>
        <color indexed="8"/>
        <rFont val="Arial"/>
        <family val="2"/>
        <charset val="238"/>
      </rPr>
      <t>CHIARAWALLI</t>
    </r>
    <r>
      <rPr>
        <i/>
        <sz val="14"/>
        <color indexed="8"/>
        <rFont val="Arial"/>
        <family val="2"/>
        <charset val="238"/>
      </rPr>
      <t xml:space="preserve">
KACPEREK</t>
    </r>
  </si>
  <si>
    <r>
      <t xml:space="preserve">Bosch Rexroth-Przegub 40x40 </t>
    </r>
    <r>
      <rPr>
        <sz val="14"/>
        <color indexed="8"/>
        <rFont val="Arial"/>
        <family val="2"/>
        <charset val="238"/>
      </rPr>
      <t xml:space="preserve">
elast.</t>
    </r>
  </si>
  <si>
    <t>MAMY 1 SZTUKE OP-87226</t>
  </si>
  <si>
    <t>2023-02-10 MK</t>
  </si>
  <si>
    <t>Z/SC/1903/2927/75/JP</t>
  </si>
  <si>
    <t>2023-02-10 JP</t>
  </si>
  <si>
    <r>
      <t>Z/TEVEMA/1927/53/JP</t>
    </r>
    <r>
      <rPr>
        <sz val="14"/>
        <color indexed="8"/>
        <rFont val="Arial"/>
        <family val="2"/>
        <charset val="238"/>
      </rPr>
      <t xml:space="preserve"> MK: ANULOWANE</t>
    </r>
  </si>
  <si>
    <t>Z/SMC/1927/714/MK</t>
  </si>
  <si>
    <t>Z/TIM/703/MK</t>
  </si>
  <si>
    <t>Z/ATCP/1927/54/JP</t>
  </si>
  <si>
    <t>Smaowanie dźwigni</t>
  </si>
  <si>
    <t>Z/KTR/1927/1943/719/MK</t>
  </si>
  <si>
    <t>odłożona do projektu 1927</t>
  </si>
  <si>
    <t>Z/OEM/1927/720/MK</t>
  </si>
  <si>
    <t>Zamówienie Z/1927/MS/2023</t>
  </si>
  <si>
    <t>SZ 2591.000</t>
  </si>
  <si>
    <t>Obejma przewodu</t>
  </si>
  <si>
    <t>RITTAL</t>
  </si>
  <si>
    <t>270.772</t>
  </si>
  <si>
    <t>Mocowanie przyssawki</t>
  </si>
  <si>
    <t>23.011.234.19</t>
  </si>
  <si>
    <t>FIPA</t>
  </si>
  <si>
    <t>1012BS</t>
  </si>
  <si>
    <t>kiść robota</t>
  </si>
  <si>
    <t>1x do gt + 1x il</t>
  </si>
  <si>
    <t>kontrola dzwigni na robocie</t>
  </si>
  <si>
    <t xml:space="preserve">kontrola dzwigni - 2 szt na stałe </t>
  </si>
  <si>
    <t>2023-02-14 MK od Pana Marka</t>
  </si>
  <si>
    <t>Z/BALLUFF/1927/1943/1948/1971/723/MK</t>
  </si>
  <si>
    <t>2023-02-14 JP</t>
  </si>
  <si>
    <t>2023-02-14 MK</t>
  </si>
  <si>
    <t>2023-02-15 JP</t>
  </si>
  <si>
    <t>2023-01-23 JP
2023-02-15 JP</t>
  </si>
  <si>
    <t>2023-02-16 JP</t>
  </si>
  <si>
    <t>3 SZT ZAKUP INTERNETOWY</t>
  </si>
  <si>
    <t>4 SZTUKI ZAKUP INTERENETOWY</t>
  </si>
  <si>
    <t>1 SZTUKA ZAKUP INTERENTOWY</t>
  </si>
  <si>
    <t>2SZTUKI ZAKUP INTERENETOWY</t>
  </si>
  <si>
    <t>MAGAZYN KILKANASCIE SZTUK</t>
  </si>
  <si>
    <t>08.01.2023+19.02.2023</t>
  </si>
  <si>
    <t>zamówienie Z/1927/MS/2023  ( 15 marzec )</t>
  </si>
  <si>
    <r>
      <t xml:space="preserve"> 186096 QS-</t>
    </r>
    <r>
      <rPr>
        <b/>
        <sz val="14"/>
        <color indexed="8"/>
        <rFont val="Arial"/>
        <family val="2"/>
        <charset val="238"/>
      </rPr>
      <t>G1_8-6</t>
    </r>
  </si>
  <si>
    <t>08.02.2023 + 10.02.023</t>
  </si>
  <si>
    <t>08.02.2023+ 10.02.023</t>
  </si>
  <si>
    <t>ZAMÓWIENIE  z/Pivexin/1927/MK</t>
  </si>
  <si>
    <t>Zamówienie Z/1927/MS/2023  - zamówione łącznie 10 sztuk</t>
  </si>
  <si>
    <t>POBRAC ZE ZLECENIA 1943</t>
  </si>
  <si>
    <t>DO ZAMÓWIENIE</t>
  </si>
  <si>
    <t>2023-02-20 JP</t>
  </si>
  <si>
    <t>ZAPYTANIE 1927/MS/2023
MAGAZYN - JP</t>
  </si>
  <si>
    <r>
      <t xml:space="preserve">ZAPYTANIE 1927/MS/2023 - </t>
    </r>
    <r>
      <rPr>
        <sz val="14"/>
        <color indexed="10"/>
        <rFont val="Arial"/>
        <family val="2"/>
        <charset val="238"/>
      </rPr>
      <t xml:space="preserve">CZY MAMY NA MAGAZYNIE ????
</t>
    </r>
    <r>
      <rPr>
        <sz val="14"/>
        <rFont val="Arial"/>
        <family val="2"/>
        <charset val="238"/>
      </rPr>
      <t>MAGAZYN - JP</t>
    </r>
  </si>
  <si>
    <t>ZAPYTANIE 1927/MS/2023  S8VK-G03012  &lt;&lt; jest na liście magazynowej
MAGAZYN S8VK-G03012  - ODŁOŻONE DO PROJEKTU</t>
  </si>
  <si>
    <t xml:space="preserve">2023-02-20 JP ODŁOŻONE S8VK-G03012  </t>
  </si>
  <si>
    <t>2023-02-20 JP DOSTARCZONE BEZ DOKUMENTÓW</t>
  </si>
  <si>
    <t>Allen-Bradley
SICK</t>
  </si>
  <si>
    <t>dostawa 4 tygodnie od daty zamówienia</t>
  </si>
  <si>
    <t>2023-02-21 JP</t>
  </si>
  <si>
    <t>2023-02-21 MK bez dokumentów</t>
  </si>
  <si>
    <t>2 mag
1</t>
  </si>
  <si>
    <t>2023-01-20 JP
2023-02-21 MK</t>
  </si>
  <si>
    <t>5 mag
5</t>
  </si>
  <si>
    <t>2023-02-21 MK</t>
  </si>
  <si>
    <t>Z/HARTING/1927/1943/729/MK</t>
  </si>
  <si>
    <t>2023-02-22 JP</t>
  </si>
  <si>
    <t>1
1</t>
  </si>
  <si>
    <t>2022-11-28 JP
2023-02-22 JP</t>
  </si>
  <si>
    <t>60 RESZTA DO POBRANIA Z MAGAZYNU</t>
  </si>
  <si>
    <t>Allegro - wysłany link do zakupu do Pana Marka</t>
  </si>
  <si>
    <t>2023-02-23 JP</t>
  </si>
  <si>
    <t>2023-02-23 JP DOSTARCZONO BEZ DOKUMENTÓW</t>
  </si>
  <si>
    <t>AD ACCESS</t>
  </si>
  <si>
    <t>BOFA</t>
  </si>
  <si>
    <t>Pochłaniacz oparów</t>
  </si>
  <si>
    <t>2023-02-27 jp</t>
  </si>
  <si>
    <t>K. Lak</t>
  </si>
  <si>
    <t>1927-000-00 Wygrodzenie</t>
  </si>
  <si>
    <t>Zatrzask Drzwi</t>
  </si>
  <si>
    <r>
      <t xml:space="preserve">Płytka stopki 40X80 </t>
    </r>
    <r>
      <rPr>
        <sz val="8"/>
        <color indexed="8"/>
        <rFont val="SWGDT"/>
      </rPr>
      <t xml:space="preserve">
</t>
    </r>
    <r>
      <rPr>
        <sz val="8"/>
        <color indexed="8"/>
        <rFont val="Verdana"/>
        <family val="2"/>
        <charset val="238"/>
      </rPr>
      <t>M12</t>
    </r>
  </si>
  <si>
    <t xml:space="preserve">Wygrodzenie </t>
  </si>
  <si>
    <t>2023-02-27 JP - 1 OP = 10SZT</t>
  </si>
  <si>
    <t>2023-02-27 JP - 2 OP = 20SZT</t>
  </si>
  <si>
    <t>2023-02-27 JP</t>
  </si>
  <si>
    <t>2023-02-28 JP - DOSTARCZONO BEZ DOKUMENTÓW</t>
  </si>
  <si>
    <t>2023-03-01 JP</t>
  </si>
  <si>
    <t>30 STYCZEŃ 2022 / LIPIEC-SIERPIEŃ</t>
  </si>
  <si>
    <t>7 mag</t>
  </si>
  <si>
    <t>2023-03-02 JP - Dostarczono zamówienie: Z/1927/MS/2023</t>
  </si>
  <si>
    <t>2023-03-09 MK</t>
  </si>
  <si>
    <t>16 mag</t>
  </si>
  <si>
    <t>2023-02-23 MK</t>
  </si>
  <si>
    <t>Z/P+F/1943/746/MK</t>
  </si>
  <si>
    <t>2023-02-08 MK</t>
  </si>
  <si>
    <t>2023-03-02 JP</t>
  </si>
  <si>
    <t>Z/KIPP/1927/759/MK</t>
  </si>
  <si>
    <t>6
5</t>
  </si>
  <si>
    <t>2022-12-20 MK po projekcie 1851
2023-03-03 JP</t>
  </si>
  <si>
    <t>2022-12-20 MK po projekcie 1851
2023-03-06 JP</t>
  </si>
  <si>
    <t>2023-03-07 JP</t>
  </si>
  <si>
    <t>2023-03-08 JP</t>
  </si>
  <si>
    <t>2023-03-07 JP - DOSTARCZONO BEZ DOKUMENTÓW</t>
  </si>
  <si>
    <t>JA50-16-150.SLDPRT</t>
  </si>
  <si>
    <t>1 mag
2</t>
  </si>
  <si>
    <t>2023-02-02 MK SY5320-5YO-01F-Q
2023-03-08 JP</t>
  </si>
  <si>
    <t>2023-03-09 JP</t>
  </si>
  <si>
    <t>2023-03-13 MK</t>
  </si>
  <si>
    <t>2023-03-14 JP</t>
  </si>
  <si>
    <t>ZAMÓWIENIE Z/702/1851/MS/2022 ( ŁĄCZNIE 20 SZTUK )
Z/BALLUFF/1927/2009/788/MK</t>
  </si>
  <si>
    <t>2022-05-13
2023-03-14</t>
  </si>
  <si>
    <t>2023-03-06 / 2023-04-11</t>
  </si>
  <si>
    <t>2023-03-14 MK</t>
  </si>
  <si>
    <t>dostarczone</t>
  </si>
  <si>
    <t>z/Pivexin/1927/MK</t>
  </si>
  <si>
    <t>uzupełnienie zamówienia Z/SMC/1927/714/MK</t>
  </si>
  <si>
    <t>2
2</t>
  </si>
  <si>
    <t>2022-12-21 MK po projekcie 1851
2023-03-14 JP</t>
  </si>
  <si>
    <t>2022-10-11 MK
 2023-03-14 JP</t>
  </si>
  <si>
    <t>2023-03-15 MK</t>
  </si>
  <si>
    <r>
      <rPr>
        <strike/>
        <sz val="14"/>
        <color indexed="8"/>
        <rFont val="Arial"/>
        <family val="2"/>
        <charset val="238"/>
      </rPr>
      <t>TURCK</t>
    </r>
    <r>
      <rPr>
        <sz val="14"/>
        <color indexed="8"/>
        <rFont val="Arial"/>
        <family val="2"/>
        <charset val="238"/>
      </rPr>
      <t xml:space="preserve">
MK: MURR</t>
    </r>
  </si>
  <si>
    <r>
      <rPr>
        <strike/>
        <sz val="14"/>
        <color indexed="8"/>
        <rFont val="Arial"/>
        <family val="2"/>
        <charset val="238"/>
      </rPr>
      <t>6904717</t>
    </r>
    <r>
      <rPr>
        <sz val="14"/>
        <color indexed="8"/>
        <rFont val="Arial"/>
        <family val="2"/>
        <charset val="238"/>
      </rPr>
      <t xml:space="preserve">
MK: 7000-78201-0000000</t>
    </r>
  </si>
  <si>
    <r>
      <rPr>
        <strike/>
        <sz val="14"/>
        <color indexed="8"/>
        <rFont val="Arial"/>
        <family val="2"/>
        <charset val="238"/>
      </rPr>
      <t>6904718</t>
    </r>
    <r>
      <rPr>
        <sz val="14"/>
        <color indexed="8"/>
        <rFont val="Arial"/>
        <family val="2"/>
        <charset val="238"/>
      </rPr>
      <t xml:space="preserve">
MK: 7000-78081-0000000</t>
    </r>
  </si>
  <si>
    <r>
      <rPr>
        <strike/>
        <sz val="14"/>
        <color indexed="8"/>
        <rFont val="Arial"/>
        <family val="2"/>
        <charset val="238"/>
      </rPr>
      <t>B 4151-0/9</t>
    </r>
    <r>
      <rPr>
        <sz val="14"/>
        <color indexed="8"/>
        <rFont val="Arial"/>
        <family val="2"/>
        <charset val="238"/>
      </rPr>
      <t xml:space="preserve">
MK: 7000-78201-0000000</t>
    </r>
  </si>
  <si>
    <r>
      <rPr>
        <strike/>
        <sz val="14"/>
        <color indexed="8"/>
        <rFont val="Arial"/>
        <family val="2"/>
        <charset val="238"/>
      </rPr>
      <t>BS4151-0/9</t>
    </r>
    <r>
      <rPr>
        <sz val="14"/>
        <color indexed="8"/>
        <rFont val="Arial"/>
        <family val="2"/>
        <charset val="238"/>
      </rPr>
      <t xml:space="preserve">
MK: 7000-78081-0000000</t>
    </r>
  </si>
  <si>
    <t>2023-03-03 JP MK</t>
  </si>
  <si>
    <t>ZWRACAMY, ZMIANA SERWOWZMACNIACZY</t>
  </si>
  <si>
    <t>ZMIANA SERWOWZMACNIACZY</t>
  </si>
  <si>
    <t>iQ-R Series Simple Motion Module| 16 Axes (SSCNET III/H)</t>
  </si>
  <si>
    <t xml:space="preserve">RD77MS16 </t>
  </si>
  <si>
    <t>ZAMIANA SERWONAPĘDÓW</t>
  </si>
  <si>
    <t>PLC iQ-R Series| CC-Link IE Field network module,</t>
  </si>
  <si>
    <t>RJ71GF11-T2</t>
  </si>
  <si>
    <t>Digital AC-Servo Amplifier MR-J4-B</t>
  </si>
  <si>
    <t>Digital AC-Servo Amplifier MR-J4-</t>
  </si>
  <si>
    <t>MR-J4-20B-RJ</t>
  </si>
  <si>
    <t xml:space="preserve">MR-J4-70B-RJ </t>
  </si>
  <si>
    <t>MR-J3BUS03M-S</t>
  </si>
  <si>
    <t>MR-J3BUS3M-S</t>
  </si>
  <si>
    <t>Światłowód do serwowzmacniacza</t>
  </si>
  <si>
    <t>2023-03-15 JP</t>
  </si>
  <si>
    <t>mag 
9</t>
  </si>
  <si>
    <t>2023-01-20 JP
2023-03-15 JP</t>
  </si>
  <si>
    <t>Z/MITSUBISHI/1927/794/MK</t>
  </si>
  <si>
    <t>2023-03-16 JP</t>
  </si>
  <si>
    <t>2023-03-17 JP</t>
  </si>
  <si>
    <t>2023-03-20 JP</t>
  </si>
  <si>
    <t>2 MAG
1
2</t>
  </si>
  <si>
    <t>2022-10-11 MK po projekcie 1857
2023-03-14 JP
2023-03-20 JP</t>
  </si>
  <si>
    <t>2022-12-21 MK po projekcie 1851
2023-03-20 JP</t>
  </si>
  <si>
    <t>2023-03-22 JP</t>
  </si>
  <si>
    <t>2023-03-22 JP - ZWRÓCONO DO MITSUBISHI 2023-03-23 JP</t>
  </si>
  <si>
    <r>
      <t xml:space="preserve">2023-01-24 JP - </t>
    </r>
    <r>
      <rPr>
        <b/>
        <sz val="14"/>
        <rFont val="Arial"/>
        <family val="2"/>
        <charset val="238"/>
      </rPr>
      <t>ZWRÓCONO DO MITSUBISHI 2023-03-23 JP</t>
    </r>
  </si>
  <si>
    <t>2023-03-23 JP</t>
  </si>
  <si>
    <t>4 mag
1</t>
  </si>
  <si>
    <t>2023-03-15 MK
2023-03-23 JP</t>
  </si>
  <si>
    <t>2023-03-27 JP</t>
  </si>
  <si>
    <t>36
8
28</t>
  </si>
  <si>
    <t>2022-09-01 Emil  ??/
2023-03-02 JP
2023-03-27 JP</t>
  </si>
  <si>
    <t>2022-09-01 Emil  ??/
2023-03-03 JP
2023-03-27 JP</t>
  </si>
  <si>
    <t>2023-02-15 MK</t>
  </si>
  <si>
    <t>ZAPYTANIE 1927/MS/2023  + Zamówienie Z/729/1927/MS/2023</t>
  </si>
  <si>
    <t>19.02.2023+28.03.2023</t>
  </si>
  <si>
    <t>14.07.2022+19.02.2023+28.03.2023</t>
  </si>
  <si>
    <t>ZAPYTANIE 1927/MS/2023   zapytanie 1371/1851-1927/MS/2022  - NIE ZAKUPIONE  + Zamówienie Z/729/1927/MS/2023</t>
  </si>
  <si>
    <t>ZAPYTANIE 1927/MS/2023 +zamówienie Z/730/1927/MS/2023</t>
  </si>
  <si>
    <t>6 x po projekcie 1851; 8x zakup interenetowy, 5 sztuk zakupione w bosch ma termin dostawy ok czerwiec = zapas mamy na poziomie 8-9 sztuk !!!! (do 1936 )</t>
  </si>
  <si>
    <t>zamówienie Z/732/1927/MS/2023</t>
  </si>
  <si>
    <t>zamówienie Z_0740_1927_MS_2023</t>
  </si>
  <si>
    <t>09.02..2023 + 28.03.2023</t>
  </si>
  <si>
    <t>zamówienie Z/0743/1927,2011/MS/2023  - 2 SZTUKI - 1 SZTUKA 1927 + 1 SZTUKA 2011</t>
  </si>
  <si>
    <t>Profil 30x30L</t>
  </si>
  <si>
    <t>3 842 990 720/</t>
  </si>
  <si>
    <t>Zapytanie Z/A-T/1927/MK</t>
  </si>
  <si>
    <t>2023-03-28 JP</t>
  </si>
  <si>
    <t>0D4CP015F9-450_002399</t>
  </si>
  <si>
    <t>1927-300-0D4CP015F9-450_002399-A-Elektrobęben 80LP fi84</t>
  </si>
  <si>
    <t>1927-802-0DRFS-450_000132-0-Bęben napinający</t>
  </si>
  <si>
    <t>0DRFS-450_000132</t>
  </si>
  <si>
    <t>0D4CP015F9-500_002400</t>
  </si>
  <si>
    <t>1927-300-0D4CP015F9-500_002400-A-Elektrobęben 80LP fi84</t>
  </si>
  <si>
    <t>0DRFS-500_000071</t>
  </si>
  <si>
    <t>1927-802- 0DRFS-500_000071-0-Bęben napinający</t>
  </si>
  <si>
    <t>Montaż Dźwigni/Wsztrzymano do wyjasnienia</t>
  </si>
  <si>
    <t>5
5</t>
  </si>
  <si>
    <t>2023-01-20 JP
2023-03-31 JP</t>
  </si>
  <si>
    <t>2023-03-31 JP</t>
  </si>
  <si>
    <t>Z/MOVLINK/1927/808/MK</t>
  </si>
  <si>
    <r>
      <rPr>
        <i/>
        <strike/>
        <sz val="14"/>
        <color indexed="8"/>
        <rFont val="Arial"/>
        <family val="2"/>
        <charset val="238"/>
      </rPr>
      <t>PLASTEM</t>
    </r>
    <r>
      <rPr>
        <i/>
        <sz val="14"/>
        <color indexed="8"/>
        <rFont val="Arial"/>
        <family val="2"/>
        <charset val="238"/>
      </rPr>
      <t xml:space="preserve">
MK: MOVLINK</t>
    </r>
  </si>
  <si>
    <t>2023-04-06 JP</t>
  </si>
  <si>
    <t>2023-04-07 JP</t>
  </si>
  <si>
    <t>2023-04-11 JP</t>
  </si>
  <si>
    <t>zostało 2</t>
  </si>
  <si>
    <t>zostało 3</t>
  </si>
  <si>
    <t>zostało 4</t>
  </si>
  <si>
    <t>zostało 1</t>
  </si>
  <si>
    <t>2023-02-22 JP
2023-04-13 JP</t>
  </si>
  <si>
    <t>Zamówienie Z/813/1927/MS/2023</t>
  </si>
  <si>
    <t>28.03.2023+14.04.2023</t>
  </si>
  <si>
    <t>Zapytanie 1927/MS/2023+zamówienie Z/1927/MS/2023</t>
  </si>
  <si>
    <t>MS: ZAKUPIĆ +  +14.04.2023</t>
  </si>
  <si>
    <t>Zamówienie Z/ 733/1927/MS/2023</t>
  </si>
  <si>
    <t>CIĘTE NA MAGAZYNIE Z PROFILI PO PROJEKCIE 1925</t>
  </si>
  <si>
    <t>2023-04-17 JP</t>
  </si>
  <si>
    <t>2023-04-18 JP</t>
  </si>
  <si>
    <t>Dostarczono zamówienie Z/A-T/1927/MK</t>
  </si>
  <si>
    <t>2023-04-19 JP</t>
  </si>
  <si>
    <t>2023-01-03 MK po projekcie 1851
2023-04-20 JP</t>
  </si>
  <si>
    <t>2023-04-20 JP</t>
  </si>
  <si>
    <t>Z/POLTECH/1927/38/JP
koszyk ALBECO</t>
  </si>
  <si>
    <t>2023-01-24
2023-04-25</t>
  </si>
  <si>
    <t>JP
MK</t>
  </si>
  <si>
    <t>2023-04-25 JP</t>
  </si>
  <si>
    <t>2023-04-25 JP DOSTARCZONO P2RFZ-08-E</t>
  </si>
  <si>
    <t>4 mag
2 MAG
9</t>
  </si>
  <si>
    <t>4 SZT ZABRANE Z MAGAZYNU PRZEZ Tygrysa 2023-04-05 JP
2023-04-13 JP 
2023-04-25 JP</t>
  </si>
  <si>
    <t>2
6</t>
  </si>
  <si>
    <t>2023-01-26 JP
2023-04-26 JP</t>
  </si>
  <si>
    <t>2023-04-27 JP</t>
  </si>
  <si>
    <t>2023-02-23 JP DOSTARCZONO BEZ DOKUMENTÓW
2023-04-27 JP</t>
  </si>
  <si>
    <t>80
2</t>
  </si>
  <si>
    <t>2023-03-08 JP
2023-05-08 JP</t>
  </si>
  <si>
    <t>zap: Z/A-T/1927/194/JP</t>
  </si>
  <si>
    <t>2023-05-12 JP</t>
  </si>
  <si>
    <t>2023-05-16 JP</t>
  </si>
  <si>
    <t>tets</t>
  </si>
</sst>
</file>

<file path=xl/styles.xml><?xml version="1.0" encoding="utf-8"?>
<styleSheet xmlns="http://schemas.openxmlformats.org/spreadsheetml/2006/main">
  <numFmts count="3">
    <numFmt numFmtId="43" formatCode="_-* #,##0.00\ _z_ł_-;\-* #,##0.00\ _z_ł_-;_-* &quot;-&quot;??\ _z_ł_-;_-@_-"/>
    <numFmt numFmtId="164" formatCode="d/mm/yyyy"/>
    <numFmt numFmtId="165" formatCode="_-* #,##0.00\ _z_ł_-;\-* #,##0.00\ _z_ł_-;_-* \-??\ _z_ł_-;_-@_-"/>
  </numFmts>
  <fonts count="90">
    <font>
      <sz val="10"/>
      <name val="Arial"/>
      <family val="2"/>
      <charset val="238"/>
    </font>
    <font>
      <b/>
      <sz val="20"/>
      <name val="Arial"/>
      <family val="2"/>
      <charset val="238"/>
    </font>
    <font>
      <i/>
      <sz val="8"/>
      <name val="Arial"/>
      <family val="2"/>
      <charset val="238"/>
    </font>
    <font>
      <sz val="8"/>
      <name val="Arial"/>
      <family val="2"/>
      <charset val="238"/>
    </font>
    <font>
      <b/>
      <i/>
      <sz val="8"/>
      <name val="Arial"/>
      <family val="2"/>
      <charset val="238"/>
    </font>
    <font>
      <sz val="12"/>
      <name val="Arial"/>
      <family val="2"/>
      <charset val="238"/>
    </font>
    <font>
      <sz val="9"/>
      <name val="Arial"/>
      <family val="2"/>
      <charset val="238"/>
    </font>
    <font>
      <u/>
      <sz val="11.5"/>
      <color indexed="12"/>
      <name val="Arial"/>
      <family val="2"/>
      <charset val="238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20"/>
      <name val="Arial"/>
      <family val="2"/>
      <charset val="238"/>
    </font>
    <font>
      <b/>
      <sz val="12"/>
      <name val="Arial"/>
      <family val="2"/>
      <charset val="238"/>
    </font>
    <font>
      <b/>
      <i/>
      <sz val="11"/>
      <name val="Arial"/>
      <family val="2"/>
      <charset val="238"/>
    </font>
    <font>
      <sz val="11"/>
      <color indexed="62"/>
      <name val="Calibri"/>
      <family val="2"/>
      <charset val="238"/>
    </font>
    <font>
      <b/>
      <sz val="9"/>
      <name val="Arial"/>
      <family val="2"/>
      <charset val="238"/>
    </font>
    <font>
      <b/>
      <sz val="10"/>
      <name val="Arial"/>
      <family val="2"/>
      <charset val="238"/>
    </font>
    <font>
      <sz val="14"/>
      <name val="Arial"/>
      <family val="2"/>
      <charset val="238"/>
    </font>
    <font>
      <b/>
      <sz val="14"/>
      <name val="Arial"/>
      <family val="2"/>
      <charset val="238"/>
    </font>
    <font>
      <sz val="10"/>
      <name val="Arial"/>
      <family val="2"/>
      <charset val="238"/>
    </font>
    <font>
      <b/>
      <sz val="9"/>
      <color indexed="8"/>
      <name val="Times New Roman"/>
      <family val="1"/>
      <charset val="238"/>
    </font>
    <font>
      <sz val="8"/>
      <name val="Times New Roman"/>
      <family val="1"/>
      <charset val="238"/>
    </font>
    <font>
      <sz val="18"/>
      <name val="Arial"/>
      <family val="2"/>
      <charset val="238"/>
    </font>
    <font>
      <sz val="8"/>
      <name val="Verdana"/>
      <family val="2"/>
      <charset val="238"/>
    </font>
    <font>
      <sz val="14"/>
      <color indexed="10"/>
      <name val="Arial"/>
      <family val="2"/>
      <charset val="238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14"/>
      <color indexed="8"/>
      <name val="Arial"/>
      <family val="2"/>
      <charset val="238"/>
    </font>
    <font>
      <b/>
      <sz val="14"/>
      <color indexed="8"/>
      <name val="Arial"/>
      <family val="2"/>
      <charset val="238"/>
    </font>
    <font>
      <strike/>
      <sz val="14"/>
      <color indexed="8"/>
      <name val="Arial"/>
      <family val="2"/>
      <charset val="238"/>
    </font>
    <font>
      <i/>
      <sz val="14"/>
      <color indexed="8"/>
      <name val="Arial"/>
      <family val="2"/>
      <charset val="238"/>
    </font>
    <font>
      <strike/>
      <sz val="14"/>
      <name val="Arial"/>
      <family val="2"/>
      <charset val="238"/>
    </font>
    <font>
      <i/>
      <sz val="14"/>
      <name val="Arial"/>
      <family val="2"/>
      <charset val="238"/>
    </font>
    <font>
      <u/>
      <sz val="14"/>
      <color indexed="12"/>
      <name val="Arial"/>
      <family val="2"/>
      <charset val="238"/>
    </font>
    <font>
      <i/>
      <strike/>
      <sz val="14"/>
      <color indexed="8"/>
      <name val="Arial"/>
      <family val="2"/>
      <charset val="238"/>
    </font>
    <font>
      <b/>
      <strike/>
      <sz val="14"/>
      <name val="Arial"/>
      <family val="2"/>
      <charset val="238"/>
    </font>
    <font>
      <sz val="11"/>
      <name val="Calibri"/>
      <family val="2"/>
      <charset val="238"/>
    </font>
    <font>
      <sz val="14"/>
      <name val="Arial"/>
      <family val="2"/>
      <charset val="238"/>
    </font>
    <font>
      <b/>
      <sz val="14"/>
      <name val="Arial"/>
      <family val="2"/>
      <charset val="238"/>
    </font>
    <font>
      <sz val="14"/>
      <name val="Arial"/>
      <family val="2"/>
      <charset val="238"/>
    </font>
    <font>
      <b/>
      <sz val="14"/>
      <name val="Arial"/>
      <family val="2"/>
      <charset val="238"/>
    </font>
    <font>
      <sz val="8"/>
      <color indexed="8"/>
      <name val="Verdana"/>
      <family val="2"/>
      <charset val="238"/>
    </font>
    <font>
      <sz val="10"/>
      <name val="Arial"/>
      <family val="2"/>
      <charset val="238"/>
    </font>
    <font>
      <sz val="8"/>
      <color indexed="8"/>
      <name val="SWGDT"/>
    </font>
    <font>
      <sz val="9"/>
      <name val="Times New Roman"/>
      <family val="1"/>
      <charset val="238"/>
    </font>
    <font>
      <i/>
      <sz val="9"/>
      <name val="Arial"/>
      <family val="2"/>
      <charset val="238"/>
    </font>
    <font>
      <i/>
      <sz val="9"/>
      <name val="Times New Roman"/>
      <family val="1"/>
      <charset val="238"/>
    </font>
    <font>
      <i/>
      <sz val="9"/>
      <name val="Verdana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sz val="10"/>
      <color theme="1" tint="4.9989318521683403E-2"/>
      <name val="Arial"/>
      <family val="2"/>
      <charset val="238"/>
    </font>
    <font>
      <b/>
      <sz val="10"/>
      <color theme="1"/>
      <name val="Arial"/>
      <family val="2"/>
      <charset val="238"/>
    </font>
    <font>
      <b/>
      <sz val="11"/>
      <color theme="1"/>
      <name val="Arial"/>
      <family val="2"/>
      <charset val="238"/>
    </font>
    <font>
      <sz val="11"/>
      <color theme="1" tint="4.9989318521683403E-2"/>
      <name val="Arial"/>
      <family val="2"/>
      <charset val="238"/>
    </font>
    <font>
      <b/>
      <sz val="12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i/>
      <sz val="13"/>
      <color theme="1"/>
      <name val="Verdana"/>
      <family val="2"/>
      <charset val="238"/>
    </font>
    <font>
      <sz val="8"/>
      <color theme="1"/>
      <name val="Times New Roman"/>
      <family val="1"/>
      <charset val="238"/>
    </font>
    <font>
      <sz val="8"/>
      <color theme="1"/>
      <name val="Verdana"/>
      <family val="2"/>
      <charset val="238"/>
    </font>
    <font>
      <sz val="14"/>
      <color theme="1"/>
      <name val="Arial"/>
      <family val="2"/>
      <charset val="238"/>
    </font>
    <font>
      <sz val="14"/>
      <color theme="1" tint="4.9989318521683403E-2"/>
      <name val="Arial"/>
      <family val="2"/>
      <charset val="238"/>
    </font>
    <font>
      <b/>
      <sz val="14"/>
      <color theme="1"/>
      <name val="Arial"/>
      <family val="2"/>
      <charset val="238"/>
    </font>
    <font>
      <sz val="14"/>
      <color rgb="FFFF0000"/>
      <name val="Arial"/>
      <family val="2"/>
      <charset val="238"/>
    </font>
    <font>
      <sz val="14"/>
      <color rgb="FF000000"/>
      <name val="Arial"/>
      <family val="2"/>
      <charset val="238"/>
    </font>
    <font>
      <i/>
      <sz val="14"/>
      <color theme="1"/>
      <name val="Arial"/>
      <family val="2"/>
      <charset val="238"/>
    </font>
    <font>
      <strike/>
      <sz val="14"/>
      <color theme="1"/>
      <name val="Arial"/>
      <family val="2"/>
      <charset val="238"/>
    </font>
    <font>
      <strike/>
      <sz val="14"/>
      <color theme="1" tint="4.9989318521683403E-2"/>
      <name val="Arial"/>
      <family val="2"/>
      <charset val="238"/>
    </font>
    <font>
      <i/>
      <sz val="8"/>
      <color theme="1"/>
      <name val="Verdana"/>
      <family val="2"/>
      <charset val="238"/>
    </font>
    <font>
      <i/>
      <sz val="9"/>
      <color theme="1"/>
      <name val="Verdana"/>
      <family val="2"/>
      <charset val="238"/>
    </font>
    <font>
      <sz val="9"/>
      <color theme="1"/>
      <name val="Times New Roman"/>
      <family val="1"/>
      <charset val="238"/>
    </font>
    <font>
      <i/>
      <sz val="9"/>
      <color theme="1"/>
      <name val="Times New Roman"/>
      <family val="1"/>
      <charset val="238"/>
    </font>
    <font>
      <b/>
      <strike/>
      <sz val="14"/>
      <color theme="1"/>
      <name val="Arial"/>
      <family val="2"/>
      <charset val="238"/>
    </font>
    <font>
      <i/>
      <sz val="8"/>
      <color rgb="FFFF0000"/>
      <name val="Verdana"/>
      <family val="2"/>
      <charset val="238"/>
    </font>
    <font>
      <b/>
      <sz val="14"/>
      <color rgb="FFFF0000"/>
      <name val="Arial"/>
      <family val="2"/>
      <charset val="238"/>
    </font>
    <font>
      <b/>
      <sz val="12"/>
      <color theme="1" tint="4.9989318521683403E-2"/>
      <name val="Arial"/>
      <family val="2"/>
      <charset val="238"/>
    </font>
  </fonts>
  <fills count="36">
    <fill>
      <patternFill patternType="none"/>
    </fill>
    <fill>
      <patternFill patternType="gray125"/>
    </fill>
    <fill>
      <patternFill patternType="solid">
        <fgColor indexed="47"/>
        <bgColor indexed="22"/>
      </patternFill>
    </fill>
    <fill>
      <patternFill patternType="solid">
        <fgColor indexed="22"/>
        <bgColor indexed="31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theme="0" tint="-0.14999847407452621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theme="0" tint="-0.14999847407452621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8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0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0"/>
      </top>
      <bottom/>
      <diagonal/>
    </border>
    <border>
      <left style="thick">
        <color indexed="64"/>
      </left>
      <right/>
      <top style="thin">
        <color indexed="0"/>
      </top>
      <bottom style="thin">
        <color indexed="0"/>
      </bottom>
      <diagonal/>
    </border>
    <border>
      <left style="medium">
        <color indexed="64"/>
      </left>
      <right style="thick">
        <color indexed="64"/>
      </right>
      <top style="thin">
        <color indexed="0"/>
      </top>
      <bottom style="thin">
        <color indexed="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ck">
        <color indexed="64"/>
      </right>
      <top style="thin">
        <color indexed="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0"/>
      </left>
      <right style="thin">
        <color indexed="0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50">
    <xf numFmtId="0" fontId="0" fillId="0" borderId="0"/>
    <xf numFmtId="0" fontId="49" fillId="4" borderId="0" applyNumberFormat="0" applyBorder="0" applyAlignment="0" applyProtection="0"/>
    <xf numFmtId="0" fontId="49" fillId="5" borderId="0" applyNumberFormat="0" applyBorder="0" applyAlignment="0" applyProtection="0"/>
    <xf numFmtId="0" fontId="49" fillId="6" borderId="0" applyNumberFormat="0" applyBorder="0" applyAlignment="0" applyProtection="0"/>
    <xf numFmtId="0" fontId="49" fillId="7" borderId="0" applyNumberFormat="0" applyBorder="0" applyAlignment="0" applyProtection="0"/>
    <xf numFmtId="0" fontId="49" fillId="8" borderId="0" applyNumberFormat="0" applyBorder="0" applyAlignment="0" applyProtection="0"/>
    <xf numFmtId="0" fontId="49" fillId="9" borderId="0" applyNumberFormat="0" applyBorder="0" applyAlignment="0" applyProtection="0"/>
    <xf numFmtId="0" fontId="50" fillId="10" borderId="0" applyNumberFormat="0" applyBorder="0" applyAlignment="0" applyProtection="0"/>
    <xf numFmtId="0" fontId="50" fillId="11" borderId="0" applyNumberFormat="0" applyBorder="0" applyAlignment="0" applyProtection="0"/>
    <xf numFmtId="0" fontId="50" fillId="12" borderId="0" applyNumberFormat="0" applyBorder="0" applyAlignment="0" applyProtection="0"/>
    <xf numFmtId="0" fontId="50" fillId="13" borderId="0" applyNumberFormat="0" applyBorder="0" applyAlignment="0" applyProtection="0"/>
    <xf numFmtId="0" fontId="50" fillId="14" borderId="0" applyNumberFormat="0" applyBorder="0" applyAlignment="0" applyProtection="0"/>
    <xf numFmtId="0" fontId="50" fillId="15" borderId="0" applyNumberFormat="0" applyBorder="0" applyAlignment="0" applyProtection="0"/>
    <xf numFmtId="0" fontId="49" fillId="0" borderId="1"/>
    <xf numFmtId="0" fontId="49" fillId="0" borderId="1"/>
    <xf numFmtId="0" fontId="49" fillId="0" borderId="1"/>
    <xf numFmtId="0" fontId="49" fillId="0" borderId="1"/>
    <xf numFmtId="0" fontId="49" fillId="0" borderId="1"/>
    <xf numFmtId="0" fontId="49" fillId="0" borderId="1"/>
    <xf numFmtId="0" fontId="49" fillId="0" borderId="1"/>
    <xf numFmtId="0" fontId="49" fillId="0" borderId="1"/>
    <xf numFmtId="0" fontId="49" fillId="0" borderId="1">
      <alignment horizontal="center"/>
    </xf>
    <xf numFmtId="0" fontId="49" fillId="0" borderId="1"/>
    <xf numFmtId="0" fontId="49" fillId="0" borderId="1">
      <alignment horizontal="center"/>
    </xf>
    <xf numFmtId="0" fontId="49" fillId="0" borderId="1">
      <alignment horizontal="center"/>
    </xf>
    <xf numFmtId="0" fontId="51" fillId="16" borderId="63" applyNumberFormat="0" applyAlignment="0" applyProtection="0"/>
    <xf numFmtId="0" fontId="52" fillId="17" borderId="64" applyNumberFormat="0" applyAlignment="0" applyProtection="0"/>
    <xf numFmtId="0" fontId="53" fillId="18" borderId="0" applyNumberFormat="0" applyBorder="0" applyAlignment="0" applyProtection="0"/>
    <xf numFmtId="165" fontId="8" fillId="0" borderId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13" fillId="2" borderId="2" applyNumberFormat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0" fontId="54" fillId="0" borderId="65" applyNumberFormat="0" applyFill="0" applyAlignment="0" applyProtection="0"/>
    <xf numFmtId="0" fontId="55" fillId="19" borderId="66" applyNumberFormat="0" applyAlignment="0" applyProtection="0"/>
    <xf numFmtId="0" fontId="56" fillId="0" borderId="67" applyNumberFormat="0" applyFill="0" applyAlignment="0" applyProtection="0"/>
    <xf numFmtId="0" fontId="57" fillId="0" borderId="68" applyNumberFormat="0" applyFill="0" applyAlignment="0" applyProtection="0"/>
    <xf numFmtId="0" fontId="58" fillId="0" borderId="69" applyNumberFormat="0" applyFill="0" applyAlignment="0" applyProtection="0"/>
    <xf numFmtId="0" fontId="58" fillId="0" borderId="0" applyNumberFormat="0" applyFill="0" applyBorder="0" applyAlignment="0" applyProtection="0"/>
    <xf numFmtId="0" fontId="59" fillId="20" borderId="0" applyNumberFormat="0" applyBorder="0" applyAlignment="0" applyProtection="0"/>
    <xf numFmtId="0" fontId="49" fillId="0" borderId="0"/>
    <xf numFmtId="0" fontId="49" fillId="0" borderId="0"/>
    <xf numFmtId="0" fontId="8" fillId="0" borderId="0"/>
    <xf numFmtId="0" fontId="60" fillId="17" borderId="63" applyNumberFormat="0" applyAlignment="0" applyProtection="0"/>
    <xf numFmtId="0" fontId="61" fillId="0" borderId="70" applyNumberFormat="0" applyFill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49" fillId="21" borderId="71" applyNumberFormat="0" applyFont="0" applyAlignment="0" applyProtection="0"/>
  </cellStyleXfs>
  <cellXfs count="599">
    <xf numFmtId="0" fontId="0" fillId="0" borderId="0" xfId="0"/>
    <xf numFmtId="0" fontId="0" fillId="3" borderId="0" xfId="0" applyFont="1" applyFill="1"/>
    <xf numFmtId="0" fontId="1" fillId="0" borderId="0" xfId="0" applyFont="1" applyProtection="1">
      <protection locked="0"/>
    </xf>
    <xf numFmtId="164" fontId="1" fillId="0" borderId="0" xfId="0" applyNumberFormat="1" applyFont="1" applyAlignment="1" applyProtection="1">
      <alignment horizontal="left"/>
      <protection locked="0"/>
    </xf>
    <xf numFmtId="0" fontId="2" fillId="0" borderId="0" xfId="0" applyFont="1"/>
    <xf numFmtId="0" fontId="2" fillId="3" borderId="3" xfId="0" applyFont="1" applyFill="1" applyBorder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/>
    <xf numFmtId="0" fontId="4" fillId="0" borderId="0" xfId="0" applyFont="1"/>
    <xf numFmtId="0" fontId="12" fillId="0" borderId="0" xfId="0" applyFont="1"/>
    <xf numFmtId="0" fontId="65" fillId="0" borderId="0" xfId="0" applyNumberFormat="1" applyFont="1" applyFill="1" applyBorder="1" applyProtection="1">
      <protection locked="0"/>
    </xf>
    <xf numFmtId="0" fontId="66" fillId="22" borderId="4" xfId="0" applyNumberFormat="1" applyFont="1" applyFill="1" applyBorder="1" applyAlignment="1" applyProtection="1">
      <alignment horizontal="center" vertical="center" wrapText="1"/>
      <protection locked="0"/>
    </xf>
    <xf numFmtId="0" fontId="66" fillId="22" borderId="5" xfId="0" applyNumberFormat="1" applyFont="1" applyFill="1" applyBorder="1" applyAlignment="1" applyProtection="1">
      <alignment horizontal="center" vertical="center" wrapText="1"/>
      <protection locked="0"/>
    </xf>
    <xf numFmtId="0" fontId="66" fillId="22" borderId="6" xfId="0" applyNumberFormat="1" applyFont="1" applyFill="1" applyBorder="1" applyAlignment="1" applyProtection="1">
      <alignment horizontal="center" vertical="center" wrapText="1"/>
      <protection locked="0"/>
    </xf>
    <xf numFmtId="0" fontId="66" fillId="22" borderId="7" xfId="0" applyNumberFormat="1" applyFont="1" applyFill="1" applyBorder="1" applyAlignment="1" applyProtection="1">
      <alignment horizontal="center" vertical="center" wrapText="1"/>
      <protection locked="0"/>
    </xf>
    <xf numFmtId="0" fontId="67" fillId="22" borderId="4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NumberFormat="1" applyFont="1" applyFill="1" applyBorder="1" applyAlignment="1" applyProtection="1">
      <alignment horizontal="left" vertical="center"/>
      <protection locked="0"/>
    </xf>
    <xf numFmtId="0" fontId="6" fillId="0" borderId="0" xfId="0" applyNumberFormat="1" applyFont="1" applyFill="1" applyBorder="1" applyAlignment="1" applyProtection="1">
      <alignment vertical="top"/>
      <protection locked="0"/>
    </xf>
    <xf numFmtId="0" fontId="14" fillId="0" borderId="0" xfId="0" applyNumberFormat="1" applyFont="1" applyFill="1" applyBorder="1" applyAlignment="1" applyProtection="1">
      <alignment horizontal="center" vertical="top"/>
      <protection locked="0"/>
    </xf>
    <xf numFmtId="0" fontId="9" fillId="0" borderId="0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NumberFormat="1" applyFont="1" applyFill="1" applyBorder="1" applyAlignment="1" applyProtection="1">
      <alignment horizontal="center" vertical="center"/>
      <protection locked="0"/>
    </xf>
    <xf numFmtId="0" fontId="68" fillId="0" borderId="0" xfId="0" applyNumberFormat="1" applyFont="1" applyFill="1" applyBorder="1" applyProtection="1">
      <protection locked="0"/>
    </xf>
    <xf numFmtId="0" fontId="0" fillId="0" borderId="0" xfId="0" applyNumberFormat="1" applyFont="1" applyFill="1" applyBorder="1" applyAlignment="1" applyProtection="1">
      <alignment horizontal="center"/>
      <protection locked="0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66" fillId="22" borderId="10" xfId="0" applyNumberFormat="1" applyFont="1" applyFill="1" applyBorder="1" applyAlignment="1" applyProtection="1">
      <alignment horizontal="center" vertical="center" wrapText="1"/>
      <protection locked="0"/>
    </xf>
    <xf numFmtId="0" fontId="69" fillId="23" borderId="12" xfId="0" applyNumberFormat="1" applyFont="1" applyFill="1" applyBorder="1" applyAlignment="1" applyProtection="1">
      <alignment horizontal="center" vertical="center" wrapText="1"/>
      <protection locked="0"/>
    </xf>
    <xf numFmtId="0" fontId="15" fillId="22" borderId="12" xfId="0" applyNumberFormat="1" applyFont="1" applyFill="1" applyBorder="1" applyAlignment="1" applyProtection="1">
      <alignment horizontal="center" vertical="center" wrapText="1"/>
    </xf>
    <xf numFmtId="0" fontId="66" fillId="22" borderId="12" xfId="0" applyNumberFormat="1" applyFont="1" applyFill="1" applyBorder="1" applyAlignment="1" applyProtection="1">
      <alignment horizontal="center" vertical="center" wrapText="1"/>
      <protection locked="0"/>
    </xf>
    <xf numFmtId="0" fontId="66" fillId="22" borderId="12" xfId="0" applyNumberFormat="1" applyFont="1" applyFill="1" applyBorder="1" applyAlignment="1" applyProtection="1">
      <alignment horizontal="center" vertical="center"/>
      <protection locked="0"/>
    </xf>
    <xf numFmtId="0" fontId="67" fillId="22" borderId="13" xfId="0" applyNumberFormat="1" applyFont="1" applyFill="1" applyBorder="1" applyAlignment="1" applyProtection="1">
      <alignment horizontal="center" vertical="center" wrapText="1"/>
      <protection locked="0"/>
    </xf>
    <xf numFmtId="0" fontId="66" fillId="22" borderId="14" xfId="0" applyNumberFormat="1" applyFont="1" applyFill="1" applyBorder="1" applyAlignment="1" applyProtection="1">
      <alignment horizontal="center" vertical="center" wrapText="1"/>
      <protection locked="0"/>
    </xf>
    <xf numFmtId="0" fontId="66" fillId="22" borderId="15" xfId="0" applyNumberFormat="1" applyFont="1" applyFill="1" applyBorder="1" applyAlignment="1" applyProtection="1">
      <alignment horizontal="center" vertical="center" wrapText="1"/>
    </xf>
    <xf numFmtId="0" fontId="66" fillId="22" borderId="16" xfId="0" applyNumberFormat="1" applyFont="1" applyFill="1" applyBorder="1" applyAlignment="1" applyProtection="1">
      <alignment horizontal="center" vertical="center" wrapText="1"/>
      <protection locked="0"/>
    </xf>
    <xf numFmtId="0" fontId="66" fillId="22" borderId="17" xfId="0" applyNumberFormat="1" applyFont="1" applyFill="1" applyBorder="1" applyAlignment="1" applyProtection="1">
      <alignment horizontal="center" vertical="center" wrapText="1"/>
    </xf>
    <xf numFmtId="0" fontId="15" fillId="22" borderId="18" xfId="0" applyNumberFormat="1" applyFont="1" applyFill="1" applyBorder="1" applyAlignment="1" applyProtection="1">
      <alignment horizontal="center" vertical="center" wrapText="1"/>
    </xf>
    <xf numFmtId="0" fontId="66" fillId="22" borderId="18" xfId="0" applyNumberFormat="1" applyFont="1" applyFill="1" applyBorder="1" applyAlignment="1" applyProtection="1">
      <alignment horizontal="center" vertical="center" wrapText="1"/>
      <protection locked="0"/>
    </xf>
    <xf numFmtId="0" fontId="66" fillId="22" borderId="18" xfId="0" applyNumberFormat="1" applyFont="1" applyFill="1" applyBorder="1" applyAlignment="1" applyProtection="1">
      <alignment horizontal="center" vertical="center"/>
      <protection locked="0"/>
    </xf>
    <xf numFmtId="0" fontId="66" fillId="22" borderId="19" xfId="0" applyNumberFormat="1" applyFont="1" applyFill="1" applyBorder="1" applyAlignment="1" applyProtection="1">
      <alignment horizontal="center" vertical="center" wrapText="1"/>
      <protection locked="0"/>
    </xf>
    <xf numFmtId="0" fontId="66" fillId="22" borderId="20" xfId="0" applyNumberFormat="1" applyFont="1" applyFill="1" applyBorder="1" applyAlignment="1" applyProtection="1">
      <alignment horizontal="center" vertical="center" wrapText="1"/>
      <protection locked="0"/>
    </xf>
    <xf numFmtId="0" fontId="66" fillId="22" borderId="21" xfId="0" applyNumberFormat="1" applyFont="1" applyFill="1" applyBorder="1" applyAlignment="1" applyProtection="1">
      <alignment horizontal="center" vertical="center" wrapText="1"/>
      <protection locked="0"/>
    </xf>
    <xf numFmtId="0" fontId="66" fillId="22" borderId="22" xfId="0" applyNumberFormat="1" applyFont="1" applyFill="1" applyBorder="1" applyAlignment="1" applyProtection="1">
      <alignment horizontal="center" vertical="center" wrapText="1"/>
      <protection locked="0"/>
    </xf>
    <xf numFmtId="0" fontId="67" fillId="22" borderId="23" xfId="0" applyNumberFormat="1" applyFont="1" applyFill="1" applyBorder="1" applyAlignment="1" applyProtection="1">
      <alignment horizontal="center" vertical="center" wrapText="1"/>
      <protection locked="0"/>
    </xf>
    <xf numFmtId="0" fontId="67" fillId="22" borderId="24" xfId="0" applyNumberFormat="1" applyFont="1" applyFill="1" applyBorder="1" applyAlignment="1" applyProtection="1">
      <alignment horizontal="center" vertical="center" wrapText="1"/>
      <protection locked="0"/>
    </xf>
    <xf numFmtId="0" fontId="66" fillId="22" borderId="25" xfId="0" applyNumberFormat="1" applyFont="1" applyFill="1" applyBorder="1" applyAlignment="1" applyProtection="1">
      <alignment horizontal="center" vertical="center" wrapText="1"/>
      <protection locked="0"/>
    </xf>
    <xf numFmtId="0" fontId="66" fillId="22" borderId="23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/>
    <xf numFmtId="0" fontId="6" fillId="0" borderId="0" xfId="0" applyNumberFormat="1" applyFont="1" applyFill="1" applyBorder="1" applyAlignment="1" applyProtection="1">
      <alignment horizontal="left" vertical="center"/>
    </xf>
    <xf numFmtId="0" fontId="66" fillId="22" borderId="26" xfId="0" applyNumberFormat="1" applyFont="1" applyFill="1" applyBorder="1" applyAlignment="1" applyProtection="1">
      <alignment horizontal="center" vertical="center" wrapText="1"/>
      <protection locked="0"/>
    </xf>
    <xf numFmtId="0" fontId="16" fillId="0" borderId="27" xfId="0" applyNumberFormat="1" applyFont="1" applyFill="1" applyBorder="1" applyAlignment="1" applyProtection="1">
      <alignment horizontal="center" vertical="center" wrapText="1"/>
      <protection locked="0"/>
    </xf>
    <xf numFmtId="0" fontId="70" fillId="24" borderId="12" xfId="0" applyFont="1" applyFill="1" applyBorder="1" applyAlignment="1">
      <alignment horizontal="center" vertical="center" wrapText="1"/>
    </xf>
    <xf numFmtId="0" fontId="66" fillId="25" borderId="12" xfId="0" applyFont="1" applyFill="1" applyBorder="1" applyAlignment="1" applyProtection="1">
      <alignment horizontal="center" vertical="center" wrapText="1"/>
      <protection locked="0"/>
    </xf>
    <xf numFmtId="0" fontId="0" fillId="26" borderId="12" xfId="0" applyFont="1" applyFill="1" applyBorder="1" applyAlignment="1">
      <alignment horizontal="center" vertical="center" wrapText="1"/>
    </xf>
    <xf numFmtId="49" fontId="0" fillId="26" borderId="12" xfId="0" applyNumberFormat="1" applyFont="1" applyFill="1" applyBorder="1" applyAlignment="1">
      <alignment horizontal="center" vertical="center" wrapText="1"/>
    </xf>
    <xf numFmtId="0" fontId="71" fillId="26" borderId="12" xfId="0" applyFont="1" applyFill="1" applyBorder="1" applyAlignment="1">
      <alignment horizontal="center" vertical="center"/>
    </xf>
    <xf numFmtId="0" fontId="71" fillId="26" borderId="12" xfId="0" applyFont="1" applyFill="1" applyBorder="1" applyAlignment="1">
      <alignment horizontal="center" vertical="center" wrapText="1"/>
    </xf>
    <xf numFmtId="0" fontId="0" fillId="26" borderId="12" xfId="0" applyFont="1" applyFill="1" applyBorder="1" applyAlignment="1">
      <alignment horizontal="center"/>
    </xf>
    <xf numFmtId="0" fontId="0" fillId="26" borderId="12" xfId="0" applyFont="1" applyFill="1" applyBorder="1" applyAlignment="1">
      <alignment horizontal="center" vertical="center"/>
    </xf>
    <xf numFmtId="14" fontId="71" fillId="26" borderId="12" xfId="0" applyNumberFormat="1" applyFont="1" applyFill="1" applyBorder="1" applyAlignment="1" applyProtection="1">
      <alignment horizontal="left" vertical="center" wrapText="1"/>
      <protection locked="0"/>
    </xf>
    <xf numFmtId="0" fontId="71" fillId="26" borderId="12" xfId="0" applyFont="1" applyFill="1" applyBorder="1" applyAlignment="1" applyProtection="1">
      <alignment horizontal="center" vertical="center" wrapText="1"/>
      <protection locked="0"/>
    </xf>
    <xf numFmtId="0" fontId="0" fillId="26" borderId="12" xfId="0" applyFont="1" applyFill="1" applyBorder="1" applyAlignment="1" applyProtection="1">
      <alignment horizontal="center" vertical="center"/>
      <protection locked="0"/>
    </xf>
    <xf numFmtId="0" fontId="8" fillId="0" borderId="12" xfId="0" applyFont="1" applyFill="1" applyBorder="1" applyAlignment="1">
      <alignment horizontal="center"/>
    </xf>
    <xf numFmtId="0" fontId="0" fillId="0" borderId="0" xfId="0" applyBorder="1"/>
    <xf numFmtId="0" fontId="20" fillId="0" borderId="12" xfId="0" applyFont="1" applyFill="1" applyBorder="1" applyAlignment="1">
      <alignment horizontal="center" vertical="center"/>
    </xf>
    <xf numFmtId="0" fontId="72" fillId="0" borderId="12" xfId="0" applyFont="1" applyFill="1" applyBorder="1" applyAlignment="1">
      <alignment horizontal="center" vertical="center" wrapText="1"/>
    </xf>
    <xf numFmtId="0" fontId="72" fillId="0" borderId="12" xfId="0" applyFont="1" applyFill="1" applyBorder="1" applyAlignment="1" applyProtection="1">
      <alignment horizontal="center" vertical="center" wrapText="1"/>
      <protection locked="0"/>
    </xf>
    <xf numFmtId="0" fontId="20" fillId="0" borderId="0" xfId="0" applyFont="1" applyFill="1" applyBorder="1" applyAlignment="1">
      <alignment horizontal="center"/>
    </xf>
    <xf numFmtId="14" fontId="20" fillId="0" borderId="0" xfId="0" applyNumberFormat="1" applyFont="1" applyFill="1" applyBorder="1" applyAlignment="1">
      <alignment horizontal="center"/>
    </xf>
    <xf numFmtId="0" fontId="72" fillId="0" borderId="0" xfId="0" applyFont="1" applyBorder="1" applyAlignment="1">
      <alignment horizontal="left" vertical="center" wrapText="1"/>
    </xf>
    <xf numFmtId="0" fontId="72" fillId="0" borderId="0" xfId="0" applyFont="1" applyBorder="1" applyAlignment="1">
      <alignment horizontal="center" vertical="center" wrapText="1"/>
    </xf>
    <xf numFmtId="0" fontId="72" fillId="0" borderId="0" xfId="0" applyFont="1" applyFill="1" applyBorder="1" applyAlignment="1">
      <alignment horizontal="center" vertical="center" wrapText="1"/>
    </xf>
    <xf numFmtId="0" fontId="20" fillId="0" borderId="0" xfId="0" applyFont="1" applyFill="1" applyBorder="1" applyAlignment="1">
      <alignment horizontal="center" vertical="center"/>
    </xf>
    <xf numFmtId="14" fontId="72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72" fillId="0" borderId="0" xfId="0" applyFont="1" applyFill="1" applyBorder="1" applyAlignment="1" applyProtection="1">
      <alignment horizontal="center" vertical="center" wrapText="1"/>
      <protection locked="0"/>
    </xf>
    <xf numFmtId="0" fontId="66" fillId="22" borderId="12" xfId="0" applyNumberFormat="1" applyFont="1" applyFill="1" applyBorder="1" applyAlignment="1" applyProtection="1">
      <alignment horizontal="left" vertical="center" wrapText="1"/>
      <protection locked="0"/>
    </xf>
    <xf numFmtId="0" fontId="66" fillId="22" borderId="18" xfId="0" applyNumberFormat="1" applyFont="1" applyFill="1" applyBorder="1" applyAlignment="1" applyProtection="1">
      <alignment horizontal="left" vertical="center" wrapText="1"/>
      <protection locked="0"/>
    </xf>
    <xf numFmtId="0" fontId="16" fillId="27" borderId="8" xfId="0" applyNumberFormat="1" applyFont="1" applyFill="1" applyBorder="1" applyAlignment="1" applyProtection="1">
      <alignment horizontal="center" vertical="center" wrapText="1"/>
      <protection locked="0"/>
    </xf>
    <xf numFmtId="0" fontId="21" fillId="0" borderId="0" xfId="0" applyNumberFormat="1" applyFont="1" applyFill="1" applyBorder="1" applyAlignment="1" applyProtection="1">
      <alignment horizontal="center" vertical="center"/>
      <protection locked="0"/>
    </xf>
    <xf numFmtId="14" fontId="22" fillId="0" borderId="12" xfId="0" applyNumberFormat="1" applyFont="1" applyFill="1" applyBorder="1" applyAlignment="1">
      <alignment horizontal="center"/>
    </xf>
    <xf numFmtId="0" fontId="22" fillId="0" borderId="12" xfId="0" applyFont="1" applyFill="1" applyBorder="1" applyAlignment="1">
      <alignment horizontal="center"/>
    </xf>
    <xf numFmtId="0" fontId="73" fillId="0" borderId="12" xfId="0" applyFont="1" applyBorder="1" applyAlignment="1">
      <alignment horizontal="center" vertical="center" wrapText="1"/>
    </xf>
    <xf numFmtId="0" fontId="22" fillId="0" borderId="12" xfId="0" applyFont="1" applyFill="1" applyBorder="1" applyAlignment="1">
      <alignment horizontal="center" vertical="center"/>
    </xf>
    <xf numFmtId="0" fontId="16" fillId="27" borderId="27" xfId="0" applyNumberFormat="1" applyFont="1" applyFill="1" applyBorder="1" applyAlignment="1" applyProtection="1">
      <alignment horizontal="center" vertical="center" wrapText="1"/>
      <protection locked="0"/>
    </xf>
    <xf numFmtId="0" fontId="74" fillId="27" borderId="8" xfId="0" applyNumberFormat="1" applyFont="1" applyFill="1" applyBorder="1" applyAlignment="1" applyProtection="1">
      <alignment horizontal="center" vertical="center" wrapText="1"/>
      <protection locked="0"/>
    </xf>
    <xf numFmtId="0" fontId="16" fillId="27" borderId="8" xfId="27" applyNumberFormat="1" applyFont="1" applyFill="1" applyBorder="1" applyAlignment="1" applyProtection="1">
      <alignment horizontal="center" vertical="center" wrapText="1"/>
      <protection locked="0"/>
    </xf>
    <xf numFmtId="0" fontId="16" fillId="27" borderId="29" xfId="27" applyNumberFormat="1" applyFont="1" applyFill="1" applyBorder="1" applyAlignment="1" applyProtection="1">
      <alignment horizontal="center" vertical="center" wrapText="1"/>
      <protection locked="0"/>
    </xf>
    <xf numFmtId="0" fontId="16" fillId="27" borderId="9" xfId="0" applyNumberFormat="1" applyFont="1" applyFill="1" applyBorder="1" applyAlignment="1" applyProtection="1">
      <alignment horizontal="center" vertical="center" wrapText="1"/>
      <protection locked="0"/>
    </xf>
    <xf numFmtId="0" fontId="16" fillId="27" borderId="27" xfId="27" applyNumberFormat="1" applyFont="1" applyFill="1" applyBorder="1" applyAlignment="1" applyProtection="1">
      <alignment horizontal="center" vertical="center" wrapText="1"/>
      <protection locked="0"/>
    </xf>
    <xf numFmtId="0" fontId="16" fillId="27" borderId="30" xfId="27" applyNumberFormat="1" applyFont="1" applyFill="1" applyBorder="1" applyAlignment="1" applyProtection="1">
      <alignment horizontal="center" vertical="center" wrapText="1"/>
      <protection locked="0"/>
    </xf>
    <xf numFmtId="0" fontId="16" fillId="27" borderId="31" xfId="0" applyNumberFormat="1" applyFont="1" applyFill="1" applyBorder="1" applyAlignment="1" applyProtection="1">
      <alignment horizontal="center" vertical="center" wrapText="1"/>
      <protection locked="0"/>
    </xf>
    <xf numFmtId="14" fontId="16" fillId="27" borderId="27" xfId="27" applyNumberFormat="1" applyFont="1" applyFill="1" applyBorder="1" applyAlignment="1" applyProtection="1">
      <alignment horizontal="center" vertical="center" wrapText="1"/>
      <protection locked="0"/>
    </xf>
    <xf numFmtId="0" fontId="74" fillId="27" borderId="12" xfId="0" applyFont="1" applyFill="1" applyBorder="1" applyAlignment="1" applyProtection="1">
      <alignment horizontal="left" vertical="center" wrapText="1"/>
      <protection locked="0"/>
    </xf>
    <xf numFmtId="0" fontId="16" fillId="0" borderId="27" xfId="27" applyNumberFormat="1" applyFont="1" applyFill="1" applyBorder="1" applyAlignment="1" applyProtection="1">
      <alignment horizontal="center" vertical="center" wrapText="1"/>
      <protection locked="0"/>
    </xf>
    <xf numFmtId="0" fontId="16" fillId="0" borderId="30" xfId="27" applyNumberFormat="1" applyFont="1" applyFill="1" applyBorder="1" applyAlignment="1" applyProtection="1">
      <alignment horizontal="center" vertical="center" wrapText="1"/>
      <protection locked="0"/>
    </xf>
    <xf numFmtId="0" fontId="16" fillId="0" borderId="31" xfId="0" applyNumberFormat="1" applyFont="1" applyFill="1" applyBorder="1" applyAlignment="1" applyProtection="1">
      <alignment horizontal="center" vertical="center" wrapText="1"/>
      <protection locked="0"/>
    </xf>
    <xf numFmtId="0" fontId="16" fillId="27" borderId="8" xfId="0" applyFont="1" applyFill="1" applyBorder="1" applyAlignment="1" applyProtection="1">
      <alignment horizontal="center" vertical="center" wrapText="1"/>
      <protection locked="0"/>
    </xf>
    <xf numFmtId="0" fontId="16" fillId="27" borderId="9" xfId="0" applyFont="1" applyFill="1" applyBorder="1" applyAlignment="1" applyProtection="1">
      <alignment horizontal="center" vertical="center" wrapText="1"/>
      <protection locked="0"/>
    </xf>
    <xf numFmtId="0" fontId="74" fillId="26" borderId="27" xfId="27" applyNumberFormat="1" applyFont="1" applyFill="1" applyBorder="1" applyAlignment="1" applyProtection="1">
      <alignment horizontal="center" vertical="center" wrapText="1"/>
      <protection locked="0"/>
    </xf>
    <xf numFmtId="0" fontId="16" fillId="26" borderId="27" xfId="27" applyNumberFormat="1" applyFont="1" applyFill="1" applyBorder="1" applyAlignment="1" applyProtection="1">
      <alignment horizontal="center" vertical="center" wrapText="1"/>
      <protection locked="0"/>
    </xf>
    <xf numFmtId="0" fontId="74" fillId="26" borderId="8" xfId="27" applyNumberFormat="1" applyFont="1" applyFill="1" applyBorder="1" applyAlignment="1" applyProtection="1">
      <alignment horizontal="center" vertical="center" wrapText="1"/>
      <protection locked="0"/>
    </xf>
    <xf numFmtId="0" fontId="74" fillId="28" borderId="27" xfId="27" applyNumberFormat="1" applyFont="1" applyFill="1" applyBorder="1" applyAlignment="1" applyProtection="1">
      <alignment horizontal="center" vertical="center" wrapText="1"/>
      <protection locked="0"/>
    </xf>
    <xf numFmtId="0" fontId="74" fillId="27" borderId="27" xfId="0" applyFont="1" applyFill="1" applyBorder="1" applyAlignment="1" applyProtection="1">
      <alignment horizontal="left" vertical="center"/>
      <protection locked="0"/>
    </xf>
    <xf numFmtId="0" fontId="74" fillId="26" borderId="27" xfId="0" applyNumberFormat="1" applyFont="1" applyFill="1" applyBorder="1" applyAlignment="1" applyProtection="1">
      <alignment horizontal="center" vertical="center"/>
      <protection locked="0"/>
    </xf>
    <xf numFmtId="0" fontId="16" fillId="0" borderId="0" xfId="0" applyNumberFormat="1" applyFont="1" applyFill="1" applyBorder="1" applyAlignment="1" applyProtection="1">
      <alignment vertical="top"/>
      <protection locked="0"/>
    </xf>
    <xf numFmtId="0" fontId="17" fillId="0" borderId="0" xfId="0" applyNumberFormat="1" applyFont="1" applyFill="1" applyBorder="1" applyAlignment="1" applyProtection="1">
      <alignment horizontal="center" vertical="top"/>
      <protection locked="0"/>
    </xf>
    <xf numFmtId="0" fontId="16" fillId="0" borderId="0" xfId="0" applyNumberFormat="1" applyFont="1" applyFill="1" applyBorder="1" applyAlignment="1" applyProtection="1">
      <alignment horizontal="center" vertical="center"/>
      <protection locked="0"/>
    </xf>
    <xf numFmtId="0" fontId="75" fillId="0" borderId="0" xfId="0" applyNumberFormat="1" applyFont="1" applyFill="1" applyBorder="1" applyProtection="1">
      <protection locked="0"/>
    </xf>
    <xf numFmtId="0" fontId="5" fillId="0" borderId="32" xfId="0" applyNumberFormat="1" applyFont="1" applyFill="1" applyBorder="1" applyAlignment="1" applyProtection="1">
      <alignment horizontal="center" vertical="center"/>
      <protection locked="0"/>
    </xf>
    <xf numFmtId="0" fontId="69" fillId="23" borderId="14" xfId="0" applyNumberFormat="1" applyFont="1" applyFill="1" applyBorder="1" applyAlignment="1" applyProtection="1">
      <alignment horizontal="center" vertical="center" wrapText="1"/>
      <protection locked="0"/>
    </xf>
    <xf numFmtId="0" fontId="66" fillId="22" borderId="33" xfId="0" applyNumberFormat="1" applyFont="1" applyFill="1" applyBorder="1" applyAlignment="1" applyProtection="1">
      <alignment horizontal="center" vertical="center" wrapText="1"/>
      <protection locked="0"/>
    </xf>
    <xf numFmtId="0" fontId="66" fillId="22" borderId="34" xfId="0" applyNumberFormat="1" applyFont="1" applyFill="1" applyBorder="1" applyAlignment="1" applyProtection="1">
      <alignment horizontal="center" vertical="center" wrapText="1"/>
      <protection locked="0"/>
    </xf>
    <xf numFmtId="0" fontId="69" fillId="23" borderId="15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35" xfId="27" applyNumberFormat="1" applyFont="1" applyFill="1" applyBorder="1" applyAlignment="1" applyProtection="1">
      <alignment horizontal="center" vertical="center" wrapText="1"/>
    </xf>
    <xf numFmtId="14" fontId="74" fillId="27" borderId="11" xfId="27" applyNumberFormat="1" applyFont="1" applyFill="1" applyBorder="1" applyAlignment="1" applyProtection="1">
      <alignment horizontal="center" vertical="center" wrapText="1"/>
      <protection locked="0"/>
    </xf>
    <xf numFmtId="0" fontId="66" fillId="0" borderId="36" xfId="0" applyNumberFormat="1" applyFont="1" applyFill="1" applyBorder="1" applyAlignment="1" applyProtection="1">
      <alignment horizontal="center" vertical="center" wrapText="1"/>
      <protection locked="0"/>
    </xf>
    <xf numFmtId="0" fontId="66" fillId="0" borderId="37" xfId="0" applyNumberFormat="1" applyFont="1" applyFill="1" applyBorder="1" applyAlignment="1" applyProtection="1">
      <alignment horizontal="center" vertical="center" wrapText="1"/>
      <protection locked="0"/>
    </xf>
    <xf numFmtId="0" fontId="66" fillId="0" borderId="38" xfId="0" applyNumberFormat="1" applyFont="1" applyFill="1" applyBorder="1" applyAlignment="1" applyProtection="1">
      <alignment horizontal="center" vertical="center" wrapText="1"/>
      <protection locked="0"/>
    </xf>
    <xf numFmtId="0" fontId="66" fillId="0" borderId="39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40" xfId="27" applyNumberFormat="1" applyFont="1" applyFill="1" applyBorder="1" applyAlignment="1" applyProtection="1">
      <alignment horizontal="center" vertical="center" wrapText="1"/>
    </xf>
    <xf numFmtId="0" fontId="17" fillId="0" borderId="41" xfId="27" applyNumberFormat="1" applyFont="1" applyFill="1" applyBorder="1" applyAlignment="1" applyProtection="1">
      <alignment horizontal="center" vertical="center" wrapText="1"/>
    </xf>
    <xf numFmtId="0" fontId="66" fillId="0" borderId="43" xfId="0" applyNumberFormat="1" applyFont="1" applyFill="1" applyBorder="1" applyAlignment="1" applyProtection="1">
      <alignment horizontal="center" vertical="center" wrapText="1"/>
      <protection locked="0"/>
    </xf>
    <xf numFmtId="0" fontId="66" fillId="0" borderId="44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45" xfId="27" applyNumberFormat="1" applyFont="1" applyFill="1" applyBorder="1" applyAlignment="1" applyProtection="1">
      <alignment horizontal="center" vertical="center" wrapText="1"/>
    </xf>
    <xf numFmtId="0" fontId="74" fillId="28" borderId="8" xfId="27" applyNumberFormat="1" applyFont="1" applyFill="1" applyBorder="1" applyAlignment="1" applyProtection="1">
      <alignment horizontal="center" vertical="center" wrapText="1"/>
      <protection locked="0"/>
    </xf>
    <xf numFmtId="0" fontId="16" fillId="0" borderId="29" xfId="27" applyNumberFormat="1" applyFont="1" applyFill="1" applyBorder="1" applyAlignment="1" applyProtection="1">
      <alignment horizontal="center" vertical="center" wrapText="1"/>
      <protection locked="0"/>
    </xf>
    <xf numFmtId="0" fontId="73" fillId="0" borderId="12" xfId="0" applyFont="1" applyBorder="1" applyAlignment="1">
      <alignment horizontal="left" vertical="center" wrapText="1"/>
    </xf>
    <xf numFmtId="0" fontId="73" fillId="0" borderId="12" xfId="0" applyFont="1" applyFill="1" applyBorder="1" applyAlignment="1">
      <alignment horizontal="center" vertical="center" wrapText="1"/>
    </xf>
    <xf numFmtId="14" fontId="73" fillId="0" borderId="12" xfId="0" applyNumberFormat="1" applyFont="1" applyFill="1" applyBorder="1" applyAlignment="1" applyProtection="1">
      <alignment horizontal="center" vertical="center" wrapText="1"/>
      <protection locked="0"/>
    </xf>
    <xf numFmtId="0" fontId="74" fillId="29" borderId="8" xfId="0" applyNumberFormat="1" applyFont="1" applyFill="1" applyBorder="1" applyAlignment="1" applyProtection="1">
      <alignment horizontal="center" vertical="center" wrapText="1"/>
      <protection locked="0"/>
    </xf>
    <xf numFmtId="0" fontId="74" fillId="27" borderId="0" xfId="0" applyNumberFormat="1" applyFont="1" applyFill="1" applyBorder="1" applyAlignment="1" applyProtection="1">
      <alignment horizontal="center" vertical="center" wrapText="1"/>
      <protection locked="0"/>
    </xf>
    <xf numFmtId="0" fontId="17" fillId="27" borderId="35" xfId="27" applyNumberFormat="1" applyFont="1" applyFill="1" applyBorder="1" applyAlignment="1" applyProtection="1">
      <alignment horizontal="center" vertical="center" wrapText="1"/>
    </xf>
    <xf numFmtId="0" fontId="17" fillId="27" borderId="46" xfId="27" applyNumberFormat="1" applyFont="1" applyFill="1" applyBorder="1" applyAlignment="1" applyProtection="1">
      <alignment horizontal="center" vertical="center" wrapText="1"/>
    </xf>
    <xf numFmtId="0" fontId="74" fillId="26" borderId="8" xfId="0" applyNumberFormat="1" applyFont="1" applyFill="1" applyBorder="1" applyAlignment="1" applyProtection="1">
      <alignment horizontal="center" vertical="center"/>
      <protection locked="0"/>
    </xf>
    <xf numFmtId="0" fontId="74" fillId="29" borderId="8" xfId="27" applyNumberFormat="1" applyFont="1" applyFill="1" applyBorder="1" applyAlignment="1" applyProtection="1">
      <alignment horizontal="center" vertical="center" wrapText="1"/>
      <protection locked="0"/>
    </xf>
    <xf numFmtId="0" fontId="74" fillId="29" borderId="8" xfId="0" applyNumberFormat="1" applyFont="1" applyFill="1" applyBorder="1" applyAlignment="1" applyProtection="1">
      <alignment horizontal="center" vertical="center"/>
      <protection locked="0"/>
    </xf>
    <xf numFmtId="0" fontId="76" fillId="29" borderId="8" xfId="27" applyNumberFormat="1" applyFont="1" applyFill="1" applyBorder="1" applyAlignment="1" applyProtection="1">
      <alignment horizontal="center" vertical="center" wrapText="1"/>
      <protection locked="0"/>
    </xf>
    <xf numFmtId="0" fontId="74" fillId="29" borderId="12" xfId="0" applyNumberFormat="1" applyFont="1" applyFill="1" applyBorder="1" applyAlignment="1" applyProtection="1">
      <alignment horizontal="left" vertical="center" wrapText="1"/>
      <protection locked="0"/>
    </xf>
    <xf numFmtId="0" fontId="16" fillId="26" borderId="27" xfId="0" applyNumberFormat="1" applyFont="1" applyFill="1" applyBorder="1" applyAlignment="1" applyProtection="1">
      <alignment horizontal="center" vertical="center"/>
      <protection locked="0"/>
    </xf>
    <xf numFmtId="0" fontId="16" fillId="0" borderId="8" xfId="27" applyNumberFormat="1" applyFont="1" applyFill="1" applyBorder="1" applyAlignment="1" applyProtection="1">
      <alignment horizontal="center" vertical="center" wrapText="1"/>
      <protection locked="0"/>
    </xf>
    <xf numFmtId="0" fontId="74" fillId="27" borderId="72" xfId="0" applyNumberFormat="1" applyFont="1" applyFill="1" applyBorder="1" applyAlignment="1" applyProtection="1">
      <alignment horizontal="center" vertical="center"/>
      <protection locked="0"/>
    </xf>
    <xf numFmtId="0" fontId="74" fillId="27" borderId="72" xfId="0" applyFont="1" applyFill="1" applyBorder="1" applyAlignment="1" applyProtection="1">
      <alignment horizontal="left" vertical="center"/>
      <protection locked="0"/>
    </xf>
    <xf numFmtId="0" fontId="17" fillId="0" borderId="47" xfId="27" applyNumberFormat="1" applyFont="1" applyFill="1" applyBorder="1" applyAlignment="1" applyProtection="1">
      <alignment horizontal="center" vertical="center" wrapText="1"/>
    </xf>
    <xf numFmtId="0" fontId="17" fillId="0" borderId="46" xfId="27" applyNumberFormat="1" applyFont="1" applyFill="1" applyBorder="1" applyAlignment="1" applyProtection="1">
      <alignment horizontal="center" vertical="center" wrapText="1"/>
    </xf>
    <xf numFmtId="0" fontId="17" fillId="0" borderId="45" xfId="27" applyNumberFormat="1" applyFont="1" applyFill="1" applyBorder="1" applyAlignment="1">
      <alignment horizontal="center" vertical="center" wrapText="1"/>
    </xf>
    <xf numFmtId="0" fontId="17" fillId="27" borderId="41" xfId="27" applyNumberFormat="1" applyFont="1" applyFill="1" applyBorder="1" applyAlignment="1" applyProtection="1">
      <alignment horizontal="center" vertical="center" wrapText="1"/>
    </xf>
    <xf numFmtId="14" fontId="74" fillId="26" borderId="8" xfId="27" applyNumberFormat="1" applyFont="1" applyFill="1" applyBorder="1" applyAlignment="1" applyProtection="1">
      <alignment horizontal="center" vertical="center" wrapText="1"/>
      <protection locked="0"/>
    </xf>
    <xf numFmtId="0" fontId="74" fillId="26" borderId="27" xfId="0" quotePrefix="1" applyNumberFormat="1" applyFont="1" applyFill="1" applyBorder="1" applyAlignment="1">
      <alignment horizontal="center" vertical="center"/>
    </xf>
    <xf numFmtId="15" fontId="74" fillId="28" borderId="27" xfId="0" quotePrefix="1" applyNumberFormat="1" applyFont="1" applyFill="1" applyBorder="1" applyAlignment="1">
      <alignment horizontal="center" vertical="center"/>
    </xf>
    <xf numFmtId="0" fontId="74" fillId="27" borderId="8" xfId="0" applyFont="1" applyFill="1" applyBorder="1" applyAlignment="1" applyProtection="1">
      <alignment horizontal="left" vertical="center"/>
      <protection locked="0"/>
    </xf>
    <xf numFmtId="0" fontId="16" fillId="26" borderId="8" xfId="27" applyNumberFormat="1" applyFont="1" applyFill="1" applyBorder="1" applyAlignment="1" applyProtection="1">
      <alignment horizontal="center" vertical="center" wrapText="1"/>
      <protection locked="0"/>
    </xf>
    <xf numFmtId="0" fontId="16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16" fillId="26" borderId="8" xfId="0" applyNumberFormat="1" applyFont="1" applyFill="1" applyBorder="1" applyAlignment="1" applyProtection="1">
      <alignment horizontal="center" vertical="center" wrapText="1"/>
      <protection locked="0"/>
    </xf>
    <xf numFmtId="0" fontId="16" fillId="0" borderId="9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48" xfId="27" applyNumberFormat="1" applyFont="1" applyFill="1" applyBorder="1" applyAlignment="1" applyProtection="1">
      <alignment horizontal="center" vertical="center" wrapText="1"/>
    </xf>
    <xf numFmtId="0" fontId="16" fillId="0" borderId="8" xfId="0" applyFont="1" applyBorder="1"/>
    <xf numFmtId="0" fontId="17" fillId="0" borderId="42" xfId="27" applyNumberFormat="1" applyFont="1" applyFill="1" applyBorder="1" applyAlignment="1" applyProtection="1">
      <alignment horizontal="center" vertical="center" wrapText="1"/>
    </xf>
    <xf numFmtId="0" fontId="17" fillId="0" borderId="73" xfId="27" applyNumberFormat="1" applyFont="1" applyFill="1" applyBorder="1" applyAlignment="1">
      <alignment horizontal="center" vertical="center" wrapText="1"/>
    </xf>
    <xf numFmtId="0" fontId="17" fillId="27" borderId="49" xfId="27" applyNumberFormat="1" applyFont="1" applyFill="1" applyBorder="1" applyAlignment="1" applyProtection="1">
      <alignment horizontal="center" vertical="center" wrapText="1"/>
    </xf>
    <xf numFmtId="0" fontId="17" fillId="0" borderId="50" xfId="27" applyNumberFormat="1" applyFont="1" applyFill="1" applyBorder="1" applyAlignment="1">
      <alignment horizontal="center" vertical="center" wrapText="1"/>
    </xf>
    <xf numFmtId="0" fontId="17" fillId="27" borderId="50" xfId="27" applyNumberFormat="1" applyFont="1" applyFill="1" applyBorder="1" applyAlignment="1" applyProtection="1">
      <alignment horizontal="center" vertical="center" wrapText="1"/>
    </xf>
    <xf numFmtId="0" fontId="17" fillId="27" borderId="51" xfId="27" applyNumberFormat="1" applyFont="1" applyFill="1" applyBorder="1" applyAlignment="1" applyProtection="1">
      <alignment horizontal="center" vertical="center" wrapText="1"/>
    </xf>
    <xf numFmtId="14" fontId="74" fillId="26" borderId="27" xfId="27" applyNumberFormat="1" applyFont="1" applyFill="1" applyBorder="1" applyAlignment="1" applyProtection="1">
      <alignment horizontal="center" vertical="center" wrapText="1"/>
      <protection locked="0"/>
    </xf>
    <xf numFmtId="14" fontId="74" fillId="29" borderId="8" xfId="27" applyNumberFormat="1" applyFont="1" applyFill="1" applyBorder="1" applyAlignment="1" applyProtection="1">
      <alignment horizontal="center" vertical="center" wrapText="1"/>
      <protection locked="0"/>
    </xf>
    <xf numFmtId="0" fontId="74" fillId="27" borderId="8" xfId="0" applyFont="1" applyFill="1" applyBorder="1" applyAlignment="1" applyProtection="1">
      <alignment horizontal="center" vertical="center" wrapText="1"/>
      <protection locked="0"/>
    </xf>
    <xf numFmtId="0" fontId="77" fillId="27" borderId="27" xfId="27" applyNumberFormat="1" applyFont="1" applyFill="1" applyBorder="1" applyAlignment="1" applyProtection="1">
      <alignment horizontal="center" vertical="center" wrapText="1"/>
      <protection locked="0"/>
    </xf>
    <xf numFmtId="0" fontId="77" fillId="27" borderId="30" xfId="27" applyNumberFormat="1" applyFont="1" applyFill="1" applyBorder="1" applyAlignment="1" applyProtection="1">
      <alignment horizontal="center" vertical="center" wrapText="1"/>
      <protection locked="0"/>
    </xf>
    <xf numFmtId="0" fontId="74" fillId="27" borderId="8" xfId="0" applyNumberFormat="1" applyFont="1" applyFill="1" applyBorder="1" applyAlignment="1" applyProtection="1">
      <alignment horizontal="left" vertical="center" wrapText="1"/>
      <protection locked="0"/>
    </xf>
    <xf numFmtId="0" fontId="17" fillId="0" borderId="50" xfId="27" applyNumberFormat="1" applyFont="1" applyFill="1" applyBorder="1" applyAlignment="1" applyProtection="1">
      <alignment horizontal="center" vertical="center" wrapText="1"/>
    </xf>
    <xf numFmtId="0" fontId="17" fillId="0" borderId="51" xfId="27" applyNumberFormat="1" applyFont="1" applyFill="1" applyBorder="1" applyAlignment="1" applyProtection="1">
      <alignment horizontal="center" vertical="center" wrapText="1"/>
    </xf>
    <xf numFmtId="14" fontId="74" fillId="27" borderId="52" xfId="27" applyNumberFormat="1" applyFont="1" applyFill="1" applyBorder="1" applyAlignment="1" applyProtection="1">
      <alignment horizontal="center" vertical="center" wrapText="1"/>
      <protection locked="0"/>
    </xf>
    <xf numFmtId="0" fontId="74" fillId="27" borderId="27" xfId="0" applyNumberFormat="1" applyFont="1" applyFill="1" applyBorder="1" applyAlignment="1" applyProtection="1">
      <alignment horizontal="center" vertical="center" wrapText="1"/>
      <protection locked="0"/>
    </xf>
    <xf numFmtId="0" fontId="17" fillId="27" borderId="48" xfId="27" applyNumberFormat="1" applyFont="1" applyFill="1" applyBorder="1" applyAlignment="1" applyProtection="1">
      <alignment horizontal="center" vertical="center" wrapText="1"/>
    </xf>
    <xf numFmtId="14" fontId="16" fillId="27" borderId="8" xfId="27" applyNumberFormat="1" applyFont="1" applyFill="1" applyBorder="1" applyAlignment="1" applyProtection="1">
      <alignment horizontal="center" vertical="center" wrapText="1"/>
      <protection locked="0"/>
    </xf>
    <xf numFmtId="0" fontId="17" fillId="27" borderId="47" xfId="27" applyNumberFormat="1" applyFont="1" applyFill="1" applyBorder="1" applyAlignment="1" applyProtection="1">
      <alignment horizontal="center" vertical="center" wrapText="1"/>
    </xf>
    <xf numFmtId="0" fontId="17" fillId="27" borderId="45" xfId="27" applyNumberFormat="1" applyFont="1" applyFill="1" applyBorder="1" applyAlignment="1" applyProtection="1">
      <alignment horizontal="center" vertical="center" wrapText="1"/>
    </xf>
    <xf numFmtId="14" fontId="74" fillId="27" borderId="8" xfId="27" applyNumberFormat="1" applyFont="1" applyFill="1" applyBorder="1" applyAlignment="1" applyProtection="1">
      <alignment horizontal="center" vertical="center" wrapText="1"/>
      <protection locked="0"/>
    </xf>
    <xf numFmtId="0" fontId="74" fillId="27" borderId="8" xfId="27" applyNumberFormat="1" applyFont="1" applyFill="1" applyBorder="1" applyAlignment="1" applyProtection="1">
      <alignment horizontal="center" vertical="center" wrapText="1"/>
      <protection locked="0"/>
    </xf>
    <xf numFmtId="0" fontId="74" fillId="27" borderId="8" xfId="0" applyNumberFormat="1" applyFont="1" applyFill="1" applyBorder="1" applyAlignment="1" applyProtection="1">
      <alignment horizontal="center" vertical="center"/>
      <protection locked="0"/>
    </xf>
    <xf numFmtId="0" fontId="76" fillId="27" borderId="8" xfId="27" applyNumberFormat="1" applyFont="1" applyFill="1" applyBorder="1" applyAlignment="1" applyProtection="1">
      <alignment horizontal="center" vertical="center" wrapText="1"/>
      <protection locked="0"/>
    </xf>
    <xf numFmtId="0" fontId="74" fillId="27" borderId="12" xfId="0" applyNumberFormat="1" applyFont="1" applyFill="1" applyBorder="1" applyAlignment="1" applyProtection="1">
      <alignment horizontal="left" vertical="center" wrapText="1"/>
      <protection locked="0"/>
    </xf>
    <xf numFmtId="0" fontId="66" fillId="22" borderId="53" xfId="0" applyNumberFormat="1" applyFont="1" applyFill="1" applyBorder="1" applyAlignment="1" applyProtection="1">
      <alignment horizontal="center" vertical="center" wrapText="1"/>
      <protection locked="0"/>
    </xf>
    <xf numFmtId="0" fontId="16" fillId="29" borderId="8" xfId="27" applyNumberFormat="1" applyFont="1" applyFill="1" applyBorder="1" applyAlignment="1" applyProtection="1">
      <alignment horizontal="center" vertical="center" wrapText="1"/>
      <protection locked="0"/>
    </xf>
    <xf numFmtId="0" fontId="76" fillId="0" borderId="8" xfId="27" applyNumberFormat="1" applyFont="1" applyFill="1" applyBorder="1" applyAlignment="1" applyProtection="1">
      <alignment horizontal="center" vertical="center" wrapText="1"/>
      <protection locked="0"/>
    </xf>
    <xf numFmtId="0" fontId="74" fillId="0" borderId="12" xfId="0" applyNumberFormat="1" applyFont="1" applyFill="1" applyBorder="1" applyAlignment="1" applyProtection="1">
      <alignment horizontal="left" vertical="center" wrapText="1"/>
      <protection locked="0"/>
    </xf>
    <xf numFmtId="0" fontId="76" fillId="0" borderId="27" xfId="27" applyNumberFormat="1" applyFont="1" applyFill="1" applyBorder="1" applyAlignment="1" applyProtection="1">
      <alignment horizontal="center" vertical="center" wrapText="1"/>
      <protection locked="0"/>
    </xf>
    <xf numFmtId="14" fontId="74" fillId="27" borderId="27" xfId="27" applyNumberFormat="1" applyFont="1" applyFill="1" applyBorder="1" applyAlignment="1" applyProtection="1">
      <alignment horizontal="center" vertical="center" wrapText="1"/>
      <protection locked="0"/>
    </xf>
    <xf numFmtId="0" fontId="74" fillId="27" borderId="27" xfId="27" applyNumberFormat="1" applyFont="1" applyFill="1" applyBorder="1" applyAlignment="1" applyProtection="1">
      <alignment horizontal="center" vertical="center" wrapText="1"/>
      <protection locked="0"/>
    </xf>
    <xf numFmtId="0" fontId="74" fillId="27" borderId="27" xfId="0" applyNumberFormat="1" applyFont="1" applyFill="1" applyBorder="1" applyAlignment="1" applyProtection="1">
      <alignment horizontal="center" vertical="center"/>
      <protection locked="0"/>
    </xf>
    <xf numFmtId="0" fontId="76" fillId="27" borderId="27" xfId="27" applyNumberFormat="1" applyFont="1" applyFill="1" applyBorder="1" applyAlignment="1" applyProtection="1">
      <alignment horizontal="center" vertical="center" wrapText="1"/>
      <protection locked="0"/>
    </xf>
    <xf numFmtId="0" fontId="74" fillId="27" borderId="54" xfId="0" applyNumberFormat="1" applyFont="1" applyFill="1" applyBorder="1" applyAlignment="1" applyProtection="1">
      <alignment horizontal="left" vertical="center" wrapText="1"/>
      <protection locked="0"/>
    </xf>
    <xf numFmtId="0" fontId="74" fillId="27" borderId="74" xfId="0" applyNumberFormat="1" applyFont="1" applyFill="1" applyBorder="1" applyAlignment="1" applyProtection="1">
      <alignment horizontal="center" vertical="center" wrapText="1"/>
      <protection locked="0"/>
    </xf>
    <xf numFmtId="0" fontId="74" fillId="27" borderId="74" xfId="0" applyNumberFormat="1" applyFont="1" applyFill="1" applyBorder="1" applyAlignment="1" applyProtection="1">
      <alignment horizontal="center" vertical="center"/>
      <protection locked="0"/>
    </xf>
    <xf numFmtId="0" fontId="74" fillId="27" borderId="72" xfId="0" applyNumberFormat="1" applyFont="1" applyFill="1" applyBorder="1" applyAlignment="1" applyProtection="1">
      <alignment horizontal="center" vertical="center" wrapText="1"/>
      <protection locked="0"/>
    </xf>
    <xf numFmtId="0" fontId="74" fillId="27" borderId="12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73" xfId="27" applyNumberFormat="1" applyFont="1" applyFill="1" applyBorder="1" applyAlignment="1" applyProtection="1">
      <alignment horizontal="center" vertical="center" wrapText="1"/>
    </xf>
    <xf numFmtId="0" fontId="74" fillId="27" borderId="75" xfId="0" applyNumberFormat="1" applyFont="1" applyFill="1" applyBorder="1" applyAlignment="1" applyProtection="1">
      <alignment horizontal="center" vertical="center" wrapText="1"/>
      <protection locked="0"/>
    </xf>
    <xf numFmtId="0" fontId="17" fillId="29" borderId="48" xfId="27" applyNumberFormat="1" applyFont="1" applyFill="1" applyBorder="1" applyAlignment="1" applyProtection="1">
      <alignment horizontal="center" vertical="center" wrapText="1"/>
    </xf>
    <xf numFmtId="0" fontId="74" fillId="27" borderId="27" xfId="0" quotePrefix="1" applyNumberFormat="1" applyFont="1" applyFill="1" applyBorder="1" applyAlignment="1">
      <alignment horizontal="center" vertical="center"/>
    </xf>
    <xf numFmtId="0" fontId="17" fillId="0" borderId="49" xfId="27" applyNumberFormat="1" applyFont="1" applyFill="1" applyBorder="1" applyAlignment="1" applyProtection="1">
      <alignment horizontal="center" vertical="center" wrapText="1"/>
    </xf>
    <xf numFmtId="0" fontId="16" fillId="0" borderId="55" xfId="0" applyNumberFormat="1" applyFont="1" applyFill="1" applyBorder="1" applyAlignment="1" applyProtection="1">
      <alignment horizontal="center" vertical="center" wrapText="1"/>
      <protection locked="0"/>
    </xf>
    <xf numFmtId="0" fontId="78" fillId="27" borderId="8" xfId="0" applyFont="1" applyFill="1" applyBorder="1" applyAlignment="1">
      <alignment horizontal="center" vertical="center"/>
    </xf>
    <xf numFmtId="0" fontId="78" fillId="27" borderId="27" xfId="0" applyFont="1" applyFill="1" applyBorder="1" applyAlignment="1">
      <alignment horizontal="center" vertical="center" wrapText="1"/>
    </xf>
    <xf numFmtId="0" fontId="78" fillId="27" borderId="27" xfId="0" applyFont="1" applyFill="1" applyBorder="1" applyAlignment="1">
      <alignment horizontal="center" vertical="center"/>
    </xf>
    <xf numFmtId="0" fontId="17" fillId="29" borderId="47" xfId="27" applyNumberFormat="1" applyFont="1" applyFill="1" applyBorder="1" applyAlignment="1" applyProtection="1">
      <alignment horizontal="center" vertical="center" wrapText="1"/>
    </xf>
    <xf numFmtId="0" fontId="16" fillId="29" borderId="29" xfId="27" applyNumberFormat="1" applyFont="1" applyFill="1" applyBorder="1" applyAlignment="1" applyProtection="1">
      <alignment horizontal="center" vertical="center" wrapText="1"/>
      <protection locked="0"/>
    </xf>
    <xf numFmtId="0" fontId="16" fillId="29" borderId="8" xfId="0" applyNumberFormat="1" applyFont="1" applyFill="1" applyBorder="1" applyAlignment="1" applyProtection="1">
      <alignment horizontal="center" vertical="center" wrapText="1"/>
      <protection locked="0"/>
    </xf>
    <xf numFmtId="0" fontId="16" fillId="29" borderId="9" xfId="0" applyNumberFormat="1" applyFont="1" applyFill="1" applyBorder="1" applyAlignment="1" applyProtection="1">
      <alignment horizontal="center" vertical="center" wrapText="1"/>
      <protection locked="0"/>
    </xf>
    <xf numFmtId="0" fontId="79" fillId="0" borderId="27" xfId="0" applyFont="1" applyBorder="1" applyAlignment="1">
      <alignment horizontal="center" vertical="center" wrapText="1"/>
    </xf>
    <xf numFmtId="0" fontId="79" fillId="0" borderId="8" xfId="0" applyFont="1" applyBorder="1" applyAlignment="1">
      <alignment horizontal="center" vertical="center" wrapText="1"/>
    </xf>
    <xf numFmtId="0" fontId="74" fillId="27" borderId="27" xfId="0" applyFont="1" applyFill="1" applyBorder="1" applyAlignment="1">
      <alignment horizontal="center" vertical="center" wrapText="1"/>
    </xf>
    <xf numFmtId="0" fontId="79" fillId="27" borderId="8" xfId="0" applyFont="1" applyFill="1" applyBorder="1" applyAlignment="1">
      <alignment horizontal="center" vertical="center" wrapText="1"/>
    </xf>
    <xf numFmtId="0" fontId="74" fillId="27" borderId="8" xfId="0" applyFont="1" applyFill="1" applyBorder="1" applyAlignment="1">
      <alignment horizontal="center" vertical="center" wrapText="1"/>
    </xf>
    <xf numFmtId="0" fontId="74" fillId="27" borderId="0" xfId="0" applyFont="1" applyFill="1" applyBorder="1" applyAlignment="1">
      <alignment horizontal="center" vertical="center" wrapText="1"/>
    </xf>
    <xf numFmtId="0" fontId="74" fillId="27" borderId="27" xfId="33" applyNumberFormat="1" applyFont="1" applyFill="1" applyBorder="1" applyAlignment="1" applyProtection="1">
      <alignment horizontal="center" vertical="center" wrapText="1"/>
      <protection locked="0"/>
    </xf>
    <xf numFmtId="0" fontId="74" fillId="27" borderId="27" xfId="43" applyNumberFormat="1" applyFont="1" applyFill="1" applyBorder="1" applyAlignment="1" applyProtection="1">
      <alignment horizontal="center" vertical="center" wrapText="1"/>
      <protection locked="0"/>
    </xf>
    <xf numFmtId="0" fontId="74" fillId="27" borderId="9" xfId="0" applyNumberFormat="1" applyFont="1" applyFill="1" applyBorder="1" applyAlignment="1" applyProtection="1">
      <alignment horizontal="center" vertical="center" wrapText="1"/>
      <protection locked="0"/>
    </xf>
    <xf numFmtId="0" fontId="74" fillId="27" borderId="8" xfId="33" applyNumberFormat="1" applyFont="1" applyFill="1" applyBorder="1" applyAlignment="1" applyProtection="1">
      <alignment horizontal="center" vertical="center" wrapText="1"/>
      <protection locked="0"/>
    </xf>
    <xf numFmtId="0" fontId="74" fillId="0" borderId="8" xfId="33" applyNumberFormat="1" applyFont="1" applyFill="1" applyBorder="1" applyAlignment="1" applyProtection="1">
      <alignment horizontal="center" vertical="center" wrapText="1"/>
      <protection locked="0"/>
    </xf>
    <xf numFmtId="0" fontId="74" fillId="29" borderId="8" xfId="33" applyNumberFormat="1" applyFont="1" applyFill="1" applyBorder="1" applyAlignment="1" applyProtection="1">
      <alignment horizontal="center" vertical="center" wrapText="1"/>
      <protection locked="0"/>
    </xf>
    <xf numFmtId="0" fontId="74" fillId="29" borderId="8" xfId="0" applyNumberFormat="1" applyFont="1" applyFill="1" applyBorder="1" applyAlignment="1" applyProtection="1">
      <alignment horizontal="left" vertical="center" wrapText="1"/>
      <protection locked="0"/>
    </xf>
    <xf numFmtId="0" fontId="74" fillId="29" borderId="9" xfId="0" applyNumberFormat="1" applyFont="1" applyFill="1" applyBorder="1" applyAlignment="1" applyProtection="1">
      <alignment horizontal="center" vertical="center" wrapText="1"/>
      <protection locked="0"/>
    </xf>
    <xf numFmtId="0" fontId="74" fillId="27" borderId="27" xfId="0" applyNumberFormat="1" applyFont="1" applyFill="1" applyBorder="1" applyAlignment="1" applyProtection="1">
      <alignment horizontal="left" vertical="center" wrapText="1"/>
      <protection locked="0"/>
    </xf>
    <xf numFmtId="0" fontId="74" fillId="27" borderId="54" xfId="0" applyNumberFormat="1" applyFont="1" applyFill="1" applyBorder="1" applyAlignment="1" applyProtection="1">
      <alignment horizontal="center" vertical="center" wrapText="1"/>
      <protection locked="0"/>
    </xf>
    <xf numFmtId="0" fontId="74" fillId="27" borderId="31" xfId="0" applyNumberFormat="1" applyFont="1" applyFill="1" applyBorder="1" applyAlignment="1" applyProtection="1">
      <alignment horizontal="center" vertical="center" wrapText="1"/>
      <protection locked="0"/>
    </xf>
    <xf numFmtId="0" fontId="74" fillId="27" borderId="8" xfId="0" applyNumberFormat="1" applyFont="1" applyFill="1" applyBorder="1" applyAlignment="1" applyProtection="1">
      <alignment horizontal="center" vertical="center" wrapText="1"/>
    </xf>
    <xf numFmtId="14" fontId="16" fillId="27" borderId="8" xfId="33" applyNumberFormat="1" applyFont="1" applyFill="1" applyBorder="1" applyAlignment="1" applyProtection="1">
      <alignment horizontal="center" vertical="center" wrapText="1"/>
      <protection locked="0"/>
    </xf>
    <xf numFmtId="0" fontId="16" fillId="27" borderId="12" xfId="33" applyNumberFormat="1" applyFont="1" applyFill="1" applyBorder="1" applyAlignment="1" applyProtection="1">
      <alignment horizontal="center" vertical="center" wrapText="1"/>
      <protection locked="0"/>
    </xf>
    <xf numFmtId="0" fontId="79" fillId="27" borderId="9" xfId="0" applyNumberFormat="1" applyFont="1" applyFill="1" applyBorder="1" applyAlignment="1" applyProtection="1">
      <alignment horizontal="center" vertical="center" wrapText="1"/>
      <protection locked="0"/>
    </xf>
    <xf numFmtId="0" fontId="79" fillId="27" borderId="11" xfId="0" applyNumberFormat="1" applyFont="1" applyFill="1" applyBorder="1" applyAlignment="1" applyProtection="1">
      <alignment horizontal="center" vertical="center" wrapText="1"/>
      <protection locked="0"/>
    </xf>
    <xf numFmtId="14" fontId="16" fillId="27" borderId="12" xfId="33" applyNumberFormat="1" applyFont="1" applyFill="1" applyBorder="1" applyAlignment="1" applyProtection="1">
      <alignment horizontal="center" vertical="center" wrapText="1"/>
      <protection locked="0"/>
    </xf>
    <xf numFmtId="0" fontId="79" fillId="27" borderId="31" xfId="0" applyNumberFormat="1" applyFont="1" applyFill="1" applyBorder="1" applyAlignment="1" applyProtection="1">
      <alignment horizontal="center" vertical="center" wrapText="1"/>
      <protection locked="0"/>
    </xf>
    <xf numFmtId="0" fontId="79" fillId="27" borderId="52" xfId="0" applyNumberFormat="1" applyFont="1" applyFill="1" applyBorder="1" applyAlignment="1" applyProtection="1">
      <alignment horizontal="center" vertical="center" wrapText="1"/>
      <protection locked="0"/>
    </xf>
    <xf numFmtId="0" fontId="74" fillId="27" borderId="27" xfId="0" applyNumberFormat="1" applyFont="1" applyFill="1" applyBorder="1" applyAlignment="1" applyProtection="1">
      <alignment horizontal="center" vertical="center" wrapText="1"/>
    </xf>
    <xf numFmtId="14" fontId="16" fillId="27" borderId="27" xfId="33" applyNumberFormat="1" applyFont="1" applyFill="1" applyBorder="1" applyAlignment="1" applyProtection="1">
      <alignment horizontal="center" vertical="center" wrapText="1"/>
      <protection locked="0"/>
    </xf>
    <xf numFmtId="0" fontId="16" fillId="27" borderId="27" xfId="33" applyNumberFormat="1" applyFont="1" applyFill="1" applyBorder="1" applyAlignment="1" applyProtection="1">
      <alignment horizontal="center" vertical="center" wrapText="1"/>
      <protection locked="0"/>
    </xf>
    <xf numFmtId="0" fontId="74" fillId="30" borderId="27" xfId="0" applyFont="1" applyFill="1" applyBorder="1" applyAlignment="1">
      <alignment horizontal="left" vertical="center" wrapText="1"/>
    </xf>
    <xf numFmtId="0" fontId="74" fillId="30" borderId="27" xfId="0" applyFont="1" applyFill="1" applyBorder="1" applyAlignment="1">
      <alignment horizontal="center" vertical="center"/>
    </xf>
    <xf numFmtId="0" fontId="79" fillId="30" borderId="31" xfId="0" applyFont="1" applyFill="1" applyBorder="1" applyAlignment="1">
      <alignment horizontal="center" vertical="center" wrapText="1"/>
    </xf>
    <xf numFmtId="0" fontId="79" fillId="30" borderId="52" xfId="0" applyFont="1" applyFill="1" applyBorder="1" applyAlignment="1">
      <alignment horizontal="center" vertical="center" wrapText="1"/>
    </xf>
    <xf numFmtId="0" fontId="74" fillId="30" borderId="27" xfId="0" applyFont="1" applyFill="1" applyBorder="1" applyAlignment="1">
      <alignment horizontal="center" vertical="center" wrapText="1"/>
    </xf>
    <xf numFmtId="0" fontId="16" fillId="27" borderId="27" xfId="0" applyFont="1" applyFill="1" applyBorder="1"/>
    <xf numFmtId="0" fontId="74" fillId="27" borderId="74" xfId="0" applyFont="1" applyFill="1" applyBorder="1" applyAlignment="1">
      <alignment horizontal="left" vertical="center" wrapText="1"/>
    </xf>
    <xf numFmtId="0" fontId="74" fillId="27" borderId="74" xfId="0" applyFont="1" applyFill="1" applyBorder="1" applyAlignment="1">
      <alignment horizontal="center" vertical="center"/>
    </xf>
    <xf numFmtId="0" fontId="79" fillId="27" borderId="76" xfId="0" applyFont="1" applyFill="1" applyBorder="1" applyAlignment="1">
      <alignment horizontal="center" vertical="center" wrapText="1"/>
    </xf>
    <xf numFmtId="0" fontId="79" fillId="27" borderId="77" xfId="0" applyFont="1" applyFill="1" applyBorder="1" applyAlignment="1">
      <alignment horizontal="center" vertical="center" wrapText="1"/>
    </xf>
    <xf numFmtId="0" fontId="74" fillId="27" borderId="74" xfId="0" applyFont="1" applyFill="1" applyBorder="1" applyAlignment="1">
      <alignment horizontal="center" vertical="center" wrapText="1"/>
    </xf>
    <xf numFmtId="0" fontId="16" fillId="27" borderId="0" xfId="0" applyFont="1" applyFill="1" applyBorder="1"/>
    <xf numFmtId="0" fontId="74" fillId="27" borderId="72" xfId="0" applyFont="1" applyFill="1" applyBorder="1" applyAlignment="1">
      <alignment horizontal="left" vertical="center" wrapText="1"/>
    </xf>
    <xf numFmtId="0" fontId="74" fillId="27" borderId="72" xfId="0" applyFont="1" applyFill="1" applyBorder="1" applyAlignment="1">
      <alignment horizontal="center" vertical="center"/>
    </xf>
    <xf numFmtId="0" fontId="79" fillId="27" borderId="78" xfId="0" applyFont="1" applyFill="1" applyBorder="1" applyAlignment="1">
      <alignment horizontal="center" vertical="center" wrapText="1"/>
    </xf>
    <xf numFmtId="0" fontId="79" fillId="27" borderId="79" xfId="0" applyFont="1" applyFill="1" applyBorder="1" applyAlignment="1">
      <alignment horizontal="center" vertical="center" wrapText="1"/>
    </xf>
    <xf numFmtId="0" fontId="74" fillId="27" borderId="72" xfId="0" applyFont="1" applyFill="1" applyBorder="1" applyAlignment="1">
      <alignment horizontal="center" vertical="center" wrapText="1"/>
    </xf>
    <xf numFmtId="0" fontId="16" fillId="27" borderId="0" xfId="0" applyFont="1" applyFill="1" applyBorder="1" applyAlignment="1">
      <alignment horizontal="center" vertical="center"/>
    </xf>
    <xf numFmtId="0" fontId="16" fillId="27" borderId="27" xfId="0" applyFont="1" applyFill="1" applyBorder="1" applyAlignment="1">
      <alignment horizontal="center" vertical="center"/>
    </xf>
    <xf numFmtId="0" fontId="74" fillId="30" borderId="72" xfId="0" applyFont="1" applyFill="1" applyBorder="1" applyAlignment="1">
      <alignment horizontal="left" vertical="center" wrapText="1"/>
    </xf>
    <xf numFmtId="0" fontId="74" fillId="30" borderId="72" xfId="0" applyFont="1" applyFill="1" applyBorder="1" applyAlignment="1">
      <alignment horizontal="center" vertical="center"/>
    </xf>
    <xf numFmtId="0" fontId="79" fillId="30" borderId="78" xfId="0" applyFont="1" applyFill="1" applyBorder="1" applyAlignment="1">
      <alignment horizontal="center" vertical="center" wrapText="1"/>
    </xf>
    <xf numFmtId="0" fontId="79" fillId="30" borderId="79" xfId="0" applyFont="1" applyFill="1" applyBorder="1" applyAlignment="1">
      <alignment horizontal="center" vertical="center" wrapText="1"/>
    </xf>
    <xf numFmtId="0" fontId="74" fillId="30" borderId="72" xfId="0" applyFont="1" applyFill="1" applyBorder="1" applyAlignment="1">
      <alignment horizontal="center" vertical="center" wrapText="1"/>
    </xf>
    <xf numFmtId="0" fontId="16" fillId="27" borderId="0" xfId="0" applyFont="1" applyFill="1"/>
    <xf numFmtId="0" fontId="79" fillId="30" borderId="77" xfId="0" applyFont="1" applyFill="1" applyBorder="1" applyAlignment="1">
      <alignment horizontal="center" vertical="center" wrapText="1"/>
    </xf>
    <xf numFmtId="0" fontId="16" fillId="27" borderId="0" xfId="0" applyFont="1" applyFill="1" applyAlignment="1">
      <alignment horizontal="center" vertical="center"/>
    </xf>
    <xf numFmtId="0" fontId="74" fillId="30" borderId="74" xfId="0" applyFont="1" applyFill="1" applyBorder="1" applyAlignment="1">
      <alignment horizontal="left" vertical="center" wrapText="1"/>
    </xf>
    <xf numFmtId="0" fontId="74" fillId="30" borderId="74" xfId="0" applyFont="1" applyFill="1" applyBorder="1" applyAlignment="1">
      <alignment horizontal="center" vertical="center"/>
    </xf>
    <xf numFmtId="0" fontId="79" fillId="30" borderId="76" xfId="0" applyFont="1" applyFill="1" applyBorder="1" applyAlignment="1">
      <alignment horizontal="center" vertical="center" wrapText="1"/>
    </xf>
    <xf numFmtId="0" fontId="74" fillId="30" borderId="74" xfId="0" applyFont="1" applyFill="1" applyBorder="1" applyAlignment="1">
      <alignment horizontal="center" vertical="center" wrapText="1"/>
    </xf>
    <xf numFmtId="0" fontId="74" fillId="0" borderId="27" xfId="33" applyNumberFormat="1" applyFont="1" applyFill="1" applyBorder="1" applyAlignment="1" applyProtection="1">
      <alignment horizontal="center" vertical="center" wrapText="1"/>
      <protection locked="0"/>
    </xf>
    <xf numFmtId="0" fontId="74" fillId="27" borderId="72" xfId="33" applyNumberFormat="1" applyFont="1" applyFill="1" applyBorder="1" applyAlignment="1" applyProtection="1">
      <alignment horizontal="left" vertical="center" wrapText="1"/>
      <protection locked="0"/>
    </xf>
    <xf numFmtId="0" fontId="79" fillId="27" borderId="78" xfId="0" applyNumberFormat="1" applyFont="1" applyFill="1" applyBorder="1" applyAlignment="1" applyProtection="1">
      <alignment horizontal="center" vertical="center" wrapText="1"/>
      <protection locked="0"/>
    </xf>
    <xf numFmtId="0" fontId="79" fillId="27" borderId="79" xfId="0" applyNumberFormat="1" applyFont="1" applyFill="1" applyBorder="1" applyAlignment="1" applyProtection="1">
      <alignment horizontal="center" vertical="center" wrapText="1"/>
      <protection locked="0"/>
    </xf>
    <xf numFmtId="0" fontId="74" fillId="27" borderId="74" xfId="0" applyNumberFormat="1" applyFont="1" applyFill="1" applyBorder="1" applyAlignment="1" applyProtection="1">
      <alignment horizontal="left" vertical="center" wrapText="1"/>
      <protection locked="0"/>
    </xf>
    <xf numFmtId="0" fontId="79" fillId="27" borderId="76" xfId="0" applyNumberFormat="1" applyFont="1" applyFill="1" applyBorder="1" applyAlignment="1" applyProtection="1">
      <alignment horizontal="center" vertical="center" wrapText="1"/>
      <protection locked="0"/>
    </xf>
    <xf numFmtId="0" fontId="79" fillId="27" borderId="77" xfId="0" applyNumberFormat="1" applyFont="1" applyFill="1" applyBorder="1" applyAlignment="1" applyProtection="1">
      <alignment horizontal="center" vertical="center" wrapText="1"/>
      <protection locked="0"/>
    </xf>
    <xf numFmtId="0" fontId="74" fillId="27" borderId="72" xfId="0" applyNumberFormat="1" applyFont="1" applyFill="1" applyBorder="1" applyAlignment="1" applyProtection="1">
      <alignment horizontal="left" vertical="center" wrapText="1"/>
      <protection locked="0"/>
    </xf>
    <xf numFmtId="0" fontId="74" fillId="26" borderId="27" xfId="33" applyNumberFormat="1" applyFont="1" applyFill="1" applyBorder="1" applyAlignment="1" applyProtection="1">
      <alignment horizontal="center" vertical="center" wrapText="1"/>
      <protection locked="0"/>
    </xf>
    <xf numFmtId="0" fontId="74" fillId="26" borderId="8" xfId="33" applyNumberFormat="1" applyFont="1" applyFill="1" applyBorder="1" applyAlignment="1" applyProtection="1">
      <alignment horizontal="center" vertical="center" wrapText="1"/>
      <protection locked="0"/>
    </xf>
    <xf numFmtId="14" fontId="16" fillId="27" borderId="27" xfId="33" applyNumberFormat="1" applyFont="1" applyFill="1" applyBorder="1" applyAlignment="1" applyProtection="1">
      <alignment horizontal="left" vertical="center" wrapText="1"/>
      <protection locked="0"/>
    </xf>
    <xf numFmtId="0" fontId="16" fillId="27" borderId="12" xfId="33" applyNumberFormat="1" applyFont="1" applyFill="1" applyBorder="1" applyAlignment="1" applyProtection="1">
      <alignment horizontal="left" vertical="center" wrapText="1"/>
      <protection locked="0"/>
    </xf>
    <xf numFmtId="0" fontId="74" fillId="27" borderId="8" xfId="33" applyNumberFormat="1" applyFont="1" applyFill="1" applyBorder="1" applyAlignment="1" applyProtection="1">
      <alignment horizontal="left" vertical="center" wrapText="1"/>
      <protection locked="0"/>
    </xf>
    <xf numFmtId="0" fontId="74" fillId="27" borderId="74" xfId="0" applyNumberFormat="1" applyFont="1" applyFill="1" applyBorder="1" applyAlignment="1" applyProtection="1">
      <alignment horizontal="center" vertical="center" wrapText="1"/>
    </xf>
    <xf numFmtId="14" fontId="16" fillId="27" borderId="0" xfId="33" applyNumberFormat="1" applyFont="1" applyFill="1" applyBorder="1" applyAlignment="1" applyProtection="1">
      <alignment horizontal="left" vertical="center" wrapText="1"/>
      <protection locked="0"/>
    </xf>
    <xf numFmtId="0" fontId="16" fillId="27" borderId="8" xfId="33" applyNumberFormat="1" applyFont="1" applyFill="1" applyBorder="1" applyAlignment="1" applyProtection="1">
      <alignment horizontal="left" vertical="center" wrapText="1"/>
      <protection locked="0"/>
    </xf>
    <xf numFmtId="14" fontId="16" fillId="27" borderId="8" xfId="33" applyNumberFormat="1" applyFont="1" applyFill="1" applyBorder="1" applyAlignment="1" applyProtection="1">
      <alignment horizontal="left" vertical="center" wrapText="1"/>
      <protection locked="0"/>
    </xf>
    <xf numFmtId="0" fontId="16" fillId="27" borderId="8" xfId="0" applyFont="1" applyFill="1" applyBorder="1" applyAlignment="1">
      <alignment horizontal="center" vertical="center"/>
    </xf>
    <xf numFmtId="0" fontId="74" fillId="27" borderId="27" xfId="33" applyNumberFormat="1" applyFont="1" applyFill="1" applyBorder="1" applyAlignment="1" applyProtection="1">
      <alignment horizontal="left" vertical="center" wrapText="1"/>
      <protection locked="0"/>
    </xf>
    <xf numFmtId="0" fontId="16" fillId="27" borderId="27" xfId="33" applyNumberFormat="1" applyFont="1" applyFill="1" applyBorder="1" applyAlignment="1" applyProtection="1">
      <alignment horizontal="left" vertical="center" wrapText="1"/>
      <protection locked="0"/>
    </xf>
    <xf numFmtId="0" fontId="76" fillId="27" borderId="27" xfId="0" applyNumberFormat="1" applyFont="1" applyFill="1" applyBorder="1" applyAlignment="1" applyProtection="1">
      <alignment horizontal="center" vertical="center" wrapText="1"/>
      <protection locked="0"/>
    </xf>
    <xf numFmtId="0" fontId="75" fillId="27" borderId="0" xfId="0" applyNumberFormat="1" applyFont="1" applyFill="1" applyBorder="1" applyProtection="1">
      <protection locked="0"/>
    </xf>
    <xf numFmtId="0" fontId="75" fillId="26" borderId="0" xfId="0" applyNumberFormat="1" applyFont="1" applyFill="1" applyBorder="1" applyProtection="1">
      <protection locked="0"/>
    </xf>
    <xf numFmtId="0" fontId="76" fillId="27" borderId="8" xfId="0" applyNumberFormat="1" applyFont="1" applyFill="1" applyBorder="1" applyAlignment="1" applyProtection="1">
      <alignment horizontal="center" vertical="center" wrapText="1"/>
      <protection locked="0"/>
    </xf>
    <xf numFmtId="0" fontId="16" fillId="26" borderId="0" xfId="0" applyNumberFormat="1" applyFont="1" applyFill="1" applyBorder="1" applyProtection="1">
      <protection locked="0"/>
    </xf>
    <xf numFmtId="0" fontId="74" fillId="27" borderId="27" xfId="0" applyFont="1" applyFill="1" applyBorder="1" applyAlignment="1">
      <alignment horizontal="left" vertical="center" wrapText="1"/>
    </xf>
    <xf numFmtId="0" fontId="74" fillId="27" borderId="27" xfId="0" applyFont="1" applyFill="1" applyBorder="1" applyAlignment="1">
      <alignment horizontal="center" vertical="center"/>
    </xf>
    <xf numFmtId="0" fontId="79" fillId="27" borderId="31" xfId="0" applyFont="1" applyFill="1" applyBorder="1" applyAlignment="1">
      <alignment horizontal="center" vertical="center" wrapText="1"/>
    </xf>
    <xf numFmtId="0" fontId="79" fillId="27" borderId="52" xfId="0" applyFont="1" applyFill="1" applyBorder="1" applyAlignment="1">
      <alignment horizontal="center" vertical="center" wrapText="1"/>
    </xf>
    <xf numFmtId="0" fontId="79" fillId="0" borderId="8" xfId="0" applyFont="1" applyBorder="1" applyAlignment="1">
      <alignment horizontal="left" vertical="center" wrapText="1"/>
    </xf>
    <xf numFmtId="0" fontId="79" fillId="27" borderId="8" xfId="0" applyFont="1" applyFill="1" applyBorder="1" applyAlignment="1">
      <alignment horizontal="left" vertical="center" wrapText="1"/>
    </xf>
    <xf numFmtId="0" fontId="74" fillId="27" borderId="0" xfId="33" applyNumberFormat="1" applyFont="1" applyFill="1" applyBorder="1" applyAlignment="1" applyProtection="1">
      <alignment horizontal="center" vertical="center" wrapText="1"/>
      <protection locked="0"/>
    </xf>
    <xf numFmtId="0" fontId="74" fillId="27" borderId="0" xfId="0" applyNumberFormat="1" applyFont="1" applyFill="1" applyBorder="1" applyAlignment="1" applyProtection="1">
      <alignment horizontal="left" vertical="center" wrapText="1"/>
      <protection locked="0"/>
    </xf>
    <xf numFmtId="0" fontId="74" fillId="27" borderId="0" xfId="0" applyNumberFormat="1" applyFont="1" applyFill="1" applyBorder="1" applyAlignment="1" applyProtection="1">
      <alignment horizontal="center" vertical="center"/>
      <protection locked="0"/>
    </xf>
    <xf numFmtId="0" fontId="79" fillId="27" borderId="0" xfId="0" applyNumberFormat="1" applyFont="1" applyFill="1" applyBorder="1" applyAlignment="1" applyProtection="1">
      <alignment horizontal="center" vertical="center" wrapText="1"/>
      <protection locked="0"/>
    </xf>
    <xf numFmtId="14" fontId="16" fillId="29" borderId="27" xfId="33" applyNumberFormat="1" applyFont="1" applyFill="1" applyBorder="1" applyAlignment="1" applyProtection="1">
      <alignment horizontal="center" vertical="center" wrapText="1"/>
      <protection locked="0"/>
    </xf>
    <xf numFmtId="0" fontId="16" fillId="29" borderId="27" xfId="33" applyNumberFormat="1" applyFont="1" applyFill="1" applyBorder="1" applyAlignment="1" applyProtection="1">
      <alignment horizontal="center" vertical="center" wrapText="1"/>
      <protection locked="0"/>
    </xf>
    <xf numFmtId="0" fontId="79" fillId="27" borderId="9" xfId="0" applyFont="1" applyFill="1" applyBorder="1" applyAlignment="1">
      <alignment horizontal="center" vertical="center" wrapText="1"/>
    </xf>
    <xf numFmtId="0" fontId="16" fillId="27" borderId="8" xfId="0" applyFont="1" applyFill="1" applyBorder="1"/>
    <xf numFmtId="0" fontId="79" fillId="27" borderId="27" xfId="0" applyFont="1" applyFill="1" applyBorder="1" applyAlignment="1">
      <alignment horizontal="center" vertical="center" wrapText="1"/>
    </xf>
    <xf numFmtId="0" fontId="16" fillId="27" borderId="8" xfId="33" applyNumberFormat="1" applyFont="1" applyFill="1" applyBorder="1" applyAlignment="1" applyProtection="1">
      <alignment horizontal="center" vertical="center" wrapText="1"/>
      <protection locked="0"/>
    </xf>
    <xf numFmtId="0" fontId="79" fillId="27" borderId="8" xfId="0" applyNumberFormat="1" applyFont="1" applyFill="1" applyBorder="1" applyAlignment="1" applyProtection="1">
      <alignment horizontal="center" vertical="center" wrapText="1"/>
      <protection locked="0"/>
    </xf>
    <xf numFmtId="0" fontId="79" fillId="27" borderId="27" xfId="0" applyNumberFormat="1" applyFont="1" applyFill="1" applyBorder="1" applyAlignment="1" applyProtection="1">
      <alignment horizontal="center" vertical="center" wrapText="1"/>
      <protection locked="0"/>
    </xf>
    <xf numFmtId="0" fontId="75" fillId="29" borderId="0" xfId="0" applyNumberFormat="1" applyFont="1" applyFill="1" applyBorder="1" applyProtection="1">
      <protection locked="0"/>
    </xf>
    <xf numFmtId="0" fontId="79" fillId="27" borderId="0" xfId="0" applyFont="1" applyFill="1" applyBorder="1" applyAlignment="1">
      <alignment horizontal="center" vertical="center" wrapText="1"/>
    </xf>
    <xf numFmtId="0" fontId="79" fillId="30" borderId="27" xfId="0" applyFont="1" applyFill="1" applyBorder="1" applyAlignment="1">
      <alignment horizontal="center" vertical="center" wrapText="1"/>
    </xf>
    <xf numFmtId="0" fontId="79" fillId="30" borderId="0" xfId="0" applyFont="1" applyFill="1" applyBorder="1" applyAlignment="1">
      <alignment horizontal="center" vertical="center" wrapText="1"/>
    </xf>
    <xf numFmtId="0" fontId="74" fillId="30" borderId="8" xfId="0" applyFont="1" applyFill="1" applyBorder="1" applyAlignment="1">
      <alignment horizontal="left" vertical="center" wrapText="1"/>
    </xf>
    <xf numFmtId="0" fontId="74" fillId="30" borderId="8" xfId="0" applyFont="1" applyFill="1" applyBorder="1" applyAlignment="1">
      <alignment horizontal="center" vertical="center"/>
    </xf>
    <xf numFmtId="0" fontId="79" fillId="30" borderId="8" xfId="0" applyFont="1" applyFill="1" applyBorder="1" applyAlignment="1">
      <alignment horizontal="center" vertical="center" wrapText="1"/>
    </xf>
    <xf numFmtId="0" fontId="74" fillId="27" borderId="8" xfId="0" applyFont="1" applyFill="1" applyBorder="1" applyAlignment="1">
      <alignment horizontal="left" vertical="center" wrapText="1"/>
    </xf>
    <xf numFmtId="0" fontId="74" fillId="27" borderId="8" xfId="0" applyFont="1" applyFill="1" applyBorder="1" applyAlignment="1">
      <alignment horizontal="center" vertical="center"/>
    </xf>
    <xf numFmtId="0" fontId="74" fillId="29" borderId="8" xfId="0" applyNumberFormat="1" applyFont="1" applyFill="1" applyBorder="1" applyAlignment="1" applyProtection="1">
      <alignment horizontal="center" vertical="center" wrapText="1"/>
    </xf>
    <xf numFmtId="0" fontId="69" fillId="22" borderId="17" xfId="0" applyNumberFormat="1" applyFont="1" applyFill="1" applyBorder="1" applyAlignment="1" applyProtection="1">
      <alignment horizontal="center" vertical="center" textRotation="90" wrapText="1"/>
      <protection locked="0"/>
    </xf>
    <xf numFmtId="0" fontId="69" fillId="22" borderId="18" xfId="0" applyNumberFormat="1" applyFont="1" applyFill="1" applyBorder="1" applyAlignment="1" applyProtection="1">
      <alignment horizontal="center" vertical="center" textRotation="90" wrapText="1"/>
      <protection locked="0"/>
    </xf>
    <xf numFmtId="0" fontId="69" fillId="22" borderId="19" xfId="0" applyNumberFormat="1" applyFont="1" applyFill="1" applyBorder="1" applyAlignment="1" applyProtection="1">
      <alignment horizontal="center" vertical="center" textRotation="90" wrapText="1"/>
      <protection locked="0"/>
    </xf>
    <xf numFmtId="0" fontId="16" fillId="0" borderId="28" xfId="0" applyNumberFormat="1" applyFont="1" applyFill="1" applyBorder="1" applyAlignment="1" applyProtection="1">
      <alignment horizontal="center" vertical="center" wrapText="1"/>
      <protection locked="0"/>
    </xf>
    <xf numFmtId="0" fontId="20" fillId="26" borderId="12" xfId="0" applyFont="1" applyFill="1" applyBorder="1" applyAlignment="1">
      <alignment horizontal="center" vertical="center"/>
    </xf>
    <xf numFmtId="0" fontId="0" fillId="26" borderId="0" xfId="0" applyFill="1"/>
    <xf numFmtId="0" fontId="20" fillId="26" borderId="54" xfId="0" applyFont="1" applyFill="1" applyBorder="1" applyAlignment="1">
      <alignment horizontal="center" vertical="center"/>
    </xf>
    <xf numFmtId="0" fontId="24" fillId="26" borderId="12" xfId="0" applyFont="1" applyFill="1" applyBorder="1" applyAlignment="1">
      <alignment horizontal="center" vertical="center"/>
    </xf>
    <xf numFmtId="0" fontId="24" fillId="26" borderId="54" xfId="0" applyFont="1" applyFill="1" applyBorder="1" applyAlignment="1">
      <alignment horizontal="center" vertical="center"/>
    </xf>
    <xf numFmtId="0" fontId="25" fillId="26" borderId="12" xfId="0" applyFont="1" applyFill="1" applyBorder="1" applyAlignment="1">
      <alignment horizontal="center" vertical="center"/>
    </xf>
    <xf numFmtId="0" fontId="25" fillId="26" borderId="54" xfId="0" applyFont="1" applyFill="1" applyBorder="1" applyAlignment="1">
      <alignment horizontal="center" vertical="center"/>
    </xf>
    <xf numFmtId="0" fontId="26" fillId="26" borderId="54" xfId="0" applyFont="1" applyFill="1" applyBorder="1" applyAlignment="1">
      <alignment horizontal="center" vertical="center"/>
    </xf>
    <xf numFmtId="0" fontId="27" fillId="26" borderId="54" xfId="0" applyFont="1" applyFill="1" applyBorder="1" applyAlignment="1">
      <alignment horizontal="center" vertical="center"/>
    </xf>
    <xf numFmtId="0" fontId="80" fillId="27" borderId="8" xfId="33" applyNumberFormat="1" applyFont="1" applyFill="1" applyBorder="1" applyAlignment="1" applyProtection="1">
      <alignment horizontal="center" vertical="center" wrapText="1"/>
      <protection locked="0"/>
    </xf>
    <xf numFmtId="0" fontId="80" fillId="27" borderId="8" xfId="0" applyNumberFormat="1" applyFont="1" applyFill="1" applyBorder="1" applyAlignment="1" applyProtection="1">
      <alignment horizontal="center" vertical="center" wrapText="1"/>
      <protection locked="0"/>
    </xf>
    <xf numFmtId="0" fontId="36" fillId="27" borderId="45" xfId="27" applyNumberFormat="1" applyFont="1" applyFill="1" applyBorder="1" applyAlignment="1" applyProtection="1">
      <alignment horizontal="center" vertical="center" wrapText="1"/>
    </xf>
    <xf numFmtId="0" fontId="36" fillId="27" borderId="48" xfId="27" applyNumberFormat="1" applyFont="1" applyFill="1" applyBorder="1" applyAlignment="1" applyProtection="1">
      <alignment horizontal="center" vertical="center" wrapText="1"/>
    </xf>
    <xf numFmtId="14" fontId="80" fillId="27" borderId="8" xfId="27" applyNumberFormat="1" applyFont="1" applyFill="1" applyBorder="1" applyAlignment="1" applyProtection="1">
      <alignment horizontal="center" vertical="center" wrapText="1"/>
      <protection locked="0"/>
    </xf>
    <xf numFmtId="0" fontId="80" fillId="27" borderId="8" xfId="27" applyNumberFormat="1" applyFont="1" applyFill="1" applyBorder="1" applyAlignment="1" applyProtection="1">
      <alignment horizontal="center" vertical="center" wrapText="1"/>
      <protection locked="0"/>
    </xf>
    <xf numFmtId="0" fontId="80" fillId="27" borderId="8" xfId="0" applyNumberFormat="1" applyFont="1" applyFill="1" applyBorder="1" applyAlignment="1" applyProtection="1">
      <alignment horizontal="center" vertical="center"/>
      <protection locked="0"/>
    </xf>
    <xf numFmtId="0" fontId="32" fillId="27" borderId="8" xfId="27" applyNumberFormat="1" applyFont="1" applyFill="1" applyBorder="1" applyAlignment="1" applyProtection="1">
      <alignment horizontal="center" vertical="center" wrapText="1"/>
      <protection locked="0"/>
    </xf>
    <xf numFmtId="0" fontId="32" fillId="27" borderId="29" xfId="27" applyNumberFormat="1" applyFont="1" applyFill="1" applyBorder="1" applyAlignment="1" applyProtection="1">
      <alignment horizontal="center" vertical="center" wrapText="1"/>
      <protection locked="0"/>
    </xf>
    <xf numFmtId="0" fontId="32" fillId="27" borderId="8" xfId="0" applyNumberFormat="1" applyFont="1" applyFill="1" applyBorder="1" applyAlignment="1" applyProtection="1">
      <alignment horizontal="center" vertical="center" wrapText="1"/>
      <protection locked="0"/>
    </xf>
    <xf numFmtId="0" fontId="32" fillId="27" borderId="9" xfId="0" applyNumberFormat="1" applyFont="1" applyFill="1" applyBorder="1" applyAlignment="1" applyProtection="1">
      <alignment horizontal="center" vertical="center" wrapText="1"/>
      <protection locked="0"/>
    </xf>
    <xf numFmtId="0" fontId="80" fillId="27" borderId="12" xfId="0" applyNumberFormat="1" applyFont="1" applyFill="1" applyBorder="1" applyAlignment="1" applyProtection="1">
      <alignment horizontal="left" vertical="center" wrapText="1"/>
      <protection locked="0"/>
    </xf>
    <xf numFmtId="0" fontId="81" fillId="27" borderId="0" xfId="0" applyNumberFormat="1" applyFont="1" applyFill="1" applyBorder="1" applyProtection="1">
      <protection locked="0"/>
    </xf>
    <xf numFmtId="0" fontId="37" fillId="27" borderId="0" xfId="0" applyFont="1" applyFill="1" applyAlignment="1">
      <alignment vertical="center"/>
    </xf>
    <xf numFmtId="14" fontId="73" fillId="27" borderId="12" xfId="0" applyNumberFormat="1" applyFont="1" applyFill="1" applyBorder="1" applyAlignment="1" applyProtection="1">
      <alignment horizontal="center" vertical="center" wrapText="1"/>
      <protection locked="0"/>
    </xf>
    <xf numFmtId="0" fontId="72" fillId="27" borderId="12" xfId="0" applyFont="1" applyFill="1" applyBorder="1" applyAlignment="1" applyProtection="1">
      <alignment horizontal="center" vertical="center" wrapText="1"/>
      <protection locked="0"/>
    </xf>
    <xf numFmtId="0" fontId="72" fillId="27" borderId="12" xfId="0" applyFont="1" applyFill="1" applyBorder="1" applyAlignment="1">
      <alignment horizontal="center" vertical="center" wrapText="1"/>
    </xf>
    <xf numFmtId="0" fontId="20" fillId="27" borderId="12" xfId="0" applyFont="1" applyFill="1" applyBorder="1" applyAlignment="1">
      <alignment horizontal="center" vertical="center"/>
    </xf>
    <xf numFmtId="0" fontId="18" fillId="27" borderId="54" xfId="0" applyFont="1" applyFill="1" applyBorder="1" applyAlignment="1">
      <alignment horizontal="center"/>
    </xf>
    <xf numFmtId="14" fontId="22" fillId="27" borderId="12" xfId="0" applyNumberFormat="1" applyFont="1" applyFill="1" applyBorder="1" applyAlignment="1">
      <alignment horizontal="center"/>
    </xf>
    <xf numFmtId="0" fontId="73" fillId="27" borderId="12" xfId="0" applyFont="1" applyFill="1" applyBorder="1" applyAlignment="1">
      <alignment horizontal="center" vertical="center" wrapText="1"/>
    </xf>
    <xf numFmtId="0" fontId="22" fillId="27" borderId="12" xfId="0" applyFont="1" applyFill="1" applyBorder="1" applyAlignment="1">
      <alignment horizontal="center"/>
    </xf>
    <xf numFmtId="0" fontId="22" fillId="27" borderId="12" xfId="0" applyFont="1" applyFill="1" applyBorder="1" applyAlignment="1">
      <alignment horizontal="center" vertical="center"/>
    </xf>
    <xf numFmtId="0" fontId="72" fillId="27" borderId="54" xfId="0" applyFont="1" applyFill="1" applyBorder="1" applyAlignment="1">
      <alignment horizontal="center" vertical="center" wrapText="1"/>
    </xf>
    <xf numFmtId="0" fontId="82" fillId="27" borderId="12" xfId="0" applyFont="1" applyFill="1" applyBorder="1" applyAlignment="1">
      <alignment horizontal="center" vertical="center" wrapText="1"/>
    </xf>
    <xf numFmtId="0" fontId="71" fillId="27" borderId="12" xfId="0" applyFont="1" applyFill="1" applyBorder="1" applyAlignment="1">
      <alignment horizontal="center" vertical="center" wrapText="1"/>
    </xf>
    <xf numFmtId="14" fontId="22" fillId="27" borderId="54" xfId="0" applyNumberFormat="1" applyFont="1" applyFill="1" applyBorder="1" applyAlignment="1">
      <alignment horizontal="center"/>
    </xf>
    <xf numFmtId="0" fontId="22" fillId="27" borderId="54" xfId="0" applyFont="1" applyFill="1" applyBorder="1" applyAlignment="1">
      <alignment horizontal="center" vertical="center"/>
    </xf>
    <xf numFmtId="0" fontId="82" fillId="27" borderId="12" xfId="0" applyFont="1" applyFill="1" applyBorder="1" applyAlignment="1">
      <alignment horizontal="left" vertical="center" wrapText="1"/>
    </xf>
    <xf numFmtId="0" fontId="73" fillId="27" borderId="12" xfId="0" applyFont="1" applyFill="1" applyBorder="1" applyAlignment="1">
      <alignment horizontal="left" vertical="center" wrapText="1"/>
    </xf>
    <xf numFmtId="14" fontId="3" fillId="27" borderId="12" xfId="0" applyNumberFormat="1" applyFont="1" applyFill="1" applyBorder="1" applyAlignment="1">
      <alignment horizontal="center"/>
    </xf>
    <xf numFmtId="49" fontId="3" fillId="27" borderId="12" xfId="0" applyNumberFormat="1" applyFont="1" applyFill="1" applyBorder="1" applyAlignment="1">
      <alignment horizontal="center" vertical="center" wrapText="1"/>
    </xf>
    <xf numFmtId="0" fontId="3" fillId="27" borderId="12" xfId="0" applyFont="1" applyFill="1" applyBorder="1" applyAlignment="1">
      <alignment horizontal="center"/>
    </xf>
    <xf numFmtId="0" fontId="3" fillId="27" borderId="12" xfId="0" applyFont="1" applyFill="1" applyBorder="1" applyAlignment="1">
      <alignment horizontal="center" vertical="center"/>
    </xf>
    <xf numFmtId="0" fontId="71" fillId="27" borderId="54" xfId="0" applyFont="1" applyFill="1" applyBorder="1" applyAlignment="1">
      <alignment horizontal="center" vertical="center" wrapText="1"/>
    </xf>
    <xf numFmtId="0" fontId="74" fillId="27" borderId="0" xfId="0" applyFont="1" applyFill="1" applyBorder="1" applyAlignment="1" applyProtection="1">
      <alignment horizontal="center" vertical="center" wrapText="1"/>
      <protection locked="0"/>
    </xf>
    <xf numFmtId="0" fontId="74" fillId="27" borderId="27" xfId="0" applyFont="1" applyFill="1" applyBorder="1" applyAlignment="1" applyProtection="1">
      <alignment horizontal="center" vertical="center" wrapText="1"/>
      <protection locked="0"/>
    </xf>
    <xf numFmtId="0" fontId="17" fillId="26" borderId="47" xfId="27" applyNumberFormat="1" applyFont="1" applyFill="1" applyBorder="1" applyAlignment="1" applyProtection="1">
      <alignment horizontal="center" vertical="center" wrapText="1"/>
    </xf>
    <xf numFmtId="0" fontId="17" fillId="26" borderId="45" xfId="27" applyNumberFormat="1" applyFont="1" applyFill="1" applyBorder="1" applyAlignment="1" applyProtection="1">
      <alignment horizontal="center" vertical="center" wrapText="1"/>
    </xf>
    <xf numFmtId="0" fontId="38" fillId="27" borderId="8" xfId="33" applyNumberFormat="1" applyFont="1" applyFill="1" applyBorder="1" applyAlignment="1" applyProtection="1">
      <alignment horizontal="center" vertical="center" wrapText="1"/>
      <protection locked="0"/>
    </xf>
    <xf numFmtId="0" fontId="38" fillId="27" borderId="27" xfId="27" applyNumberFormat="1" applyFont="1" applyFill="1" applyBorder="1" applyAlignment="1" applyProtection="1">
      <alignment horizontal="center" vertical="center" wrapText="1"/>
      <protection locked="0"/>
    </xf>
    <xf numFmtId="0" fontId="38" fillId="27" borderId="27" xfId="0" applyNumberFormat="1" applyFont="1" applyFill="1" applyBorder="1" applyAlignment="1" applyProtection="1">
      <alignment horizontal="center" vertical="center" wrapText="1"/>
      <protection locked="0"/>
    </xf>
    <xf numFmtId="0" fontId="38" fillId="27" borderId="31" xfId="0" applyNumberFormat="1" applyFont="1" applyFill="1" applyBorder="1" applyAlignment="1" applyProtection="1">
      <alignment horizontal="center" vertical="center" wrapText="1"/>
      <protection locked="0"/>
    </xf>
    <xf numFmtId="0" fontId="65" fillId="27" borderId="0" xfId="0" applyNumberFormat="1" applyFont="1" applyFill="1" applyBorder="1" applyProtection="1">
      <protection locked="0"/>
    </xf>
    <xf numFmtId="0" fontId="74" fillId="0" borderId="8" xfId="33" applyNumberFormat="1" applyFont="1" applyFill="1" applyBorder="1" applyAlignment="1" applyProtection="1">
      <alignment horizontal="center" vertical="center" wrapText="1"/>
      <protection locked="0"/>
    </xf>
    <xf numFmtId="0" fontId="74" fillId="0" borderId="8" xfId="0" applyNumberFormat="1" applyFont="1" applyFill="1" applyBorder="1" applyAlignment="1" applyProtection="1">
      <alignment horizontal="center" vertical="center"/>
      <protection locked="0"/>
    </xf>
    <xf numFmtId="0" fontId="74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74" fillId="0" borderId="9" xfId="0" applyNumberFormat="1" applyFont="1" applyFill="1" applyBorder="1" applyAlignment="1" applyProtection="1">
      <alignment horizontal="center" vertical="center" wrapText="1"/>
      <protection locked="0"/>
    </xf>
    <xf numFmtId="0" fontId="40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41" fillId="0" borderId="45" xfId="27" applyNumberFormat="1" applyFont="1" applyFill="1" applyBorder="1" applyAlignment="1" applyProtection="1">
      <alignment horizontal="center" vertical="center" wrapText="1"/>
    </xf>
    <xf numFmtId="0" fontId="41" fillId="0" borderId="48" xfId="27" applyNumberFormat="1" applyFont="1" applyFill="1" applyBorder="1" applyAlignment="1" applyProtection="1">
      <alignment horizontal="center" vertical="center" wrapText="1"/>
    </xf>
    <xf numFmtId="14" fontId="74" fillId="0" borderId="8" xfId="27" applyNumberFormat="1" applyFont="1" applyFill="1" applyBorder="1" applyAlignment="1" applyProtection="1">
      <alignment horizontal="center" vertical="center" wrapText="1"/>
      <protection locked="0"/>
    </xf>
    <xf numFmtId="0" fontId="74" fillId="0" borderId="8" xfId="27" applyNumberFormat="1" applyFont="1" applyFill="1" applyBorder="1" applyAlignment="1" applyProtection="1">
      <alignment horizontal="center" vertical="center" wrapText="1"/>
      <protection locked="0"/>
    </xf>
    <xf numFmtId="0" fontId="40" fillId="0" borderId="8" xfId="27" applyNumberFormat="1" applyFont="1" applyFill="1" applyBorder="1" applyAlignment="1" applyProtection="1">
      <alignment horizontal="center" vertical="center" wrapText="1"/>
      <protection locked="0"/>
    </xf>
    <xf numFmtId="0" fontId="40" fillId="0" borderId="29" xfId="27" applyNumberFormat="1" applyFont="1" applyFill="1" applyBorder="1" applyAlignment="1" applyProtection="1">
      <alignment horizontal="center" vertical="center" wrapText="1"/>
      <protection locked="0"/>
    </xf>
    <xf numFmtId="0" fontId="76" fillId="0" borderId="8" xfId="27" applyNumberFormat="1" applyFont="1" applyFill="1" applyBorder="1" applyAlignment="1" applyProtection="1">
      <alignment horizontal="center" vertical="center" wrapText="1"/>
      <protection locked="0"/>
    </xf>
    <xf numFmtId="0" fontId="40" fillId="0" borderId="9" xfId="0" applyNumberFormat="1" applyFont="1" applyFill="1" applyBorder="1" applyAlignment="1" applyProtection="1">
      <alignment horizontal="center" vertical="center" wrapText="1"/>
      <protection locked="0"/>
    </xf>
    <xf numFmtId="0" fontId="74" fillId="0" borderId="12" xfId="0" applyNumberFormat="1" applyFont="1" applyFill="1" applyBorder="1" applyAlignment="1" applyProtection="1">
      <alignment horizontal="left" vertical="center" wrapText="1"/>
      <protection locked="0"/>
    </xf>
    <xf numFmtId="0" fontId="16" fillId="27" borderId="28" xfId="0" applyNumberFormat="1" applyFont="1" applyFill="1" applyBorder="1" applyAlignment="1" applyProtection="1">
      <alignment horizontal="center" vertical="center" wrapText="1"/>
      <protection locked="0"/>
    </xf>
    <xf numFmtId="0" fontId="16" fillId="27" borderId="55" xfId="0" applyNumberFormat="1" applyFont="1" applyFill="1" applyBorder="1" applyAlignment="1" applyProtection="1">
      <alignment horizontal="center" vertical="center" wrapText="1"/>
      <protection locked="0"/>
    </xf>
    <xf numFmtId="0" fontId="16" fillId="26" borderId="28" xfId="0" applyNumberFormat="1" applyFont="1" applyFill="1" applyBorder="1" applyAlignment="1" applyProtection="1">
      <alignment horizontal="center" vertical="center" wrapText="1"/>
      <protection locked="0"/>
    </xf>
    <xf numFmtId="0" fontId="16" fillId="26" borderId="55" xfId="0" applyNumberFormat="1" applyFont="1" applyFill="1" applyBorder="1" applyAlignment="1" applyProtection="1">
      <alignment horizontal="center" vertical="center" wrapText="1"/>
      <protection locked="0"/>
    </xf>
    <xf numFmtId="0" fontId="39" fillId="27" borderId="45" xfId="27" applyNumberFormat="1" applyFont="1" applyFill="1" applyBorder="1" applyAlignment="1" applyProtection="1">
      <alignment horizontal="center" vertical="center" wrapText="1"/>
    </xf>
    <xf numFmtId="0" fontId="39" fillId="27" borderId="48" xfId="27" applyNumberFormat="1" applyFont="1" applyFill="1" applyBorder="1" applyAlignment="1" applyProtection="1">
      <alignment horizontal="center" vertical="center" wrapText="1"/>
    </xf>
    <xf numFmtId="0" fontId="38" fillId="27" borderId="8" xfId="27" applyNumberFormat="1" applyFont="1" applyFill="1" applyBorder="1" applyAlignment="1" applyProtection="1">
      <alignment horizontal="center" vertical="center" wrapText="1"/>
      <protection locked="0"/>
    </xf>
    <xf numFmtId="0" fontId="38" fillId="27" borderId="29" xfId="27" applyNumberFormat="1" applyFont="1" applyFill="1" applyBorder="1" applyAlignment="1" applyProtection="1">
      <alignment horizontal="center" vertical="center" wrapText="1"/>
      <protection locked="0"/>
    </xf>
    <xf numFmtId="0" fontId="38" fillId="27" borderId="8" xfId="0" applyNumberFormat="1" applyFont="1" applyFill="1" applyBorder="1" applyAlignment="1" applyProtection="1">
      <alignment horizontal="center" vertical="center" wrapText="1"/>
      <protection locked="0"/>
    </xf>
    <xf numFmtId="0" fontId="38" fillId="27" borderId="9" xfId="0" applyNumberFormat="1" applyFont="1" applyFill="1" applyBorder="1" applyAlignment="1" applyProtection="1">
      <alignment horizontal="center" vertical="center" wrapText="1"/>
      <protection locked="0"/>
    </xf>
    <xf numFmtId="0" fontId="65" fillId="26" borderId="0" xfId="0" applyNumberFormat="1" applyFont="1" applyFill="1" applyBorder="1" applyProtection="1">
      <protection locked="0"/>
    </xf>
    <xf numFmtId="0" fontId="16" fillId="29" borderId="28" xfId="0" applyNumberFormat="1" applyFont="1" applyFill="1" applyBorder="1" applyAlignment="1" applyProtection="1">
      <alignment horizontal="center" vertical="center" wrapText="1"/>
      <protection locked="0"/>
    </xf>
    <xf numFmtId="0" fontId="16" fillId="29" borderId="55" xfId="0" applyNumberFormat="1" applyFont="1" applyFill="1" applyBorder="1" applyAlignment="1" applyProtection="1">
      <alignment horizontal="center" vertical="center" wrapText="1"/>
      <protection locked="0"/>
    </xf>
    <xf numFmtId="0" fontId="16" fillId="27" borderId="79" xfId="0" applyFont="1" applyFill="1" applyBorder="1" applyAlignment="1">
      <alignment horizontal="center" vertical="center" wrapText="1"/>
    </xf>
    <xf numFmtId="0" fontId="16" fillId="30" borderId="77" xfId="0" applyFont="1" applyFill="1" applyBorder="1" applyAlignment="1">
      <alignment horizontal="center" vertical="center" wrapText="1"/>
    </xf>
    <xf numFmtId="49" fontId="43" fillId="0" borderId="12" xfId="0" applyNumberFormat="1" applyFont="1" applyFill="1" applyBorder="1" applyAlignment="1">
      <alignment horizontal="center" vertical="center" wrapText="1"/>
    </xf>
    <xf numFmtId="0" fontId="71" fillId="0" borderId="12" xfId="0" applyFont="1" applyFill="1" applyBorder="1" applyAlignment="1">
      <alignment horizontal="center" vertical="center" wrapText="1"/>
    </xf>
    <xf numFmtId="0" fontId="72" fillId="0" borderId="12" xfId="0" applyFont="1" applyBorder="1" applyAlignment="1">
      <alignment horizontal="center" vertical="center" wrapText="1"/>
    </xf>
    <xf numFmtId="0" fontId="43" fillId="0" borderId="12" xfId="0" applyFont="1" applyFill="1" applyBorder="1" applyAlignment="1">
      <alignment horizontal="center" vertical="center"/>
    </xf>
    <xf numFmtId="14" fontId="71" fillId="0" borderId="12" xfId="0" applyNumberFormat="1" applyFont="1" applyFill="1" applyBorder="1" applyAlignment="1" applyProtection="1">
      <alignment horizontal="left" vertical="center" wrapText="1"/>
      <protection locked="0"/>
    </xf>
    <xf numFmtId="0" fontId="71" fillId="0" borderId="12" xfId="0" applyFont="1" applyFill="1" applyBorder="1" applyAlignment="1" applyProtection="1">
      <alignment horizontal="center" vertical="center" wrapText="1"/>
      <protection locked="0"/>
    </xf>
    <xf numFmtId="49" fontId="43" fillId="0" borderId="8" xfId="0" applyNumberFormat="1" applyFont="1" applyFill="1" applyBorder="1" applyAlignment="1">
      <alignment horizontal="center" vertical="center" wrapText="1"/>
    </xf>
    <xf numFmtId="0" fontId="71" fillId="0" borderId="8" xfId="0" applyFont="1" applyFill="1" applyBorder="1" applyAlignment="1">
      <alignment horizontal="center" vertical="center" wrapText="1"/>
    </xf>
    <xf numFmtId="0" fontId="72" fillId="0" borderId="8" xfId="0" applyFont="1" applyBorder="1" applyAlignment="1">
      <alignment horizontal="center" vertical="center" wrapText="1"/>
    </xf>
    <xf numFmtId="0" fontId="43" fillId="0" borderId="8" xfId="0" applyFont="1" applyFill="1" applyBorder="1" applyAlignment="1">
      <alignment horizontal="center" vertical="center"/>
    </xf>
    <xf numFmtId="14" fontId="71" fillId="0" borderId="8" xfId="0" applyNumberFormat="1" applyFont="1" applyFill="1" applyBorder="1" applyAlignment="1" applyProtection="1">
      <alignment horizontal="left" vertical="center" wrapText="1"/>
      <protection locked="0"/>
    </xf>
    <xf numFmtId="0" fontId="16" fillId="29" borderId="8" xfId="33" applyNumberFormat="1" applyFont="1" applyFill="1" applyBorder="1" applyAlignment="1" applyProtection="1">
      <alignment horizontal="center" vertical="center" wrapText="1"/>
      <protection locked="0"/>
    </xf>
    <xf numFmtId="0" fontId="16" fillId="29" borderId="12" xfId="33" applyNumberFormat="1" applyFont="1" applyFill="1" applyBorder="1" applyAlignment="1" applyProtection="1">
      <alignment horizontal="center" vertical="center" wrapText="1"/>
      <protection locked="0"/>
    </xf>
    <xf numFmtId="0" fontId="74" fillId="29" borderId="0" xfId="0" applyNumberFormat="1" applyFont="1" applyFill="1" applyBorder="1" applyAlignment="1" applyProtection="1">
      <alignment horizontal="center" vertical="center" wrapText="1"/>
      <protection locked="0"/>
    </xf>
    <xf numFmtId="0" fontId="17" fillId="29" borderId="35" xfId="27" applyNumberFormat="1" applyFont="1" applyFill="1" applyBorder="1" applyAlignment="1" applyProtection="1">
      <alignment horizontal="center" vertical="center" wrapText="1"/>
    </xf>
    <xf numFmtId="14" fontId="74" fillId="29" borderId="11" xfId="27" applyNumberFormat="1" applyFont="1" applyFill="1" applyBorder="1" applyAlignment="1" applyProtection="1">
      <alignment horizontal="center" vertical="center" wrapText="1"/>
      <protection locked="0"/>
    </xf>
    <xf numFmtId="0" fontId="0" fillId="0" borderId="27" xfId="0" applyFont="1" applyFill="1" applyBorder="1" applyAlignment="1">
      <alignment horizontal="center" vertical="center"/>
    </xf>
    <xf numFmtId="14" fontId="43" fillId="0" borderId="8" xfId="0" applyNumberFormat="1" applyFont="1" applyFill="1" applyBorder="1" applyAlignment="1">
      <alignment horizontal="center" vertical="center"/>
    </xf>
    <xf numFmtId="0" fontId="0" fillId="0" borderId="54" xfId="0" applyFont="1" applyFill="1" applyBorder="1" applyAlignment="1">
      <alignment horizontal="center" vertical="center"/>
    </xf>
    <xf numFmtId="14" fontId="43" fillId="0" borderId="12" xfId="0" applyNumberFormat="1" applyFont="1" applyFill="1" applyBorder="1" applyAlignment="1">
      <alignment horizontal="center" vertical="center"/>
    </xf>
    <xf numFmtId="0" fontId="82" fillId="0" borderId="12" xfId="0" applyFont="1" applyFill="1" applyBorder="1" applyAlignment="1">
      <alignment horizontal="center" vertical="center"/>
    </xf>
    <xf numFmtId="0" fontId="74" fillId="31" borderId="8" xfId="33" applyNumberFormat="1" applyFont="1" applyFill="1" applyBorder="1" applyAlignment="1" applyProtection="1">
      <alignment horizontal="center" vertical="center" wrapText="1"/>
      <protection locked="0"/>
    </xf>
    <xf numFmtId="0" fontId="75" fillId="31" borderId="0" xfId="0" applyNumberFormat="1" applyFont="1" applyFill="1" applyBorder="1" applyProtection="1">
      <protection locked="0"/>
    </xf>
    <xf numFmtId="0" fontId="16" fillId="27" borderId="27" xfId="0" applyNumberFormat="1" applyFont="1" applyFill="1" applyBorder="1" applyAlignment="1" applyProtection="1">
      <alignment horizontal="left" vertical="center" wrapText="1"/>
      <protection locked="0"/>
    </xf>
    <xf numFmtId="0" fontId="16" fillId="27" borderId="72" xfId="0" applyNumberFormat="1" applyFont="1" applyFill="1" applyBorder="1" applyAlignment="1" applyProtection="1">
      <alignment horizontal="left" vertical="center" wrapText="1"/>
      <protection locked="0"/>
    </xf>
    <xf numFmtId="0" fontId="16" fillId="27" borderId="72" xfId="0" applyNumberFormat="1" applyFont="1" applyFill="1" applyBorder="1" applyAlignment="1" applyProtection="1">
      <alignment horizontal="center" vertical="center"/>
      <protection locked="0"/>
    </xf>
    <xf numFmtId="0" fontId="33" fillId="27" borderId="78" xfId="0" applyNumberFormat="1" applyFont="1" applyFill="1" applyBorder="1" applyAlignment="1" applyProtection="1">
      <alignment horizontal="center" vertical="center" wrapText="1"/>
      <protection locked="0"/>
    </xf>
    <xf numFmtId="0" fontId="33" fillId="27" borderId="79" xfId="0" applyNumberFormat="1" applyFont="1" applyFill="1" applyBorder="1" applyAlignment="1" applyProtection="1">
      <alignment horizontal="center" vertical="center" wrapText="1"/>
      <protection locked="0"/>
    </xf>
    <xf numFmtId="0" fontId="17" fillId="27" borderId="40" xfId="27" applyNumberFormat="1" applyFont="1" applyFill="1" applyBorder="1" applyAlignment="1" applyProtection="1">
      <alignment horizontal="center" vertical="center" wrapText="1"/>
    </xf>
    <xf numFmtId="14" fontId="16" fillId="27" borderId="11" xfId="27" applyNumberFormat="1" applyFont="1" applyFill="1" applyBorder="1" applyAlignment="1" applyProtection="1">
      <alignment horizontal="center" vertical="center" wrapText="1"/>
      <protection locked="0"/>
    </xf>
    <xf numFmtId="0" fontId="17" fillId="27" borderId="27" xfId="27" applyNumberFormat="1" applyFont="1" applyFill="1" applyBorder="1" applyAlignment="1" applyProtection="1">
      <alignment horizontal="center" vertical="center" wrapText="1"/>
      <protection locked="0"/>
    </xf>
    <xf numFmtId="0" fontId="16" fillId="27" borderId="12" xfId="0" applyNumberFormat="1" applyFont="1" applyFill="1" applyBorder="1" applyAlignment="1" applyProtection="1">
      <alignment horizontal="left" vertical="center" wrapText="1"/>
      <protection locked="0"/>
    </xf>
    <xf numFmtId="0" fontId="41" fillId="27" borderId="45" xfId="27" applyNumberFormat="1" applyFont="1" applyFill="1" applyBorder="1" applyAlignment="1" applyProtection="1">
      <alignment horizontal="center" vertical="center" wrapText="1"/>
    </xf>
    <xf numFmtId="0" fontId="41" fillId="27" borderId="48" xfId="27" applyNumberFormat="1" applyFont="1" applyFill="1" applyBorder="1" applyAlignment="1" applyProtection="1">
      <alignment horizontal="center" vertical="center" wrapText="1"/>
    </xf>
    <xf numFmtId="0" fontId="40" fillId="27" borderId="8" xfId="27" applyNumberFormat="1" applyFont="1" applyFill="1" applyBorder="1" applyAlignment="1" applyProtection="1">
      <alignment horizontal="center" vertical="center" wrapText="1"/>
      <protection locked="0"/>
    </xf>
    <xf numFmtId="0" fontId="40" fillId="27" borderId="29" xfId="27" applyNumberFormat="1" applyFont="1" applyFill="1" applyBorder="1" applyAlignment="1" applyProtection="1">
      <alignment horizontal="center" vertical="center" wrapText="1"/>
      <protection locked="0"/>
    </xf>
    <xf numFmtId="0" fontId="40" fillId="27" borderId="8" xfId="0" applyNumberFormat="1" applyFont="1" applyFill="1" applyBorder="1" applyAlignment="1" applyProtection="1">
      <alignment horizontal="center" vertical="center" wrapText="1"/>
      <protection locked="0"/>
    </xf>
    <xf numFmtId="0" fontId="40" fillId="27" borderId="9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2" xfId="0" applyFont="1" applyFill="1" applyBorder="1" applyAlignment="1">
      <alignment horizontal="center" vertical="center"/>
    </xf>
    <xf numFmtId="14" fontId="0" fillId="0" borderId="12" xfId="0" applyNumberFormat="1" applyFont="1" applyFill="1" applyBorder="1" applyAlignment="1">
      <alignment horizontal="center" vertical="center"/>
    </xf>
    <xf numFmtId="0" fontId="83" fillId="0" borderId="12" xfId="0" applyFont="1" applyFill="1" applyBorder="1" applyAlignment="1">
      <alignment horizontal="left" vertical="center"/>
    </xf>
    <xf numFmtId="0" fontId="84" fillId="0" borderId="0" xfId="0" applyFont="1" applyFill="1" applyBorder="1" applyAlignment="1">
      <alignment horizontal="left" vertical="center" wrapText="1"/>
    </xf>
    <xf numFmtId="0" fontId="83" fillId="0" borderId="12" xfId="0" applyFont="1" applyFill="1" applyBorder="1" applyAlignment="1">
      <alignment horizontal="center" vertical="center" wrapText="1"/>
    </xf>
    <xf numFmtId="0" fontId="84" fillId="0" borderId="12" xfId="0" applyFont="1" applyFill="1" applyBorder="1" applyAlignment="1">
      <alignment horizontal="center" vertical="center" wrapText="1"/>
    </xf>
    <xf numFmtId="0" fontId="83" fillId="0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horizontal="center" vertical="center"/>
    </xf>
    <xf numFmtId="0" fontId="45" fillId="0" borderId="0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horizontal="center"/>
    </xf>
    <xf numFmtId="0" fontId="45" fillId="0" borderId="0" xfId="0" applyFont="1" applyFill="1" applyBorder="1" applyAlignment="1">
      <alignment horizontal="center"/>
    </xf>
    <xf numFmtId="0" fontId="83" fillId="0" borderId="54" xfId="0" applyFont="1" applyFill="1" applyBorder="1" applyAlignment="1">
      <alignment horizontal="center" vertical="center" wrapText="1"/>
    </xf>
    <xf numFmtId="0" fontId="84" fillId="0" borderId="54" xfId="0" applyFont="1" applyFill="1" applyBorder="1" applyAlignment="1">
      <alignment horizontal="center" vertical="center" wrapText="1"/>
    </xf>
    <xf numFmtId="0" fontId="6" fillId="0" borderId="54" xfId="0" applyFont="1" applyFill="1" applyBorder="1" applyAlignment="1">
      <alignment horizontal="center"/>
    </xf>
    <xf numFmtId="49" fontId="48" fillId="0" borderId="54" xfId="0" applyNumberFormat="1" applyFont="1" applyFill="1" applyBorder="1" applyAlignment="1">
      <alignment horizontal="left" vertical="center" wrapText="1"/>
    </xf>
    <xf numFmtId="0" fontId="85" fillId="0" borderId="0" xfId="0" applyFont="1" applyFill="1" applyBorder="1" applyAlignment="1">
      <alignment horizontal="left" vertical="center" wrapText="1"/>
    </xf>
    <xf numFmtId="0" fontId="85" fillId="0" borderId="54" xfId="0" applyFont="1" applyFill="1" applyBorder="1" applyAlignment="1">
      <alignment horizontal="center" vertical="center" wrapText="1"/>
    </xf>
    <xf numFmtId="0" fontId="46" fillId="0" borderId="54" xfId="0" applyFont="1" applyFill="1" applyBorder="1" applyAlignment="1">
      <alignment horizontal="center"/>
    </xf>
    <xf numFmtId="0" fontId="47" fillId="0" borderId="0" xfId="0" applyFont="1" applyFill="1" applyBorder="1" applyAlignment="1">
      <alignment horizontal="center"/>
    </xf>
    <xf numFmtId="0" fontId="46" fillId="0" borderId="12" xfId="0" applyFont="1" applyFill="1" applyBorder="1" applyAlignment="1">
      <alignment horizontal="center" vertical="center"/>
    </xf>
    <xf numFmtId="0" fontId="49" fillId="0" borderId="12" xfId="0" applyFont="1" applyFill="1" applyBorder="1" applyAlignment="1" applyProtection="1">
      <alignment horizontal="center" vertical="center" wrapText="1"/>
      <protection locked="0"/>
    </xf>
    <xf numFmtId="14" fontId="38" fillId="27" borderId="27" xfId="33" applyNumberFormat="1" applyFont="1" applyFill="1" applyBorder="1" applyAlignment="1" applyProtection="1">
      <alignment horizontal="center" vertical="center" wrapText="1"/>
      <protection locked="0"/>
    </xf>
    <xf numFmtId="0" fontId="38" fillId="27" borderId="27" xfId="33" applyNumberFormat="1" applyFont="1" applyFill="1" applyBorder="1" applyAlignment="1" applyProtection="1">
      <alignment horizontal="center" vertical="center" wrapText="1"/>
      <protection locked="0"/>
    </xf>
    <xf numFmtId="0" fontId="32" fillId="27" borderId="8" xfId="33" applyNumberFormat="1" applyFont="1" applyFill="1" applyBorder="1" applyAlignment="1" applyProtection="1">
      <alignment horizontal="center" vertical="center" wrapText="1"/>
      <protection locked="0"/>
    </xf>
    <xf numFmtId="0" fontId="79" fillId="27" borderId="54" xfId="0" applyNumberFormat="1" applyFont="1" applyFill="1" applyBorder="1" applyAlignment="1" applyProtection="1">
      <alignment horizontal="center" vertical="center" wrapText="1"/>
      <protection locked="0"/>
    </xf>
    <xf numFmtId="0" fontId="74" fillId="27" borderId="52" xfId="0" applyNumberFormat="1" applyFont="1" applyFill="1" applyBorder="1" applyAlignment="1" applyProtection="1">
      <alignment horizontal="center" vertical="center" wrapText="1"/>
      <protection locked="0"/>
    </xf>
    <xf numFmtId="0" fontId="74" fillId="27" borderId="52" xfId="0" applyFont="1" applyFill="1" applyBorder="1" applyAlignment="1">
      <alignment horizontal="center" vertical="center" wrapText="1"/>
    </xf>
    <xf numFmtId="0" fontId="80" fillId="27" borderId="0" xfId="0" applyNumberFormat="1" applyFont="1" applyFill="1" applyBorder="1" applyAlignment="1" applyProtection="1">
      <alignment horizontal="center" vertical="center" wrapText="1"/>
      <protection locked="0"/>
    </xf>
    <xf numFmtId="0" fontId="16" fillId="27" borderId="12" xfId="0" applyNumberFormat="1" applyFont="1" applyFill="1" applyBorder="1" applyAlignment="1" applyProtection="1">
      <alignment horizontal="center" vertical="center" wrapText="1"/>
      <protection locked="0"/>
    </xf>
    <xf numFmtId="0" fontId="36" fillId="27" borderId="46" xfId="27" applyNumberFormat="1" applyFont="1" applyFill="1" applyBorder="1" applyAlignment="1" applyProtection="1">
      <alignment horizontal="center" vertical="center" wrapText="1"/>
    </xf>
    <xf numFmtId="0" fontId="74" fillId="0" borderId="27" xfId="27" applyNumberFormat="1" applyFont="1" applyFill="1" applyBorder="1" applyAlignment="1" applyProtection="1">
      <alignment horizontal="center" vertical="center" wrapText="1"/>
      <protection locked="0"/>
    </xf>
    <xf numFmtId="0" fontId="5" fillId="27" borderId="8" xfId="0" applyFont="1" applyFill="1" applyBorder="1" applyAlignment="1">
      <alignment horizontal="center" vertical="center"/>
    </xf>
    <xf numFmtId="0" fontId="40" fillId="0" borderId="27" xfId="27" applyNumberFormat="1" applyFont="1" applyFill="1" applyBorder="1" applyAlignment="1" applyProtection="1">
      <alignment horizontal="center" vertical="center" wrapText="1"/>
      <protection locked="0"/>
    </xf>
    <xf numFmtId="0" fontId="40" fillId="0" borderId="30" xfId="27" applyNumberFormat="1" applyFont="1" applyFill="1" applyBorder="1" applyAlignment="1" applyProtection="1">
      <alignment horizontal="center" vertical="center" wrapText="1"/>
      <protection locked="0"/>
    </xf>
    <xf numFmtId="0" fontId="38" fillId="27" borderId="30" xfId="27" applyNumberFormat="1" applyFont="1" applyFill="1" applyBorder="1" applyAlignment="1" applyProtection="1">
      <alignment horizontal="center" vertical="center" wrapText="1"/>
      <protection locked="0"/>
    </xf>
    <xf numFmtId="0" fontId="40" fillId="0" borderId="27" xfId="0" applyNumberFormat="1" applyFont="1" applyFill="1" applyBorder="1" applyAlignment="1" applyProtection="1">
      <alignment horizontal="center" vertical="center" wrapText="1"/>
      <protection locked="0"/>
    </xf>
    <xf numFmtId="0" fontId="40" fillId="0" borderId="31" xfId="0" applyNumberFormat="1" applyFont="1" applyFill="1" applyBorder="1" applyAlignment="1" applyProtection="1">
      <alignment horizontal="center" vertical="center" wrapText="1"/>
      <protection locked="0"/>
    </xf>
    <xf numFmtId="0" fontId="74" fillId="0" borderId="54" xfId="0" applyNumberFormat="1" applyFont="1" applyFill="1" applyBorder="1" applyAlignment="1" applyProtection="1">
      <alignment horizontal="left" vertical="center" wrapText="1"/>
      <protection locked="0"/>
    </xf>
    <xf numFmtId="0" fontId="87" fillId="27" borderId="12" xfId="0" applyFont="1" applyFill="1" applyBorder="1" applyAlignment="1">
      <alignment horizontal="center" vertical="center" wrapText="1"/>
    </xf>
    <xf numFmtId="0" fontId="88" fillId="27" borderId="47" xfId="27" applyNumberFormat="1" applyFont="1" applyFill="1" applyBorder="1" applyAlignment="1" applyProtection="1">
      <alignment horizontal="center" vertical="center" wrapText="1"/>
    </xf>
    <xf numFmtId="0" fontId="77" fillId="27" borderId="9" xfId="0" applyNumberFormat="1" applyFont="1" applyFill="1" applyBorder="1" applyAlignment="1" applyProtection="1">
      <alignment horizontal="center" vertical="center" wrapText="1"/>
      <protection locked="0"/>
    </xf>
    <xf numFmtId="0" fontId="16" fillId="27" borderId="0" xfId="0" applyNumberFormat="1" applyFont="1" applyFill="1" applyBorder="1" applyAlignment="1" applyProtection="1">
      <alignment horizontal="left" vertical="center" wrapText="1"/>
      <protection locked="0"/>
    </xf>
    <xf numFmtId="0" fontId="74" fillId="27" borderId="8" xfId="0" applyNumberFormat="1" applyFont="1" applyFill="1" applyBorder="1" applyAlignment="1" applyProtection="1">
      <alignment vertical="center" wrapText="1"/>
      <protection locked="0"/>
    </xf>
    <xf numFmtId="0" fontId="16" fillId="29" borderId="0" xfId="0" applyFont="1" applyFill="1" applyBorder="1"/>
    <xf numFmtId="0" fontId="16" fillId="29" borderId="0" xfId="0" applyFont="1" applyFill="1" applyBorder="1" applyAlignment="1">
      <alignment horizontal="center" vertical="center"/>
    </xf>
    <xf numFmtId="0" fontId="73" fillId="27" borderId="8" xfId="0" applyFont="1" applyFill="1" applyBorder="1" applyAlignment="1">
      <alignment horizontal="center" vertical="center"/>
    </xf>
    <xf numFmtId="0" fontId="18" fillId="0" borderId="12" xfId="0" applyFont="1" applyFill="1" applyBorder="1" applyAlignment="1">
      <alignment horizontal="center"/>
    </xf>
    <xf numFmtId="14" fontId="43" fillId="0" borderId="12" xfId="0" applyNumberFormat="1" applyFont="1" applyFill="1" applyBorder="1" applyAlignment="1">
      <alignment horizontal="center"/>
    </xf>
    <xf numFmtId="0" fontId="82" fillId="0" borderId="12" xfId="0" applyFont="1" applyFill="1" applyBorder="1" applyAlignment="1">
      <alignment horizontal="left" vertical="center"/>
    </xf>
    <xf numFmtId="0" fontId="72" fillId="0" borderId="12" xfId="0" applyFont="1" applyFill="1" applyBorder="1" applyAlignment="1">
      <alignment horizontal="left" vertical="center" wrapText="1"/>
    </xf>
    <xf numFmtId="0" fontId="43" fillId="0" borderId="12" xfId="0" applyFont="1" applyFill="1" applyBorder="1" applyAlignment="1">
      <alignment horizontal="center"/>
    </xf>
    <xf numFmtId="0" fontId="20" fillId="0" borderId="12" xfId="0" applyFont="1" applyFill="1" applyBorder="1" applyAlignment="1">
      <alignment horizontal="center"/>
    </xf>
    <xf numFmtId="0" fontId="74" fillId="29" borderId="27" xfId="0" applyNumberFormat="1" applyFont="1" applyFill="1" applyBorder="1" applyAlignment="1" applyProtection="1">
      <alignment horizontal="center" vertical="center" wrapText="1"/>
    </xf>
    <xf numFmtId="14" fontId="40" fillId="27" borderId="8" xfId="33" applyNumberFormat="1" applyFont="1" applyFill="1" applyBorder="1" applyAlignment="1" applyProtection="1">
      <alignment horizontal="center" vertical="center" wrapText="1"/>
      <protection locked="0"/>
    </xf>
    <xf numFmtId="14" fontId="40" fillId="29" borderId="8" xfId="33" applyNumberFormat="1" applyFont="1" applyFill="1" applyBorder="1" applyAlignment="1" applyProtection="1">
      <alignment horizontal="center" vertical="center" wrapText="1"/>
      <protection locked="0"/>
    </xf>
    <xf numFmtId="14" fontId="38" fillId="27" borderId="8" xfId="33" applyNumberFormat="1" applyFont="1" applyFill="1" applyBorder="1" applyAlignment="1" applyProtection="1">
      <alignment horizontal="center" vertical="center" wrapText="1"/>
      <protection locked="0"/>
    </xf>
    <xf numFmtId="14" fontId="40" fillId="0" borderId="8" xfId="33" applyNumberFormat="1" applyFont="1" applyFill="1" applyBorder="1" applyAlignment="1" applyProtection="1">
      <alignment horizontal="center" vertical="center" wrapText="1"/>
      <protection locked="0"/>
    </xf>
    <xf numFmtId="14" fontId="16" fillId="29" borderId="12" xfId="33" applyNumberFormat="1" applyFont="1" applyFill="1" applyBorder="1" applyAlignment="1" applyProtection="1">
      <alignment horizontal="center" vertical="center" wrapText="1"/>
      <protection locked="0"/>
    </xf>
    <xf numFmtId="14" fontId="32" fillId="27" borderId="8" xfId="33" applyNumberFormat="1" applyFont="1" applyFill="1" applyBorder="1" applyAlignment="1" applyProtection="1">
      <alignment horizontal="center" vertical="center" wrapText="1"/>
      <protection locked="0"/>
    </xf>
    <xf numFmtId="0" fontId="16" fillId="0" borderId="8" xfId="33" applyNumberFormat="1" applyFont="1" applyFill="1" applyBorder="1" applyAlignment="1" applyProtection="1">
      <alignment horizontal="center" vertical="center" wrapText="1"/>
      <protection locked="0"/>
    </xf>
    <xf numFmtId="0" fontId="77" fillId="27" borderId="27" xfId="33" applyNumberFormat="1" applyFont="1" applyFill="1" applyBorder="1" applyAlignment="1" applyProtection="1">
      <alignment horizontal="left" vertical="center" wrapText="1"/>
      <protection locked="0"/>
    </xf>
    <xf numFmtId="0" fontId="74" fillId="29" borderId="27" xfId="33" applyNumberFormat="1" applyFont="1" applyFill="1" applyBorder="1" applyAlignment="1" applyProtection="1">
      <alignment horizontal="center" vertical="center" wrapText="1"/>
      <protection locked="0"/>
    </xf>
    <xf numFmtId="0" fontId="74" fillId="0" borderId="0" xfId="33" applyNumberFormat="1" applyFont="1" applyFill="1" applyBorder="1" applyAlignment="1" applyProtection="1">
      <alignment horizontal="center" vertical="center" wrapText="1"/>
      <protection locked="0"/>
    </xf>
    <xf numFmtId="0" fontId="74" fillId="0" borderId="8" xfId="33" applyNumberFormat="1" applyFont="1" applyFill="1" applyBorder="1" applyAlignment="1" applyProtection="1">
      <alignment horizontal="left" vertical="center" wrapText="1"/>
      <protection locked="0"/>
    </xf>
    <xf numFmtId="0" fontId="74" fillId="32" borderId="72" xfId="0" applyFont="1" applyFill="1" applyBorder="1" applyAlignment="1">
      <alignment horizontal="left" vertical="center" wrapText="1"/>
    </xf>
    <xf numFmtId="0" fontId="74" fillId="0" borderId="27" xfId="0" applyNumberFormat="1" applyFont="1" applyFill="1" applyBorder="1" applyAlignment="1" applyProtection="1">
      <alignment horizontal="left" vertical="center" wrapText="1"/>
      <protection locked="0"/>
    </xf>
    <xf numFmtId="0" fontId="74" fillId="29" borderId="82" xfId="0" applyFont="1" applyFill="1" applyBorder="1" applyAlignment="1">
      <alignment horizontal="left" vertical="center" wrapText="1"/>
    </xf>
    <xf numFmtId="0" fontId="74" fillId="27" borderId="27" xfId="43" applyNumberFormat="1" applyFont="1" applyFill="1" applyBorder="1" applyAlignment="1" applyProtection="1">
      <alignment horizontal="left" vertical="center" wrapText="1"/>
      <protection locked="0"/>
    </xf>
    <xf numFmtId="0" fontId="80" fillId="27" borderId="8" xfId="0" applyNumberFormat="1" applyFont="1" applyFill="1" applyBorder="1" applyAlignment="1" applyProtection="1">
      <alignment horizontal="left" vertical="center" wrapText="1"/>
      <protection locked="0"/>
    </xf>
    <xf numFmtId="0" fontId="74" fillId="30" borderId="0" xfId="0" applyFont="1" applyFill="1" applyBorder="1" applyAlignment="1">
      <alignment horizontal="left" vertical="center" wrapText="1"/>
    </xf>
    <xf numFmtId="0" fontId="74" fillId="32" borderId="72" xfId="0" applyFont="1" applyFill="1" applyBorder="1" applyAlignment="1">
      <alignment horizontal="center" vertical="center"/>
    </xf>
    <xf numFmtId="0" fontId="74" fillId="29" borderId="82" xfId="0" applyFont="1" applyFill="1" applyBorder="1" applyAlignment="1">
      <alignment horizontal="center" vertical="center"/>
    </xf>
    <xf numFmtId="0" fontId="16" fillId="27" borderId="27" xfId="0" applyNumberFormat="1" applyFont="1" applyFill="1" applyBorder="1" applyAlignment="1" applyProtection="1">
      <alignment horizontal="center" vertical="center"/>
      <protection locked="0"/>
    </xf>
    <xf numFmtId="0" fontId="74" fillId="30" borderId="0" xfId="0" applyFont="1" applyFill="1" applyBorder="1" applyAlignment="1">
      <alignment horizontal="center" vertical="center"/>
    </xf>
    <xf numFmtId="0" fontId="79" fillId="32" borderId="78" xfId="0" applyFont="1" applyFill="1" applyBorder="1" applyAlignment="1">
      <alignment horizontal="center" vertical="center" wrapText="1"/>
    </xf>
    <xf numFmtId="0" fontId="79" fillId="29" borderId="83" xfId="0" applyFont="1" applyFill="1" applyBorder="1" applyAlignment="1">
      <alignment horizontal="center" vertical="center" wrapText="1"/>
    </xf>
    <xf numFmtId="0" fontId="34" fillId="27" borderId="31" xfId="33" applyNumberFormat="1" applyFont="1" applyFill="1" applyBorder="1" applyAlignment="1" applyProtection="1">
      <alignment horizontal="center" vertical="center" wrapText="1"/>
      <protection locked="0"/>
    </xf>
    <xf numFmtId="0" fontId="74" fillId="27" borderId="31" xfId="43" applyNumberFormat="1" applyFont="1" applyFill="1" applyBorder="1" applyAlignment="1" applyProtection="1">
      <alignment horizontal="center" vertical="center" wrapText="1"/>
      <protection locked="0"/>
    </xf>
    <xf numFmtId="0" fontId="74" fillId="27" borderId="31" xfId="0" applyNumberFormat="1" applyFont="1" applyFill="1" applyBorder="1" applyAlignment="1" applyProtection="1">
      <alignment horizontal="center" vertical="center"/>
      <protection locked="0"/>
    </xf>
    <xf numFmtId="0" fontId="33" fillId="27" borderId="31" xfId="0" applyNumberFormat="1" applyFont="1" applyFill="1" applyBorder="1" applyAlignment="1" applyProtection="1">
      <alignment horizontal="center" vertical="center" wrapText="1"/>
      <protection locked="0"/>
    </xf>
    <xf numFmtId="0" fontId="79" fillId="27" borderId="31" xfId="33" applyNumberFormat="1" applyFont="1" applyFill="1" applyBorder="1" applyAlignment="1" applyProtection="1">
      <alignment horizontal="center" vertical="center" wrapText="1"/>
      <protection locked="0"/>
    </xf>
    <xf numFmtId="0" fontId="74" fillId="29" borderId="12" xfId="0" applyNumberFormat="1" applyFont="1" applyFill="1" applyBorder="1" applyAlignment="1" applyProtection="1">
      <alignment horizontal="center" vertical="center" wrapText="1"/>
      <protection locked="0"/>
    </xf>
    <xf numFmtId="0" fontId="74" fillId="27" borderId="84" xfId="0" applyNumberFormat="1" applyFont="1" applyFill="1" applyBorder="1" applyAlignment="1" applyProtection="1">
      <alignment horizontal="center" vertical="center" wrapText="1"/>
      <protection locked="0"/>
    </xf>
    <xf numFmtId="0" fontId="79" fillId="32" borderId="79" xfId="0" applyFont="1" applyFill="1" applyBorder="1" applyAlignment="1">
      <alignment horizontal="center" vertical="center" wrapText="1"/>
    </xf>
    <xf numFmtId="0" fontId="79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79" fillId="29" borderId="79" xfId="0" applyFont="1" applyFill="1" applyBorder="1" applyAlignment="1">
      <alignment horizontal="center" vertical="center" wrapText="1"/>
    </xf>
    <xf numFmtId="0" fontId="74" fillId="27" borderId="54" xfId="43" applyNumberFormat="1" applyFont="1" applyFill="1" applyBorder="1" applyAlignment="1" applyProtection="1">
      <alignment horizontal="center" vertical="center" wrapText="1"/>
      <protection locked="0"/>
    </xf>
    <xf numFmtId="0" fontId="33" fillId="27" borderId="52" xfId="0" applyNumberFormat="1" applyFont="1" applyFill="1" applyBorder="1" applyAlignment="1" applyProtection="1">
      <alignment horizontal="center" vertical="center" wrapText="1"/>
      <protection locked="0"/>
    </xf>
    <xf numFmtId="0" fontId="74" fillId="32" borderId="72" xfId="0" applyFont="1" applyFill="1" applyBorder="1" applyAlignment="1">
      <alignment horizontal="center" vertical="center" wrapText="1"/>
    </xf>
    <xf numFmtId="0" fontId="74" fillId="0" borderId="27" xfId="0" applyNumberFormat="1" applyFont="1" applyFill="1" applyBorder="1" applyAlignment="1" applyProtection="1">
      <alignment horizontal="center" vertical="center" wrapText="1"/>
      <protection locked="0"/>
    </xf>
    <xf numFmtId="0" fontId="74" fillId="29" borderId="82" xfId="0" applyFont="1" applyFill="1" applyBorder="1" applyAlignment="1">
      <alignment horizontal="center" vertical="center" wrapText="1"/>
    </xf>
    <xf numFmtId="0" fontId="77" fillId="27" borderId="0" xfId="0" applyFont="1" applyFill="1" applyBorder="1" applyAlignment="1">
      <alignment horizontal="left" vertical="center"/>
    </xf>
    <xf numFmtId="0" fontId="74" fillId="29" borderId="80" xfId="0" applyNumberFormat="1" applyFont="1" applyFill="1" applyBorder="1" applyAlignment="1" applyProtection="1">
      <alignment horizontal="center" vertical="center" wrapText="1"/>
      <protection locked="0"/>
    </xf>
    <xf numFmtId="0" fontId="73" fillId="27" borderId="12" xfId="0" applyFont="1" applyFill="1" applyBorder="1" applyAlignment="1">
      <alignment horizontal="center" vertical="center"/>
    </xf>
    <xf numFmtId="0" fontId="73" fillId="0" borderId="12" xfId="0" applyFont="1" applyBorder="1" applyAlignment="1">
      <alignment horizontal="center" vertical="center"/>
    </xf>
    <xf numFmtId="0" fontId="17" fillId="29" borderId="45" xfId="27" applyNumberFormat="1" applyFont="1" applyFill="1" applyBorder="1" applyAlignment="1" applyProtection="1">
      <alignment horizontal="center" vertical="center" wrapText="1"/>
    </xf>
    <xf numFmtId="0" fontId="39" fillId="27" borderId="50" xfId="27" applyNumberFormat="1" applyFont="1" applyFill="1" applyBorder="1" applyAlignment="1" applyProtection="1">
      <alignment horizontal="center" vertical="center" wrapText="1"/>
    </xf>
    <xf numFmtId="0" fontId="17" fillId="29" borderId="73" xfId="27" applyNumberFormat="1" applyFont="1" applyFill="1" applyBorder="1" applyAlignment="1">
      <alignment horizontal="center" vertical="center" wrapText="1"/>
    </xf>
    <xf numFmtId="0" fontId="17" fillId="0" borderId="81" xfId="27" applyNumberFormat="1" applyFont="1" applyFill="1" applyBorder="1" applyAlignment="1">
      <alignment horizontal="center" vertical="center" wrapText="1"/>
    </xf>
    <xf numFmtId="0" fontId="17" fillId="0" borderId="49" xfId="27" applyNumberFormat="1" applyFont="1" applyFill="1" applyBorder="1" applyAlignment="1">
      <alignment horizontal="center" vertical="center" wrapText="1"/>
    </xf>
    <xf numFmtId="0" fontId="41" fillId="0" borderId="50" xfId="27" applyNumberFormat="1" applyFont="1" applyFill="1" applyBorder="1" applyAlignment="1" applyProtection="1">
      <alignment horizontal="center" vertical="center" wrapText="1"/>
    </xf>
    <xf numFmtId="0" fontId="39" fillId="27" borderId="51" xfId="27" applyNumberFormat="1" applyFont="1" applyFill="1" applyBorder="1" applyAlignment="1" applyProtection="1">
      <alignment horizontal="center" vertical="center" wrapText="1"/>
    </xf>
    <xf numFmtId="0" fontId="17" fillId="29" borderId="41" xfId="27" applyNumberFormat="1" applyFont="1" applyFill="1" applyBorder="1" applyAlignment="1" applyProtection="1">
      <alignment horizontal="center" vertical="center" wrapText="1"/>
    </xf>
    <xf numFmtId="0" fontId="41" fillId="0" borderId="51" xfId="27" applyNumberFormat="1" applyFont="1" applyFill="1" applyBorder="1" applyAlignment="1" applyProtection="1">
      <alignment horizontal="center" vertical="center" wrapText="1"/>
    </xf>
    <xf numFmtId="14" fontId="74" fillId="0" borderId="27" xfId="27" applyNumberFormat="1" applyFont="1" applyFill="1" applyBorder="1" applyAlignment="1" applyProtection="1">
      <alignment horizontal="center" vertical="center" wrapText="1"/>
      <protection locked="0"/>
    </xf>
    <xf numFmtId="0" fontId="78" fillId="27" borderId="0" xfId="0" applyFont="1" applyFill="1" applyAlignment="1">
      <alignment horizontal="center" vertical="center"/>
    </xf>
    <xf numFmtId="0" fontId="5" fillId="27" borderId="0" xfId="0" applyFont="1" applyFill="1" applyBorder="1" applyAlignment="1">
      <alignment horizontal="center" vertical="center"/>
    </xf>
    <xf numFmtId="0" fontId="74" fillId="27" borderId="0" xfId="0" applyFont="1" applyFill="1" applyAlignment="1" applyProtection="1">
      <alignment horizontal="center" vertical="center" wrapText="1"/>
      <protection locked="0"/>
    </xf>
    <xf numFmtId="0" fontId="74" fillId="27" borderId="0" xfId="0" applyNumberFormat="1" applyFont="1" applyFill="1" applyAlignment="1" applyProtection="1">
      <alignment horizontal="center" vertical="center" wrapText="1"/>
      <protection locked="0"/>
    </xf>
    <xf numFmtId="0" fontId="78" fillId="27" borderId="0" xfId="0" applyFont="1" applyFill="1" applyBorder="1" applyAlignment="1">
      <alignment horizontal="center" vertical="center" wrapText="1"/>
    </xf>
    <xf numFmtId="0" fontId="74" fillId="26" borderId="72" xfId="0" quotePrefix="1" applyNumberFormat="1" applyFont="1" applyFill="1" applyBorder="1" applyAlignment="1">
      <alignment horizontal="center" vertical="center"/>
    </xf>
    <xf numFmtId="15" fontId="74" fillId="28" borderId="72" xfId="0" quotePrefix="1" applyNumberFormat="1" applyFont="1" applyFill="1" applyBorder="1" applyAlignment="1">
      <alignment horizontal="center" vertical="center"/>
    </xf>
    <xf numFmtId="0" fontId="74" fillId="0" borderId="27" xfId="0" applyNumberFormat="1" applyFont="1" applyFill="1" applyBorder="1" applyAlignment="1" applyProtection="1">
      <alignment horizontal="center" vertical="center"/>
      <protection locked="0"/>
    </xf>
    <xf numFmtId="0" fontId="74" fillId="26" borderId="72" xfId="0" quotePrefix="1" applyNumberFormat="1" applyFont="1" applyFill="1" applyBorder="1" applyAlignment="1" applyProtection="1">
      <alignment horizontal="center" vertical="center"/>
      <protection locked="0"/>
    </xf>
    <xf numFmtId="15" fontId="74" fillId="27" borderId="72" xfId="0" quotePrefix="1" applyNumberFormat="1" applyFont="1" applyFill="1" applyBorder="1" applyAlignment="1">
      <alignment horizontal="center" vertical="center"/>
    </xf>
    <xf numFmtId="0" fontId="16" fillId="29" borderId="27" xfId="27" applyNumberFormat="1" applyFont="1" applyFill="1" applyBorder="1" applyAlignment="1" applyProtection="1">
      <alignment horizontal="center" vertical="center" wrapText="1"/>
      <protection locked="0"/>
    </xf>
    <xf numFmtId="0" fontId="16" fillId="29" borderId="30" xfId="27" applyNumberFormat="1" applyFont="1" applyFill="1" applyBorder="1" applyAlignment="1" applyProtection="1">
      <alignment horizontal="center" vertical="center" wrapText="1"/>
      <protection locked="0"/>
    </xf>
    <xf numFmtId="14" fontId="16" fillId="27" borderId="29" xfId="27" applyNumberFormat="1" applyFont="1" applyFill="1" applyBorder="1" applyAlignment="1" applyProtection="1">
      <alignment horizontal="center" vertical="center" wrapText="1"/>
      <protection locked="0"/>
    </xf>
    <xf numFmtId="0" fontId="76" fillId="29" borderId="27" xfId="27" applyNumberFormat="1" applyFont="1" applyFill="1" applyBorder="1" applyAlignment="1" applyProtection="1">
      <alignment horizontal="center" vertical="center" wrapText="1"/>
      <protection locked="0"/>
    </xf>
    <xf numFmtId="0" fontId="86" fillId="27" borderId="8" xfId="27" applyNumberFormat="1" applyFont="1" applyFill="1" applyBorder="1" applyAlignment="1" applyProtection="1">
      <alignment horizontal="center" vertical="center" wrapText="1"/>
      <protection locked="0"/>
    </xf>
    <xf numFmtId="0" fontId="17" fillId="26" borderId="27" xfId="27" applyNumberFormat="1" applyFont="1" applyFill="1" applyBorder="1" applyAlignment="1" applyProtection="1">
      <alignment horizontal="center" vertical="center" wrapText="1"/>
      <protection locked="0"/>
    </xf>
    <xf numFmtId="0" fontId="16" fillId="27" borderId="27" xfId="0" applyFont="1" applyFill="1" applyBorder="1" applyAlignment="1" applyProtection="1">
      <alignment horizontal="center" vertical="center" wrapText="1"/>
      <protection locked="0"/>
    </xf>
    <xf numFmtId="0" fontId="16" fillId="29" borderId="27" xfId="0" applyNumberFormat="1" applyFont="1" applyFill="1" applyBorder="1" applyAlignment="1" applyProtection="1">
      <alignment horizontal="center" vertical="center" wrapText="1"/>
      <protection locked="0"/>
    </xf>
    <xf numFmtId="0" fontId="16" fillId="27" borderId="31" xfId="0" applyFont="1" applyFill="1" applyBorder="1" applyAlignment="1" applyProtection="1">
      <alignment horizontal="center" vertical="center" wrapText="1"/>
      <protection locked="0"/>
    </xf>
    <xf numFmtId="0" fontId="16" fillId="29" borderId="31" xfId="0" applyNumberFormat="1" applyFont="1" applyFill="1" applyBorder="1" applyAlignment="1" applyProtection="1">
      <alignment horizontal="center" vertical="center" wrapText="1"/>
      <protection locked="0"/>
    </xf>
    <xf numFmtId="0" fontId="1" fillId="33" borderId="56" xfId="0" applyNumberFormat="1" applyFont="1" applyFill="1" applyBorder="1" applyAlignment="1" applyProtection="1">
      <alignment horizontal="center" vertical="center" wrapText="1"/>
    </xf>
    <xf numFmtId="0" fontId="1" fillId="33" borderId="32" xfId="0" applyNumberFormat="1" applyFont="1" applyFill="1" applyBorder="1" applyAlignment="1" applyProtection="1">
      <alignment horizontal="center" vertical="center" wrapText="1"/>
    </xf>
    <xf numFmtId="0" fontId="1" fillId="33" borderId="57" xfId="0" applyNumberFormat="1" applyFont="1" applyFill="1" applyBorder="1" applyAlignment="1" applyProtection="1">
      <alignment horizontal="center" vertical="center" wrapText="1"/>
    </xf>
    <xf numFmtId="0" fontId="1" fillId="33" borderId="58" xfId="0" applyNumberFormat="1" applyFont="1" applyFill="1" applyBorder="1" applyAlignment="1" applyProtection="1">
      <alignment horizontal="center" vertical="center" wrapText="1"/>
    </xf>
    <xf numFmtId="0" fontId="1" fillId="0" borderId="56" xfId="0" applyNumberFormat="1" applyFont="1" applyFill="1" applyBorder="1" applyAlignment="1" applyProtection="1">
      <alignment horizontal="center" vertical="center" wrapText="1"/>
    </xf>
    <xf numFmtId="0" fontId="1" fillId="0" borderId="32" xfId="0" applyNumberFormat="1" applyFont="1" applyFill="1" applyBorder="1" applyAlignment="1" applyProtection="1">
      <alignment horizontal="center" vertical="center" wrapText="1"/>
    </xf>
    <xf numFmtId="0" fontId="1" fillId="0" borderId="59" xfId="0" applyNumberFormat="1" applyFont="1" applyFill="1" applyBorder="1" applyAlignment="1" applyProtection="1">
      <alignment horizontal="center" vertical="center" wrapText="1"/>
    </xf>
    <xf numFmtId="0" fontId="1" fillId="0" borderId="57" xfId="0" applyNumberFormat="1" applyFont="1" applyFill="1" applyBorder="1" applyAlignment="1" applyProtection="1">
      <alignment horizontal="center" vertical="center" wrapText="1"/>
    </xf>
    <xf numFmtId="0" fontId="1" fillId="0" borderId="58" xfId="0" applyNumberFormat="1" applyFont="1" applyFill="1" applyBorder="1" applyAlignment="1" applyProtection="1">
      <alignment horizontal="center" vertical="center" wrapText="1"/>
    </xf>
    <xf numFmtId="0" fontId="1" fillId="0" borderId="60" xfId="0" applyNumberFormat="1" applyFont="1" applyFill="1" applyBorder="1" applyAlignment="1" applyProtection="1">
      <alignment horizontal="center" vertical="center" wrapText="1"/>
    </xf>
    <xf numFmtId="0" fontId="89" fillId="34" borderId="61" xfId="0" applyNumberFormat="1" applyFont="1" applyFill="1" applyBorder="1" applyAlignment="1" applyProtection="1">
      <alignment horizontal="center" vertical="center" shrinkToFit="1"/>
      <protection locked="0"/>
    </xf>
    <xf numFmtId="0" fontId="89" fillId="34" borderId="62" xfId="0" applyNumberFormat="1" applyFont="1" applyFill="1" applyBorder="1" applyAlignment="1" applyProtection="1">
      <alignment horizontal="center" vertical="center" shrinkToFit="1"/>
      <protection locked="0"/>
    </xf>
    <xf numFmtId="0" fontId="10" fillId="35" borderId="56" xfId="0" applyNumberFormat="1" applyFont="1" applyFill="1" applyBorder="1" applyAlignment="1" applyProtection="1">
      <alignment horizontal="center" vertical="center" wrapText="1"/>
      <protection locked="0"/>
    </xf>
    <xf numFmtId="0" fontId="10" fillId="35" borderId="32" xfId="0" applyNumberFormat="1" applyFont="1" applyFill="1" applyBorder="1" applyAlignment="1" applyProtection="1">
      <alignment horizontal="center" vertical="center" wrapText="1"/>
      <protection locked="0"/>
    </xf>
    <xf numFmtId="0" fontId="10" fillId="35" borderId="59" xfId="0" applyNumberFormat="1" applyFont="1" applyFill="1" applyBorder="1" applyAlignment="1" applyProtection="1">
      <alignment horizontal="center" vertical="center" wrapText="1"/>
      <protection locked="0"/>
    </xf>
    <xf numFmtId="0" fontId="10" fillId="35" borderId="57" xfId="0" applyNumberFormat="1" applyFont="1" applyFill="1" applyBorder="1" applyAlignment="1" applyProtection="1">
      <alignment horizontal="center" vertical="center" wrapText="1"/>
      <protection locked="0"/>
    </xf>
    <xf numFmtId="0" fontId="10" fillId="35" borderId="58" xfId="0" applyNumberFormat="1" applyFont="1" applyFill="1" applyBorder="1" applyAlignment="1" applyProtection="1">
      <alignment horizontal="center" vertical="center" wrapText="1"/>
      <protection locked="0"/>
    </xf>
    <xf numFmtId="0" fontId="10" fillId="35" borderId="60" xfId="0" applyNumberFormat="1" applyFont="1" applyFill="1" applyBorder="1" applyAlignment="1" applyProtection="1">
      <alignment horizontal="center" vertical="center" wrapText="1"/>
      <protection locked="0"/>
    </xf>
    <xf numFmtId="0" fontId="11" fillId="33" borderId="56" xfId="0" applyNumberFormat="1" applyFont="1" applyFill="1" applyBorder="1" applyAlignment="1" applyProtection="1">
      <alignment horizontal="center" vertical="center" wrapText="1"/>
      <protection locked="0"/>
    </xf>
    <xf numFmtId="0" fontId="11" fillId="33" borderId="32" xfId="0" applyNumberFormat="1" applyFont="1" applyFill="1" applyBorder="1" applyAlignment="1" applyProtection="1">
      <alignment horizontal="center" vertical="center" wrapText="1"/>
      <protection locked="0"/>
    </xf>
    <xf numFmtId="0" fontId="11" fillId="33" borderId="59" xfId="0" applyNumberFormat="1" applyFont="1" applyFill="1" applyBorder="1" applyAlignment="1" applyProtection="1">
      <alignment horizontal="center" vertical="center" wrapText="1"/>
      <protection locked="0"/>
    </xf>
    <xf numFmtId="0" fontId="11" fillId="33" borderId="57" xfId="0" applyNumberFormat="1" applyFont="1" applyFill="1" applyBorder="1" applyAlignment="1" applyProtection="1">
      <alignment horizontal="center" vertical="center" wrapText="1"/>
      <protection locked="0"/>
    </xf>
    <xf numFmtId="0" fontId="11" fillId="33" borderId="58" xfId="0" applyNumberFormat="1" applyFont="1" applyFill="1" applyBorder="1" applyAlignment="1" applyProtection="1">
      <alignment horizontal="center" vertical="center" wrapText="1"/>
      <protection locked="0"/>
    </xf>
    <xf numFmtId="0" fontId="11" fillId="33" borderId="60" xfId="0" applyNumberFormat="1" applyFont="1" applyFill="1" applyBorder="1" applyAlignment="1" applyProtection="1">
      <alignment horizontal="center" vertical="center" wrapText="1"/>
      <protection locked="0"/>
    </xf>
    <xf numFmtId="0" fontId="89" fillId="34" borderId="56" xfId="0" applyNumberFormat="1" applyFont="1" applyFill="1" applyBorder="1" applyAlignment="1" applyProtection="1">
      <alignment horizontal="center" vertical="center" shrinkToFit="1"/>
      <protection locked="0"/>
    </xf>
    <xf numFmtId="0" fontId="89" fillId="34" borderId="59" xfId="0" applyNumberFormat="1" applyFont="1" applyFill="1" applyBorder="1" applyAlignment="1" applyProtection="1">
      <alignment horizontal="center" vertical="center" shrinkToFit="1"/>
      <protection locked="0"/>
    </xf>
    <xf numFmtId="0" fontId="89" fillId="34" borderId="57" xfId="0" applyNumberFormat="1" applyFont="1" applyFill="1" applyBorder="1" applyAlignment="1" applyProtection="1">
      <alignment horizontal="center" vertical="center" shrinkToFit="1"/>
      <protection locked="0"/>
    </xf>
    <xf numFmtId="0" fontId="89" fillId="34" borderId="60" xfId="0" applyNumberFormat="1" applyFont="1" applyFill="1" applyBorder="1" applyAlignment="1" applyProtection="1">
      <alignment horizontal="center" vertical="center" shrinkToFit="1"/>
      <protection locked="0"/>
    </xf>
    <xf numFmtId="0" fontId="11" fillId="24" borderId="12" xfId="0" applyFont="1" applyFill="1" applyBorder="1" applyAlignment="1">
      <alignment horizontal="center"/>
    </xf>
    <xf numFmtId="0" fontId="11" fillId="25" borderId="12" xfId="0" applyFont="1" applyFill="1" applyBorder="1" applyAlignment="1">
      <alignment horizontal="center" vertical="center"/>
    </xf>
  </cellXfs>
  <cellStyles count="50">
    <cellStyle name="60% — akcent 1 2" xfId="1"/>
    <cellStyle name="60% — akcent 2 2" xfId="2"/>
    <cellStyle name="60% — akcent 3 2" xfId="3"/>
    <cellStyle name="60% — akcent 4 2" xfId="4"/>
    <cellStyle name="60% — akcent 5 2" xfId="5"/>
    <cellStyle name="60% — akcent 6 2" xfId="6"/>
    <cellStyle name="Akcent 1" xfId="7" builtinId="29" customBuiltin="1"/>
    <cellStyle name="Akcent 2" xfId="8" builtinId="33" customBuiltin="1"/>
    <cellStyle name="Akcent 3" xfId="9" builtinId="37" customBuiltin="1"/>
    <cellStyle name="Akcent 4" xfId="10" builtinId="41" customBuiltin="1"/>
    <cellStyle name="Akcent 5" xfId="11" builtinId="45" customBuiltin="1"/>
    <cellStyle name="Akcent 6" xfId="12" builtinId="49" customBuiltin="1"/>
    <cellStyle name="ColStyle1" xfId="13"/>
    <cellStyle name="ColStyle1 2" xfId="14"/>
    <cellStyle name="ColStyle2" xfId="15"/>
    <cellStyle name="ColStyle2 2" xfId="16"/>
    <cellStyle name="ColStyle3" xfId="17"/>
    <cellStyle name="ColStyle3 2" xfId="18"/>
    <cellStyle name="ColStyle4" xfId="19"/>
    <cellStyle name="ColStyle4 2" xfId="20"/>
    <cellStyle name="ColStyle5" xfId="21"/>
    <cellStyle name="ColStyle5 2" xfId="22"/>
    <cellStyle name="ColStyle6" xfId="23"/>
    <cellStyle name="ColStyle6 2" xfId="24"/>
    <cellStyle name="Dane wejściowe" xfId="25" builtinId="20" customBuiltin="1"/>
    <cellStyle name="Dane wyjściowe" xfId="26" builtinId="21" customBuiltin="1"/>
    <cellStyle name="Dobre" xfId="27" builtinId="26"/>
    <cellStyle name="Dziesiętny 2" xfId="28"/>
    <cellStyle name="Dziesiętny 3" xfId="29"/>
    <cellStyle name="Dziesiętny 3 2" xfId="30"/>
    <cellStyle name="Excel Built-in Normal" xfId="31"/>
    <cellStyle name="Excel_BuiltIn_Dane wejściowe 1" xfId="32"/>
    <cellStyle name="Hiperłącze" xfId="33" builtinId="8"/>
    <cellStyle name="Komórka połączona" xfId="34" builtinId="24" customBuiltin="1"/>
    <cellStyle name="Komórka zaznaczona" xfId="35" builtinId="23" customBuiltin="1"/>
    <cellStyle name="Nagłówek 1" xfId="36" builtinId="16" customBuiltin="1"/>
    <cellStyle name="Nagłówek 2" xfId="37" builtinId="17" customBuiltin="1"/>
    <cellStyle name="Nagłówek 3" xfId="38" builtinId="18" customBuiltin="1"/>
    <cellStyle name="Nagłówek 4" xfId="39" builtinId="19" customBuiltin="1"/>
    <cellStyle name="Neutralny 2" xfId="40"/>
    <cellStyle name="Normalny" xfId="0" builtinId="0"/>
    <cellStyle name="Normalny 2" xfId="41"/>
    <cellStyle name="Normalny 2 2" xfId="42"/>
    <cellStyle name="Normalny 3" xfId="43"/>
    <cellStyle name="Obliczenia" xfId="44" builtinId="22" customBuiltin="1"/>
    <cellStyle name="Suma" xfId="45" builtinId="25" customBuiltin="1"/>
    <cellStyle name="Tekst objaśnienia" xfId="46" builtinId="53" customBuiltin="1"/>
    <cellStyle name="Tekst ostrzeżenia" xfId="47" builtinId="11" customBuiltin="1"/>
    <cellStyle name="Tytuł" xfId="48" builtinId="15" customBuiltin="1"/>
    <cellStyle name="Uwaga 2" xfId="49"/>
  </cellStyles>
  <dxfs count="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3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3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3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3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3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3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3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alignment horizontal="center" vertical="center" textRotation="0" wrapText="1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3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</border>
    </dxf>
    <dxf>
      <fill>
        <patternFill patternType="none">
          <fgColor indexed="64"/>
          <bgColor indexed="65"/>
        </patternFill>
      </fill>
      <alignment horizontal="center" textRotation="0" indent="0" relativeIndent="255" justifyLastLine="0" shrinkToFit="0" mergeCell="0" readingOrder="0"/>
    </dxf>
    <dxf>
      <border outline="0">
        <bottom style="hair">
          <color indexed="8"/>
        </bottom>
      </border>
    </dxf>
    <dxf>
      <alignment horizontal="center" vertical="center" textRotation="0" wrapText="1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 outline="0">
        <left style="medium">
          <color indexed="64"/>
        </left>
        <right style="thin">
          <color indexed="64"/>
        </right>
        <top/>
        <bottom style="thin">
          <color indexed="0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 outline="0">
        <left style="medium">
          <color indexed="64"/>
        </left>
        <right style="thick">
          <color indexed="64"/>
        </right>
        <top style="thin">
          <color indexed="0"/>
        </top>
        <bottom style="thin">
          <color indexed="0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 outline="0">
        <left/>
        <right style="medium">
          <color indexed="64"/>
        </right>
        <top/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 outline="0">
        <left style="thick">
          <color indexed="64"/>
        </left>
        <right/>
        <top style="thin">
          <color indexed="0"/>
        </top>
        <bottom style="thin">
          <color indexed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>
        <left style="thin">
          <color indexed="64"/>
        </left>
        <right/>
        <top/>
        <bottom style="thin">
          <color indexed="0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>
        <left style="thick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outline val="0"/>
        <shadow val="0"/>
        <vertAlign val="baseline"/>
        <sz val="14"/>
        <name val="Arial"/>
        <scheme val="none"/>
      </font>
    </dxf>
    <dxf>
      <border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relativeIndent="255" justifyLastLine="0" shrinkToFit="0" mergeCell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/>
        <i val="0"/>
      </font>
      <fill>
        <patternFill>
          <bgColor rgb="FFFFFF00"/>
        </patternFill>
      </fill>
    </dxf>
    <dxf>
      <font>
        <color theme="0" tint="-0.34998626667073579"/>
      </font>
    </dxf>
    <dxf>
      <font>
        <color rgb="FFFF0000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6E6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98" name="Tabela399" displayName="Tabela399" ref="A5:AO536" headerRowDxfId="65" dataDxfId="63" headerRowBorderDxfId="64" tableBorderDxfId="62" totalsRowBorderDxfId="61">
  <autoFilter ref="A5:AO536"/>
  <tableColumns count="41">
    <tableColumn id="1" name="Lp" totalsRowLabel="Suma" dataDxfId="60"/>
    <tableColumn id="26" name="Data wpisania&#10;dd-mm-yyyy" dataDxfId="59" dataCellStyle="Hiperłącze"/>
    <tableColumn id="8" name="Konstruktor" dataDxfId="58" dataCellStyle="Hiperłącze"/>
    <tableColumn id="117" name="ID. Części" dataDxfId="57" dataCellStyle="Hiperłącze"/>
    <tableColumn id="118" name="Rewizja" dataDxfId="56" dataCellStyle="Hiperłącze"/>
    <tableColumn id="73" name="Opis" dataDxfId="55"/>
    <tableColumn id="115" name="Nr. Części " dataDxfId="54"/>
    <tableColumn id="96" name="Nr. Kat." dataDxfId="53"/>
    <tableColumn id="4" name="Producent" dataDxfId="52"/>
    <tableColumn id="5" name="Obróbka" dataDxfId="51"/>
    <tableColumn id="66" name="Obróbka cieplna" dataDxfId="50"/>
    <tableColumn id="67" name="Powłoka" dataDxfId="49"/>
    <tableColumn id="105" name="Nazwa Podzespołu" dataDxfId="48"/>
    <tableColumn id="28" name="Uwagi" dataDxfId="47"/>
    <tableColumn id="119" name="Potrzebne" dataDxfId="46"/>
    <tableColumn id="90" name="100 - Zespół Ramy Transportera" dataDxfId="45"/>
    <tableColumn id="91" name="200 - Montaż Bumper" dataDxfId="44"/>
    <tableColumn id="110" name="300 - Montaż dźwigni" dataDxfId="43"/>
    <tableColumn id="111" name="400 - Montaż Trzpienia" dataDxfId="42"/>
    <tableColumn id="112" name="500 - Montaż Sprężyny" dataDxfId="41"/>
    <tableColumn id="107" name="600 - Stacja Testu" dataDxfId="40"/>
    <tableColumn id="108" name="700 - Zespół  Znakowania" dataDxfId="39"/>
    <tableColumn id="99" name="800 - Rozładunek/Pakowanie " dataDxfId="38"/>
    <tableColumn id="100" name="1927-000-00 Wygrodzenie" dataDxfId="37"/>
    <tableColumn id="101" name="11" dataDxfId="36"/>
    <tableColumn id="102" name="999 - Paletka" dataDxfId="35"/>
    <tableColumn id="16" name="ilość sztuk&#10;SUMA" dataDxfId="34" dataCellStyle="Dobre"/>
    <tableColumn id="103" name="MAGAZYN" dataDxfId="33" dataCellStyle="Dobre"/>
    <tableColumn id="104" name="Do Zamówienia" dataDxfId="32" dataCellStyle="Dobre">
      <calculatedColumnFormula>AA6-AB6</calculatedColumnFormula>
    </tableColumn>
    <tableColumn id="19" name="Data zamówienia:&#10;yyyy-mm-dd" dataDxfId="31" dataCellStyle="Dobre"/>
    <tableColumn id="20" name="Osoba kupująca" dataDxfId="30" dataCellStyle="Dobre"/>
    <tableColumn id="21" name="Numer zamówienia" dataDxfId="29"/>
    <tableColumn id="58" name="DOSTAWCA" dataDxfId="28"/>
    <tableColumn id="22" name="Wymagana data dostawy &#10;" dataDxfId="27" dataCellStyle="Dobre"/>
    <tableColumn id="23" name="Uwagi do zamówienia" dataDxfId="26" dataCellStyle="Dobre"/>
    <tableColumn id="24" name="Ilość dostarczona" dataDxfId="25" dataCellStyle="Dobre"/>
    <tableColumn id="120" name="Braki" dataDxfId="24" dataCellStyle="Dobre"/>
    <tableColumn id="25" name="Uwagi2" dataDxfId="23" dataCellStyle="Dobre"/>
    <tableColumn id="57" name="Data inspekcji" dataDxfId="22"/>
    <tableColumn id="74" name="Uwagi Inspektora" dataDxfId="21"/>
    <tableColumn id="121" name="Notatki" totalsRowFunction="count" dataDxfId="20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1530" name="Tabela7" displayName="Tabela7" ref="A2:S160" totalsRowShown="0" headerRowDxfId="19" dataDxfId="17" headerRowBorderDxfId="18" tableBorderDxfId="16">
  <autoFilter ref="A2:S160"/>
  <tableColumns count="19">
    <tableColumn id="1" name="Lp" dataDxfId="15"/>
    <tableColumn id="7" name="Data wpisania &#10;yyyy-mm-dd" dataDxfId="14"/>
    <tableColumn id="8" name="Konstruktor" dataDxfId="13"/>
    <tableColumn id="2" name="Opis" dataDxfId="12"/>
    <tableColumn id="15" name="x"/>
    <tableColumn id="3" name="Długość [mm]" dataDxfId="11"/>
    <tableColumn id="19" name="x2" dataDxfId="10"/>
    <tableColumn id="4" name="Nr katalogowy" dataDxfId="9"/>
    <tableColumn id="13" name="Materiał" dataDxfId="8"/>
    <tableColumn id="14" name="xx" dataDxfId="7"/>
    <tableColumn id="17" name="xxx"/>
    <tableColumn id="16" name="xxxx"/>
    <tableColumn id="18" name="Ilość" dataDxfId="6"/>
    <tableColumn id="5" name="Zespół" dataDxfId="5"/>
    <tableColumn id="11" name="Data zamówienia:&#10;yyyy-mm-dd" dataDxfId="4"/>
    <tableColumn id="10" name="Osoba kupująca" dataDxfId="3"/>
    <tableColumn id="9" name="Numer zamówienia" dataDxfId="2"/>
    <tableColumn id="6" name="Wymagana data dostawy &#10;yyyy-mm-dd." dataDxfId="1"/>
    <tableColumn id="12" name="Uwagi do zamówieni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allegro.pl/oferta/hak-podwojny-garazowy-wieszak-uchwyt-na-narzedzia-9524419584?fromVariant=9524415985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B1:E41"/>
  <sheetViews>
    <sheetView zoomScale="130" zoomScaleNormal="130" workbookViewId="0">
      <selection activeCell="E9" sqref="E9:F9"/>
    </sheetView>
  </sheetViews>
  <sheetFormatPr defaultRowHeight="12.5"/>
  <cols>
    <col min="1" max="1" width="4.54296875" customWidth="1"/>
    <col min="2" max="2" width="106.26953125" customWidth="1"/>
  </cols>
  <sheetData>
    <row r="1" spans="2:5">
      <c r="D1" s="47"/>
      <c r="E1" s="47"/>
    </row>
    <row r="2" spans="2:5">
      <c r="B2" s="1" t="s">
        <v>0</v>
      </c>
      <c r="D2" s="47"/>
      <c r="E2" s="47"/>
    </row>
    <row r="3" spans="2:5" ht="25">
      <c r="B3" s="2" t="s">
        <v>40</v>
      </c>
    </row>
    <row r="5" spans="2:5">
      <c r="B5" s="1" t="s">
        <v>1</v>
      </c>
    </row>
    <row r="6" spans="2:5" ht="25">
      <c r="B6" s="2" t="s">
        <v>40</v>
      </c>
    </row>
    <row r="8" spans="2:5">
      <c r="B8" s="1" t="s">
        <v>2</v>
      </c>
    </row>
    <row r="9" spans="2:5" ht="25">
      <c r="B9" s="3" t="s">
        <v>40</v>
      </c>
    </row>
    <row r="16" spans="2:5" ht="14">
      <c r="B16" s="9" t="s">
        <v>3</v>
      </c>
    </row>
    <row r="17" spans="2:2">
      <c r="B17" s="6"/>
    </row>
    <row r="18" spans="2:2">
      <c r="B18" s="4"/>
    </row>
    <row r="19" spans="2:2">
      <c r="B19" s="5" t="s">
        <v>4</v>
      </c>
    </row>
    <row r="20" spans="2:2">
      <c r="B20" s="6" t="s">
        <v>25</v>
      </c>
    </row>
    <row r="21" spans="2:2">
      <c r="B21" s="4" t="s">
        <v>24</v>
      </c>
    </row>
    <row r="22" spans="2:2">
      <c r="B22" s="4" t="s">
        <v>26</v>
      </c>
    </row>
    <row r="23" spans="2:2">
      <c r="B23" s="4"/>
    </row>
    <row r="24" spans="2:2">
      <c r="B24" s="5" t="s">
        <v>30</v>
      </c>
    </row>
    <row r="25" spans="2:2">
      <c r="B25" s="6" t="s">
        <v>31</v>
      </c>
    </row>
    <row r="26" spans="2:2">
      <c r="B26" s="4" t="s">
        <v>32</v>
      </c>
    </row>
    <row r="27" spans="2:2">
      <c r="B27" s="4"/>
    </row>
    <row r="28" spans="2:2">
      <c r="B28" s="5" t="s">
        <v>5</v>
      </c>
    </row>
    <row r="29" spans="2:2">
      <c r="B29" s="6" t="s">
        <v>6</v>
      </c>
    </row>
    <row r="30" spans="2:2">
      <c r="B30" s="8" t="s">
        <v>27</v>
      </c>
    </row>
    <row r="31" spans="2:2">
      <c r="B31" s="4"/>
    </row>
    <row r="32" spans="2:2">
      <c r="B32" s="4" t="s">
        <v>7</v>
      </c>
    </row>
    <row r="33" spans="2:2">
      <c r="B33" s="4" t="s">
        <v>29</v>
      </c>
    </row>
    <row r="34" spans="2:2">
      <c r="B34" s="4" t="s">
        <v>28</v>
      </c>
    </row>
    <row r="35" spans="2:2">
      <c r="B35" s="7"/>
    </row>
    <row r="36" spans="2:2">
      <c r="B36" s="5" t="s">
        <v>8</v>
      </c>
    </row>
    <row r="37" spans="2:2">
      <c r="B37" s="6" t="s">
        <v>9</v>
      </c>
    </row>
    <row r="38" spans="2:2">
      <c r="B38" s="6" t="s">
        <v>10</v>
      </c>
    </row>
    <row r="40" spans="2:2">
      <c r="B40" s="5" t="s">
        <v>11</v>
      </c>
    </row>
    <row r="41" spans="2:2">
      <c r="B41" s="6" t="s">
        <v>12</v>
      </c>
    </row>
  </sheetData>
  <phoneticPr fontId="3" type="noConversion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pageSetUpPr fitToPage="1"/>
  </sheetPr>
  <dimension ref="A1:AP542"/>
  <sheetViews>
    <sheetView tabSelected="1" topLeftCell="A493" zoomScale="60" zoomScaleNormal="60" workbookViewId="0">
      <selection activeCell="F529" sqref="F529"/>
    </sheetView>
  </sheetViews>
  <sheetFormatPr defaultColWidth="9.26953125" defaultRowHeight="28.15" customHeight="1"/>
  <cols>
    <col min="1" max="1" width="8" style="25" customWidth="1"/>
    <col min="2" max="2" width="18.7265625" style="24" bestFit="1" customWidth="1"/>
    <col min="3" max="3" width="19.26953125" style="16" customWidth="1"/>
    <col min="4" max="4" width="27.7265625" style="16" customWidth="1"/>
    <col min="5" max="5" width="34.54296875" style="16" customWidth="1"/>
    <col min="6" max="6" width="29.54296875" style="18" customWidth="1"/>
    <col min="7" max="7" width="97.26953125" style="16" bestFit="1" customWidth="1"/>
    <col min="8" max="8" width="50.453125" style="16" customWidth="1"/>
    <col min="9" max="9" width="39.54296875" style="16" customWidth="1"/>
    <col min="10" max="10" width="23.26953125" style="17" hidden="1" customWidth="1"/>
    <col min="11" max="11" width="11" style="18" hidden="1" customWidth="1"/>
    <col min="12" max="12" width="11.453125" style="18" hidden="1" customWidth="1"/>
    <col min="13" max="13" width="55.1796875" style="16" hidden="1" customWidth="1"/>
    <col min="14" max="14" width="27.453125" style="16" hidden="1" customWidth="1"/>
    <col min="15" max="25" width="7" style="16" hidden="1" customWidth="1"/>
    <col min="26" max="26" width="7" style="16" customWidth="1"/>
    <col min="27" max="29" width="8.26953125" style="19" customWidth="1"/>
    <col min="30" max="30" width="33.26953125" style="104" customWidth="1"/>
    <col min="31" max="31" width="10.7265625" style="105" customWidth="1"/>
    <col min="32" max="32" width="92.54296875" style="106" customWidth="1"/>
    <col min="33" max="33" width="81.26953125" style="106" customWidth="1"/>
    <col min="34" max="34" width="101.54296875" style="106" customWidth="1"/>
    <col min="35" max="35" width="53.26953125" style="106" customWidth="1"/>
    <col min="36" max="36" width="47" style="106" customWidth="1"/>
    <col min="37" max="37" width="13.453125" style="106" customWidth="1"/>
    <col min="38" max="38" width="78.26953125" style="106" bestFit="1" customWidth="1"/>
    <col min="39" max="39" width="10" style="106" customWidth="1"/>
    <col min="40" max="40" width="45" style="106" bestFit="1" customWidth="1"/>
    <col min="41" max="41" width="27" style="107" customWidth="1"/>
    <col min="42" max="16384" width="9.26953125" style="10"/>
  </cols>
  <sheetData>
    <row r="1" spans="1:41" ht="28.15" customHeight="1" thickBot="1">
      <c r="A1" s="48" t="str">
        <f>"Lista materiałów handlowych do "&amp;POMOC!B3&amp;", sporządził: "&amp;POMOC!B6</f>
        <v>Lista materiałów handlowych do xxx, sporządził: xxx</v>
      </c>
      <c r="C1" s="16">
        <v>1</v>
      </c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D1" s="19"/>
      <c r="AE1" s="20"/>
      <c r="AF1" s="16"/>
      <c r="AG1" s="17"/>
      <c r="AH1" s="16"/>
      <c r="AI1" s="16"/>
      <c r="AJ1" s="17"/>
      <c r="AK1" s="17"/>
      <c r="AL1" s="17"/>
      <c r="AM1" s="21"/>
      <c r="AN1" s="22"/>
      <c r="AO1" s="10"/>
    </row>
    <row r="2" spans="1:41" ht="69" customHeight="1">
      <c r="A2" s="569" t="s">
        <v>60</v>
      </c>
      <c r="B2" s="570"/>
      <c r="C2" s="570"/>
      <c r="D2" s="570"/>
      <c r="E2" s="570"/>
      <c r="F2" s="570"/>
      <c r="G2" s="570"/>
      <c r="H2" s="570"/>
      <c r="I2" s="570"/>
      <c r="J2" s="570"/>
      <c r="K2" s="570"/>
      <c r="L2" s="570"/>
      <c r="M2" s="570"/>
      <c r="N2" s="570"/>
      <c r="O2" s="570"/>
      <c r="P2" s="570"/>
      <c r="Q2" s="570"/>
      <c r="R2" s="570"/>
      <c r="S2" s="570"/>
      <c r="T2" s="570"/>
      <c r="U2" s="570"/>
      <c r="V2" s="570"/>
      <c r="W2" s="570"/>
      <c r="X2" s="570"/>
      <c r="Y2" s="570"/>
      <c r="Z2" s="570"/>
      <c r="AA2" s="573"/>
      <c r="AB2" s="574"/>
      <c r="AC2" s="575"/>
      <c r="AD2" s="581" t="s">
        <v>13</v>
      </c>
      <c r="AE2" s="582"/>
      <c r="AF2" s="582"/>
      <c r="AG2" s="582"/>
      <c r="AH2" s="582"/>
      <c r="AI2" s="583"/>
      <c r="AJ2" s="587" t="s">
        <v>23</v>
      </c>
      <c r="AK2" s="588"/>
      <c r="AL2" s="589"/>
      <c r="AM2" s="593" t="s">
        <v>33</v>
      </c>
      <c r="AN2" s="594"/>
      <c r="AO2" s="579" t="s">
        <v>51</v>
      </c>
    </row>
    <row r="3" spans="1:41" ht="23.25" customHeight="1" thickBot="1">
      <c r="A3" s="571"/>
      <c r="B3" s="572"/>
      <c r="C3" s="572"/>
      <c r="D3" s="572"/>
      <c r="E3" s="572"/>
      <c r="F3" s="572"/>
      <c r="G3" s="572"/>
      <c r="H3" s="572"/>
      <c r="I3" s="572"/>
      <c r="J3" s="572"/>
      <c r="K3" s="572"/>
      <c r="L3" s="572"/>
      <c r="M3" s="572"/>
      <c r="N3" s="572"/>
      <c r="O3" s="572"/>
      <c r="P3" s="572"/>
      <c r="Q3" s="572"/>
      <c r="R3" s="572"/>
      <c r="S3" s="572"/>
      <c r="T3" s="572"/>
      <c r="U3" s="572"/>
      <c r="V3" s="572"/>
      <c r="W3" s="572"/>
      <c r="X3" s="572"/>
      <c r="Y3" s="572"/>
      <c r="Z3" s="572"/>
      <c r="AA3" s="576"/>
      <c r="AB3" s="577"/>
      <c r="AC3" s="578"/>
      <c r="AD3" s="584"/>
      <c r="AE3" s="585"/>
      <c r="AF3" s="585"/>
      <c r="AG3" s="585"/>
      <c r="AH3" s="585"/>
      <c r="AI3" s="586"/>
      <c r="AJ3" s="590"/>
      <c r="AK3" s="591"/>
      <c r="AL3" s="592"/>
      <c r="AM3" s="595"/>
      <c r="AN3" s="596"/>
      <c r="AO3" s="580"/>
    </row>
    <row r="4" spans="1:41" ht="28.15" customHeight="1" thickBot="1">
      <c r="A4" s="33"/>
      <c r="B4" s="28"/>
      <c r="C4" s="29">
        <v>4</v>
      </c>
      <c r="D4" s="29"/>
      <c r="E4" s="29"/>
      <c r="F4" s="75" t="s">
        <v>326</v>
      </c>
      <c r="G4" s="30"/>
      <c r="H4" s="32"/>
      <c r="I4" s="110"/>
      <c r="J4" s="29"/>
      <c r="K4" s="29"/>
      <c r="L4" s="29"/>
      <c r="M4" s="29"/>
      <c r="N4" s="32"/>
      <c r="O4" s="112"/>
      <c r="P4" s="27"/>
      <c r="Q4" s="27"/>
      <c r="R4" s="27"/>
      <c r="S4" s="27"/>
      <c r="T4" s="27"/>
      <c r="U4" s="27"/>
      <c r="V4" s="27"/>
      <c r="W4" s="27"/>
      <c r="X4" s="27"/>
      <c r="Y4" s="27"/>
      <c r="Z4" s="109"/>
      <c r="AA4" s="115"/>
      <c r="AB4" s="121"/>
      <c r="AC4" s="117"/>
      <c r="AD4" s="14"/>
      <c r="AE4" s="12"/>
      <c r="AF4" s="12"/>
      <c r="AG4" s="12"/>
      <c r="AH4" s="12"/>
      <c r="AI4" s="26"/>
      <c r="AJ4" s="15"/>
      <c r="AK4" s="31"/>
      <c r="AL4" s="13"/>
      <c r="AM4" s="11"/>
      <c r="AN4" s="13"/>
      <c r="AO4" s="34"/>
    </row>
    <row r="5" spans="1:41" s="23" customFormat="1" ht="132.75" customHeight="1" thickBot="1">
      <c r="A5" s="35" t="s">
        <v>14</v>
      </c>
      <c r="B5" s="36" t="s">
        <v>52</v>
      </c>
      <c r="C5" s="37" t="s">
        <v>22</v>
      </c>
      <c r="D5" s="37" t="s">
        <v>48</v>
      </c>
      <c r="E5" s="37" t="s">
        <v>49</v>
      </c>
      <c r="F5" s="76" t="s">
        <v>39</v>
      </c>
      <c r="G5" s="38" t="s">
        <v>47</v>
      </c>
      <c r="H5" s="39" t="s">
        <v>43</v>
      </c>
      <c r="I5" s="111" t="s">
        <v>53</v>
      </c>
      <c r="J5" s="37" t="s">
        <v>35</v>
      </c>
      <c r="K5" s="37" t="s">
        <v>36</v>
      </c>
      <c r="L5" s="37" t="s">
        <v>37</v>
      </c>
      <c r="M5" s="39" t="s">
        <v>579</v>
      </c>
      <c r="N5" s="181" t="s">
        <v>19</v>
      </c>
      <c r="O5" s="320" t="s">
        <v>300</v>
      </c>
      <c r="P5" s="321" t="s">
        <v>536</v>
      </c>
      <c r="Q5" s="321" t="s">
        <v>537</v>
      </c>
      <c r="R5" s="321" t="s">
        <v>538</v>
      </c>
      <c r="S5" s="321" t="s">
        <v>539</v>
      </c>
      <c r="T5" s="321" t="s">
        <v>540</v>
      </c>
      <c r="U5" s="321" t="s">
        <v>541</v>
      </c>
      <c r="V5" s="321" t="s">
        <v>542</v>
      </c>
      <c r="W5" s="321" t="s">
        <v>543</v>
      </c>
      <c r="X5" s="321" t="s">
        <v>1466</v>
      </c>
      <c r="Y5" s="321" t="s">
        <v>46</v>
      </c>
      <c r="Z5" s="322" t="s">
        <v>310</v>
      </c>
      <c r="AA5" s="116" t="s">
        <v>15</v>
      </c>
      <c r="AB5" s="122" t="s">
        <v>44</v>
      </c>
      <c r="AC5" s="118" t="s">
        <v>45</v>
      </c>
      <c r="AD5" s="40" t="s">
        <v>18</v>
      </c>
      <c r="AE5" s="41" t="s">
        <v>16</v>
      </c>
      <c r="AF5" s="41" t="s">
        <v>17</v>
      </c>
      <c r="AG5" s="41" t="s">
        <v>34</v>
      </c>
      <c r="AH5" s="41" t="s">
        <v>38</v>
      </c>
      <c r="AI5" s="42" t="s">
        <v>20</v>
      </c>
      <c r="AJ5" s="43" t="s">
        <v>21</v>
      </c>
      <c r="AK5" s="44" t="s">
        <v>50</v>
      </c>
      <c r="AL5" s="45" t="s">
        <v>1298</v>
      </c>
      <c r="AM5" s="46" t="s">
        <v>42</v>
      </c>
      <c r="AN5" s="45" t="s">
        <v>41</v>
      </c>
      <c r="AO5" s="49" t="s">
        <v>51</v>
      </c>
    </row>
    <row r="6" spans="1:41" s="107" customFormat="1" ht="30.75" customHeight="1" thickTop="1">
      <c r="A6" s="225">
        <v>1</v>
      </c>
      <c r="B6" s="226"/>
      <c r="C6" s="227" t="s">
        <v>237</v>
      </c>
      <c r="D6" s="84"/>
      <c r="E6" s="212"/>
      <c r="F6" s="167" t="s">
        <v>68</v>
      </c>
      <c r="G6" s="178" t="s">
        <v>69</v>
      </c>
      <c r="H6" s="228"/>
      <c r="I6" s="229" t="s">
        <v>70</v>
      </c>
      <c r="J6" s="84"/>
      <c r="K6" s="84"/>
      <c r="L6" s="84"/>
      <c r="M6" s="84"/>
      <c r="N6" s="216" t="s">
        <v>71</v>
      </c>
      <c r="O6" s="323">
        <v>1</v>
      </c>
      <c r="P6" s="151">
        <f>0</f>
        <v>0</v>
      </c>
      <c r="Q6" s="151">
        <f>0</f>
        <v>0</v>
      </c>
      <c r="R6" s="151">
        <f>0</f>
        <v>0</v>
      </c>
      <c r="S6" s="151">
        <f>0</f>
        <v>0</v>
      </c>
      <c r="T6" s="151">
        <f>0</f>
        <v>0</v>
      </c>
      <c r="U6" s="151">
        <f>0</f>
        <v>0</v>
      </c>
      <c r="V6" s="151">
        <f>0</f>
        <v>0</v>
      </c>
      <c r="W6" s="151">
        <f>0</f>
        <v>0</v>
      </c>
      <c r="X6" s="151">
        <f>0</f>
        <v>0</v>
      </c>
      <c r="Y6" s="151">
        <f>0</f>
        <v>0</v>
      </c>
      <c r="Z6" s="200">
        <f>0</f>
        <v>0</v>
      </c>
      <c r="AA6" s="113">
        <f t="shared" ref="AA6:AA69" si="0">SUM(O6:Z6)</f>
        <v>1</v>
      </c>
      <c r="AB6" s="156">
        <f>0</f>
        <v>0</v>
      </c>
      <c r="AC6" s="119">
        <f t="shared" ref="AC6:AC69" si="1">AA6-AB6</f>
        <v>1</v>
      </c>
      <c r="AD6" s="114">
        <v>44756</v>
      </c>
      <c r="AE6" s="177" t="s">
        <v>239</v>
      </c>
      <c r="AF6" s="84"/>
      <c r="AG6" s="178"/>
      <c r="AH6" s="177"/>
      <c r="AI6" s="85"/>
      <c r="AJ6" s="86">
        <v>1</v>
      </c>
      <c r="AK6" s="179">
        <f t="shared" ref="AK6:AK69" si="2">AC6-AJ6</f>
        <v>0</v>
      </c>
      <c r="AL6" s="85" t="s">
        <v>286</v>
      </c>
      <c r="AM6" s="77"/>
      <c r="AN6" s="87"/>
      <c r="AO6" s="167"/>
    </row>
    <row r="7" spans="1:41" s="107" customFormat="1" ht="30.75" customHeight="1">
      <c r="A7" s="225">
        <v>2</v>
      </c>
      <c r="B7" s="230"/>
      <c r="C7" s="227" t="s">
        <v>237</v>
      </c>
      <c r="D7" s="214"/>
      <c r="E7" s="214"/>
      <c r="F7" s="222" t="s">
        <v>72</v>
      </c>
      <c r="G7" s="188" t="s">
        <v>73</v>
      </c>
      <c r="H7" s="231"/>
      <c r="I7" s="232" t="s">
        <v>70</v>
      </c>
      <c r="J7" s="171"/>
      <c r="K7" s="171"/>
      <c r="L7" s="171"/>
      <c r="M7" s="171"/>
      <c r="N7" s="216" t="s">
        <v>71</v>
      </c>
      <c r="O7" s="323">
        <v>1</v>
      </c>
      <c r="P7" s="151">
        <f>0</f>
        <v>0</v>
      </c>
      <c r="Q7" s="151">
        <f>0</f>
        <v>0</v>
      </c>
      <c r="R7" s="151">
        <f>0</f>
        <v>0</v>
      </c>
      <c r="S7" s="151">
        <f>0</f>
        <v>0</v>
      </c>
      <c r="T7" s="151">
        <f>0</f>
        <v>0</v>
      </c>
      <c r="U7" s="151">
        <f>0</f>
        <v>0</v>
      </c>
      <c r="V7" s="151">
        <f>0</f>
        <v>0</v>
      </c>
      <c r="W7" s="151">
        <f>0</f>
        <v>0</v>
      </c>
      <c r="X7" s="151">
        <f>0</f>
        <v>0</v>
      </c>
      <c r="Y7" s="151">
        <f>0</f>
        <v>0</v>
      </c>
      <c r="Z7" s="200">
        <f>0</f>
        <v>0</v>
      </c>
      <c r="AA7" s="113">
        <f t="shared" si="0"/>
        <v>1</v>
      </c>
      <c r="AB7" s="156">
        <f>0</f>
        <v>0</v>
      </c>
      <c r="AC7" s="119">
        <f t="shared" si="1"/>
        <v>1</v>
      </c>
      <c r="AD7" s="114">
        <v>44756</v>
      </c>
      <c r="AE7" s="177" t="s">
        <v>239</v>
      </c>
      <c r="AF7" s="84"/>
      <c r="AG7" s="178"/>
      <c r="AH7" s="177"/>
      <c r="AI7" s="85"/>
      <c r="AJ7" s="86">
        <v>1</v>
      </c>
      <c r="AK7" s="179">
        <f t="shared" si="2"/>
        <v>0</v>
      </c>
      <c r="AL7" s="85" t="s">
        <v>289</v>
      </c>
      <c r="AM7" s="77"/>
      <c r="AN7" s="87"/>
      <c r="AO7" s="180"/>
    </row>
    <row r="8" spans="1:41" s="107" customFormat="1" ht="30.75" customHeight="1">
      <c r="A8" s="225">
        <v>3</v>
      </c>
      <c r="B8" s="230"/>
      <c r="C8" s="227" t="s">
        <v>237</v>
      </c>
      <c r="D8" s="84"/>
      <c r="E8" s="212"/>
      <c r="F8" s="167" t="s">
        <v>74</v>
      </c>
      <c r="G8" s="178" t="s">
        <v>75</v>
      </c>
      <c r="H8" s="228"/>
      <c r="I8" s="229" t="s">
        <v>70</v>
      </c>
      <c r="J8" s="84"/>
      <c r="K8" s="84"/>
      <c r="L8" s="84"/>
      <c r="M8" s="84"/>
      <c r="N8" s="216" t="s">
        <v>71</v>
      </c>
      <c r="O8" s="323">
        <v>1</v>
      </c>
      <c r="P8" s="151">
        <f>0</f>
        <v>0</v>
      </c>
      <c r="Q8" s="151">
        <f>0</f>
        <v>0</v>
      </c>
      <c r="R8" s="151">
        <f>0</f>
        <v>0</v>
      </c>
      <c r="S8" s="151">
        <f>0</f>
        <v>0</v>
      </c>
      <c r="T8" s="151">
        <f>0</f>
        <v>0</v>
      </c>
      <c r="U8" s="151">
        <f>0</f>
        <v>0</v>
      </c>
      <c r="V8" s="151">
        <f>0</f>
        <v>0</v>
      </c>
      <c r="W8" s="151">
        <f>0</f>
        <v>0</v>
      </c>
      <c r="X8" s="151">
        <f>0</f>
        <v>0</v>
      </c>
      <c r="Y8" s="151">
        <f>0</f>
        <v>0</v>
      </c>
      <c r="Z8" s="200">
        <f>0</f>
        <v>0</v>
      </c>
      <c r="AA8" s="113">
        <f t="shared" si="0"/>
        <v>1</v>
      </c>
      <c r="AB8" s="156">
        <f>0</f>
        <v>0</v>
      </c>
      <c r="AC8" s="119">
        <f t="shared" si="1"/>
        <v>1</v>
      </c>
      <c r="AD8" s="114">
        <v>44756</v>
      </c>
      <c r="AE8" s="177" t="s">
        <v>239</v>
      </c>
      <c r="AF8" s="84"/>
      <c r="AG8" s="178"/>
      <c r="AH8" s="177"/>
      <c r="AI8" s="85"/>
      <c r="AJ8" s="86">
        <v>1</v>
      </c>
      <c r="AK8" s="179">
        <f t="shared" si="2"/>
        <v>0</v>
      </c>
      <c r="AL8" s="85" t="s">
        <v>285</v>
      </c>
      <c r="AM8" s="77"/>
      <c r="AN8" s="87"/>
      <c r="AO8" s="180"/>
    </row>
    <row r="9" spans="1:41" s="107" customFormat="1" ht="30.75" customHeight="1">
      <c r="A9" s="225">
        <v>4</v>
      </c>
      <c r="B9" s="230"/>
      <c r="C9" s="227" t="s">
        <v>237</v>
      </c>
      <c r="D9" s="214"/>
      <c r="E9" s="214"/>
      <c r="F9" s="222" t="s">
        <v>72</v>
      </c>
      <c r="G9" s="188" t="s">
        <v>76</v>
      </c>
      <c r="H9" s="231"/>
      <c r="I9" s="232" t="s">
        <v>70</v>
      </c>
      <c r="J9" s="171"/>
      <c r="K9" s="171"/>
      <c r="L9" s="171"/>
      <c r="M9" s="171"/>
      <c r="N9" s="216" t="s">
        <v>71</v>
      </c>
      <c r="O9" s="323">
        <v>1</v>
      </c>
      <c r="P9" s="151">
        <f>0</f>
        <v>0</v>
      </c>
      <c r="Q9" s="151">
        <f>0</f>
        <v>0</v>
      </c>
      <c r="R9" s="151">
        <f>0</f>
        <v>0</v>
      </c>
      <c r="S9" s="151">
        <f>0</f>
        <v>0</v>
      </c>
      <c r="T9" s="151">
        <f>0</f>
        <v>0</v>
      </c>
      <c r="U9" s="151">
        <f>0</f>
        <v>0</v>
      </c>
      <c r="V9" s="151">
        <f>0</f>
        <v>0</v>
      </c>
      <c r="W9" s="151">
        <f>0</f>
        <v>0</v>
      </c>
      <c r="X9" s="151">
        <f>0</f>
        <v>0</v>
      </c>
      <c r="Y9" s="151">
        <f>0</f>
        <v>0</v>
      </c>
      <c r="Z9" s="200">
        <f>0</f>
        <v>0</v>
      </c>
      <c r="AA9" s="113">
        <f t="shared" si="0"/>
        <v>1</v>
      </c>
      <c r="AB9" s="156">
        <f>0</f>
        <v>0</v>
      </c>
      <c r="AC9" s="119">
        <f t="shared" si="1"/>
        <v>1</v>
      </c>
      <c r="AD9" s="114">
        <v>44756</v>
      </c>
      <c r="AE9" s="177" t="s">
        <v>239</v>
      </c>
      <c r="AF9" s="84"/>
      <c r="AG9" s="178"/>
      <c r="AH9" s="177"/>
      <c r="AI9" s="85"/>
      <c r="AJ9" s="86">
        <v>1</v>
      </c>
      <c r="AK9" s="179">
        <f t="shared" si="2"/>
        <v>0</v>
      </c>
      <c r="AL9" s="85" t="s">
        <v>285</v>
      </c>
      <c r="AM9" s="77"/>
      <c r="AN9" s="87"/>
      <c r="AO9" s="180"/>
    </row>
    <row r="10" spans="1:41" s="107" customFormat="1" ht="30.75" customHeight="1">
      <c r="A10" s="233">
        <v>5</v>
      </c>
      <c r="B10" s="234"/>
      <c r="C10" s="235" t="s">
        <v>424</v>
      </c>
      <c r="D10" s="171"/>
      <c r="E10" s="210"/>
      <c r="F10" s="236" t="s">
        <v>77</v>
      </c>
      <c r="G10" s="237" t="s">
        <v>78</v>
      </c>
      <c r="H10" s="238">
        <v>279579</v>
      </c>
      <c r="I10" s="239" t="s">
        <v>79</v>
      </c>
      <c r="J10" s="240"/>
      <c r="K10" s="241"/>
      <c r="L10" s="171"/>
      <c r="M10" s="171"/>
      <c r="N10" s="224" t="s">
        <v>71</v>
      </c>
      <c r="O10" s="323">
        <v>1</v>
      </c>
      <c r="P10" s="151">
        <f>0</f>
        <v>0</v>
      </c>
      <c r="Q10" s="151">
        <f>0</f>
        <v>0</v>
      </c>
      <c r="R10" s="151">
        <f>0</f>
        <v>0</v>
      </c>
      <c r="S10" s="151">
        <f>0</f>
        <v>0</v>
      </c>
      <c r="T10" s="151">
        <f>0</f>
        <v>0</v>
      </c>
      <c r="U10" s="151">
        <f>0</f>
        <v>0</v>
      </c>
      <c r="V10" s="151">
        <f>0</f>
        <v>0</v>
      </c>
      <c r="W10" s="151">
        <f>0</f>
        <v>0</v>
      </c>
      <c r="X10" s="151">
        <f>0</f>
        <v>0</v>
      </c>
      <c r="Y10" s="151">
        <f>0</f>
        <v>0</v>
      </c>
      <c r="Z10" s="200">
        <f>0</f>
        <v>0</v>
      </c>
      <c r="AA10" s="113">
        <f t="shared" si="0"/>
        <v>1</v>
      </c>
      <c r="AB10" s="159">
        <v>0</v>
      </c>
      <c r="AC10" s="120">
        <f t="shared" si="1"/>
        <v>1</v>
      </c>
      <c r="AD10" s="170">
        <v>44854</v>
      </c>
      <c r="AE10" s="187" t="s">
        <v>239</v>
      </c>
      <c r="AF10" s="171" t="s">
        <v>425</v>
      </c>
      <c r="AG10" s="148" t="s">
        <v>429</v>
      </c>
      <c r="AH10" s="187"/>
      <c r="AI10" s="88"/>
      <c r="AJ10" s="89">
        <v>1</v>
      </c>
      <c r="AK10" s="189">
        <f t="shared" si="2"/>
        <v>0</v>
      </c>
      <c r="AL10" s="88" t="s">
        <v>1240</v>
      </c>
      <c r="AM10" s="83"/>
      <c r="AN10" s="90"/>
      <c r="AO10" s="190"/>
    </row>
    <row r="11" spans="1:41" s="107" customFormat="1" ht="30.75" customHeight="1">
      <c r="A11" s="225">
        <v>6</v>
      </c>
      <c r="B11" s="230"/>
      <c r="C11" s="227" t="s">
        <v>424</v>
      </c>
      <c r="D11" s="217"/>
      <c r="E11" s="217"/>
      <c r="F11" s="242" t="s">
        <v>81</v>
      </c>
      <c r="G11" s="243" t="s">
        <v>82</v>
      </c>
      <c r="H11" s="244">
        <v>313101</v>
      </c>
      <c r="I11" s="245" t="s">
        <v>79</v>
      </c>
      <c r="J11" s="246"/>
      <c r="K11" s="247"/>
      <c r="L11" s="84"/>
      <c r="M11" s="84"/>
      <c r="N11" s="216" t="s">
        <v>71</v>
      </c>
      <c r="O11" s="323">
        <v>2</v>
      </c>
      <c r="P11" s="151">
        <f>0</f>
        <v>0</v>
      </c>
      <c r="Q11" s="151">
        <f>0</f>
        <v>0</v>
      </c>
      <c r="R11" s="151">
        <f>0</f>
        <v>0</v>
      </c>
      <c r="S11" s="151">
        <f>0</f>
        <v>0</v>
      </c>
      <c r="T11" s="151">
        <f>0</f>
        <v>0</v>
      </c>
      <c r="U11" s="151">
        <f>0</f>
        <v>0</v>
      </c>
      <c r="V11" s="151">
        <f>0</f>
        <v>0</v>
      </c>
      <c r="W11" s="151">
        <f>0</f>
        <v>0</v>
      </c>
      <c r="X11" s="151">
        <f>0</f>
        <v>0</v>
      </c>
      <c r="Y11" s="151">
        <f>0</f>
        <v>0</v>
      </c>
      <c r="Z11" s="200">
        <f>0</f>
        <v>0</v>
      </c>
      <c r="AA11" s="113">
        <f t="shared" si="0"/>
        <v>2</v>
      </c>
      <c r="AB11" s="542">
        <v>2</v>
      </c>
      <c r="AC11" s="119">
        <f t="shared" si="1"/>
        <v>0</v>
      </c>
      <c r="AD11" s="114">
        <v>44854</v>
      </c>
      <c r="AE11" s="177" t="s">
        <v>239</v>
      </c>
      <c r="AF11" s="84" t="s">
        <v>591</v>
      </c>
      <c r="AG11" s="557" t="s">
        <v>428</v>
      </c>
      <c r="AH11" s="177"/>
      <c r="AI11" s="85"/>
      <c r="AJ11" s="86" t="s">
        <v>1504</v>
      </c>
      <c r="AK11" s="179" t="e">
        <f t="shared" si="2"/>
        <v>#VALUE!</v>
      </c>
      <c r="AL11" s="85" t="s">
        <v>1505</v>
      </c>
      <c r="AM11" s="77"/>
      <c r="AN11" s="87"/>
      <c r="AO11" s="180"/>
    </row>
    <row r="12" spans="1:41" s="107" customFormat="1" ht="30.75" customHeight="1">
      <c r="A12" s="225">
        <v>7</v>
      </c>
      <c r="B12" s="230"/>
      <c r="C12" s="227" t="s">
        <v>424</v>
      </c>
      <c r="D12" s="171"/>
      <c r="E12" s="210"/>
      <c r="F12" s="248" t="s">
        <v>408</v>
      </c>
      <c r="G12" s="249" t="s">
        <v>396</v>
      </c>
      <c r="H12" s="250">
        <v>279583</v>
      </c>
      <c r="I12" s="251" t="s">
        <v>79</v>
      </c>
      <c r="J12" s="252"/>
      <c r="K12" s="253" t="s">
        <v>407</v>
      </c>
      <c r="L12" s="210"/>
      <c r="M12" s="254"/>
      <c r="N12" s="216" t="s">
        <v>71</v>
      </c>
      <c r="O12" s="323">
        <v>1</v>
      </c>
      <c r="P12" s="151">
        <f>0</f>
        <v>0</v>
      </c>
      <c r="Q12" s="151">
        <f>0</f>
        <v>0</v>
      </c>
      <c r="R12" s="151">
        <f>0</f>
        <v>0</v>
      </c>
      <c r="S12" s="151">
        <f>0</f>
        <v>0</v>
      </c>
      <c r="T12" s="151">
        <f>0</f>
        <v>0</v>
      </c>
      <c r="U12" s="151">
        <f>0</f>
        <v>0</v>
      </c>
      <c r="V12" s="151">
        <f>0</f>
        <v>0</v>
      </c>
      <c r="W12" s="151">
        <f>0</f>
        <v>0</v>
      </c>
      <c r="X12" s="151">
        <f>0</f>
        <v>0</v>
      </c>
      <c r="Y12" s="151">
        <f>0</f>
        <v>0</v>
      </c>
      <c r="Z12" s="200">
        <f>0</f>
        <v>0</v>
      </c>
      <c r="AA12" s="113">
        <f t="shared" si="0"/>
        <v>1</v>
      </c>
      <c r="AB12" s="542">
        <v>0</v>
      </c>
      <c r="AC12" s="120">
        <f t="shared" si="1"/>
        <v>1</v>
      </c>
      <c r="AD12" s="114">
        <v>44854</v>
      </c>
      <c r="AE12" s="177" t="s">
        <v>239</v>
      </c>
      <c r="AF12" s="84" t="s">
        <v>425</v>
      </c>
      <c r="AG12" s="148" t="s">
        <v>429</v>
      </c>
      <c r="AH12" s="187"/>
      <c r="AI12" s="88"/>
      <c r="AJ12" s="89">
        <v>1</v>
      </c>
      <c r="AK12" s="189">
        <f t="shared" si="2"/>
        <v>0</v>
      </c>
      <c r="AL12" s="88" t="s">
        <v>1447</v>
      </c>
      <c r="AM12" s="83"/>
      <c r="AN12" s="90"/>
      <c r="AO12" s="190"/>
    </row>
    <row r="13" spans="1:41" s="310" customFormat="1" ht="30.75" customHeight="1">
      <c r="A13" s="319">
        <v>8</v>
      </c>
      <c r="B13" s="501"/>
      <c r="C13" s="418" t="s">
        <v>424</v>
      </c>
      <c r="D13" s="219"/>
      <c r="E13" s="217"/>
      <c r="F13" s="510" t="s">
        <v>83</v>
      </c>
      <c r="G13" s="515" t="s">
        <v>84</v>
      </c>
      <c r="H13" s="519">
        <v>295079</v>
      </c>
      <c r="I13" s="529" t="s">
        <v>79</v>
      </c>
      <c r="J13" s="534"/>
      <c r="K13" s="487"/>
      <c r="L13" s="536"/>
      <c r="M13" s="419"/>
      <c r="N13" s="221" t="s">
        <v>71</v>
      </c>
      <c r="O13" s="323">
        <v>1</v>
      </c>
      <c r="P13" s="151">
        <f>0</f>
        <v>0</v>
      </c>
      <c r="Q13" s="151">
        <f>0</f>
        <v>0</v>
      </c>
      <c r="R13" s="151">
        <f>0</f>
        <v>0</v>
      </c>
      <c r="S13" s="151">
        <f>0</f>
        <v>0</v>
      </c>
      <c r="T13" s="151">
        <f>0</f>
        <v>0</v>
      </c>
      <c r="U13" s="151">
        <f>0</f>
        <v>0</v>
      </c>
      <c r="V13" s="151">
        <f>0</f>
        <v>0</v>
      </c>
      <c r="W13" s="151">
        <f>0</f>
        <v>0</v>
      </c>
      <c r="X13" s="151">
        <f>0</f>
        <v>0</v>
      </c>
      <c r="Y13" s="151">
        <f>0</f>
        <v>0</v>
      </c>
      <c r="Z13" s="200">
        <f>0</f>
        <v>0</v>
      </c>
      <c r="AA13" s="420">
        <f t="shared" si="0"/>
        <v>1</v>
      </c>
      <c r="AB13" s="541">
        <v>0</v>
      </c>
      <c r="AC13" s="546">
        <f t="shared" si="1"/>
        <v>1</v>
      </c>
      <c r="AD13" s="421">
        <v>44854</v>
      </c>
      <c r="AE13" s="134" t="s">
        <v>239</v>
      </c>
      <c r="AF13" s="129" t="s">
        <v>425</v>
      </c>
      <c r="AG13" s="555" t="s">
        <v>429</v>
      </c>
      <c r="AH13" s="187"/>
      <c r="AI13" s="559" t="s">
        <v>1514</v>
      </c>
      <c r="AJ13" s="560">
        <v>1</v>
      </c>
      <c r="AK13" s="562">
        <f t="shared" si="2"/>
        <v>0</v>
      </c>
      <c r="AL13" s="99" t="s">
        <v>1540</v>
      </c>
      <c r="AM13" s="566"/>
      <c r="AN13" s="568"/>
      <c r="AO13" s="137"/>
    </row>
    <row r="14" spans="1:41" s="107" customFormat="1" ht="57" customHeight="1">
      <c r="A14" s="233">
        <v>9</v>
      </c>
      <c r="B14" s="230"/>
      <c r="C14" s="227" t="s">
        <v>424</v>
      </c>
      <c r="D14" s="171"/>
      <c r="E14" s="210"/>
      <c r="F14" s="255" t="s">
        <v>85</v>
      </c>
      <c r="G14" s="256" t="s">
        <v>86</v>
      </c>
      <c r="H14" s="257">
        <v>308713</v>
      </c>
      <c r="I14" s="258" t="s">
        <v>79</v>
      </c>
      <c r="J14" s="259"/>
      <c r="K14" s="260"/>
      <c r="L14" s="171"/>
      <c r="M14" s="171"/>
      <c r="N14" s="216" t="s">
        <v>71</v>
      </c>
      <c r="O14" s="323">
        <v>1</v>
      </c>
      <c r="P14" s="151">
        <f>0</f>
        <v>0</v>
      </c>
      <c r="Q14" s="151">
        <f>0</f>
        <v>0</v>
      </c>
      <c r="R14" s="151">
        <f>0</f>
        <v>0</v>
      </c>
      <c r="S14" s="151">
        <f>0</f>
        <v>0</v>
      </c>
      <c r="T14" s="151">
        <f>0</f>
        <v>0</v>
      </c>
      <c r="U14" s="151">
        <f>0</f>
        <v>0</v>
      </c>
      <c r="V14" s="151">
        <f>0</f>
        <v>0</v>
      </c>
      <c r="W14" s="151">
        <f>0</f>
        <v>0</v>
      </c>
      <c r="X14" s="151">
        <f>0</f>
        <v>0</v>
      </c>
      <c r="Y14" s="151">
        <f>0</f>
        <v>0</v>
      </c>
      <c r="Z14" s="200">
        <f>0</f>
        <v>0</v>
      </c>
      <c r="AA14" s="113">
        <f t="shared" si="0"/>
        <v>1</v>
      </c>
      <c r="AB14" s="157">
        <v>0</v>
      </c>
      <c r="AC14" s="120">
        <f t="shared" si="1"/>
        <v>1</v>
      </c>
      <c r="AD14" s="114">
        <v>44854</v>
      </c>
      <c r="AE14" s="177" t="s">
        <v>239</v>
      </c>
      <c r="AF14" s="84" t="s">
        <v>427</v>
      </c>
      <c r="AG14" s="558">
        <v>44896</v>
      </c>
      <c r="AH14" s="187"/>
      <c r="AI14" s="88"/>
      <c r="AJ14" s="89" t="s">
        <v>1455</v>
      </c>
      <c r="AK14" s="189" t="e">
        <f t="shared" si="2"/>
        <v>#VALUE!</v>
      </c>
      <c r="AL14" s="88" t="s">
        <v>1456</v>
      </c>
      <c r="AM14" s="83"/>
      <c r="AN14" s="90"/>
      <c r="AO14" s="180"/>
    </row>
    <row r="15" spans="1:41" s="107" customFormat="1" ht="30.75" customHeight="1">
      <c r="A15" s="225">
        <v>10</v>
      </c>
      <c r="B15" s="230"/>
      <c r="C15" s="227" t="s">
        <v>424</v>
      </c>
      <c r="D15" s="217"/>
      <c r="E15" s="217"/>
      <c r="F15" s="242" t="s">
        <v>409</v>
      </c>
      <c r="G15" s="243" t="s">
        <v>397</v>
      </c>
      <c r="H15" s="244">
        <v>291277</v>
      </c>
      <c r="I15" s="261" t="s">
        <v>79</v>
      </c>
      <c r="J15" s="246"/>
      <c r="K15" s="262" t="s">
        <v>407</v>
      </c>
      <c r="L15" s="84"/>
      <c r="M15" s="84"/>
      <c r="N15" s="216" t="s">
        <v>71</v>
      </c>
      <c r="O15" s="323">
        <v>1</v>
      </c>
      <c r="P15" s="151">
        <f>0</f>
        <v>0</v>
      </c>
      <c r="Q15" s="151">
        <f>0</f>
        <v>0</v>
      </c>
      <c r="R15" s="151">
        <f>0</f>
        <v>0</v>
      </c>
      <c r="S15" s="151">
        <f>0</f>
        <v>0</v>
      </c>
      <c r="T15" s="151">
        <f>0</f>
        <v>0</v>
      </c>
      <c r="U15" s="151">
        <f>0</f>
        <v>0</v>
      </c>
      <c r="V15" s="151">
        <f>0</f>
        <v>0</v>
      </c>
      <c r="W15" s="151">
        <f>0</f>
        <v>0</v>
      </c>
      <c r="X15" s="151">
        <f>0</f>
        <v>0</v>
      </c>
      <c r="Y15" s="151">
        <f>0</f>
        <v>0</v>
      </c>
      <c r="Z15" s="200">
        <f>0</f>
        <v>0</v>
      </c>
      <c r="AA15" s="113">
        <f t="shared" si="0"/>
        <v>1</v>
      </c>
      <c r="AB15" s="157">
        <v>0</v>
      </c>
      <c r="AC15" s="120">
        <f t="shared" si="1"/>
        <v>1</v>
      </c>
      <c r="AD15" s="114">
        <v>44854</v>
      </c>
      <c r="AE15" s="177" t="s">
        <v>239</v>
      </c>
      <c r="AF15" s="84" t="s">
        <v>425</v>
      </c>
      <c r="AG15" s="555" t="s">
        <v>429</v>
      </c>
      <c r="AH15" s="187"/>
      <c r="AI15" s="88"/>
      <c r="AJ15" s="89">
        <v>1</v>
      </c>
      <c r="AK15" s="189">
        <f t="shared" si="2"/>
        <v>0</v>
      </c>
      <c r="AL15" s="88" t="s">
        <v>1240</v>
      </c>
      <c r="AM15" s="83"/>
      <c r="AN15" s="90"/>
      <c r="AO15" s="180"/>
    </row>
    <row r="16" spans="1:41" s="107" customFormat="1" ht="30.75" customHeight="1">
      <c r="A16" s="225">
        <v>11</v>
      </c>
      <c r="B16" s="234"/>
      <c r="C16" s="227" t="s">
        <v>424</v>
      </c>
      <c r="D16" s="171"/>
      <c r="E16" s="210"/>
      <c r="F16" s="255" t="s">
        <v>410</v>
      </c>
      <c r="G16" s="256" t="s">
        <v>398</v>
      </c>
      <c r="H16" s="257">
        <v>312890</v>
      </c>
      <c r="I16" s="261" t="s">
        <v>79</v>
      </c>
      <c r="J16" s="259"/>
      <c r="K16" s="253" t="s">
        <v>407</v>
      </c>
      <c r="L16" s="171"/>
      <c r="M16" s="171"/>
      <c r="N16" s="216" t="s">
        <v>71</v>
      </c>
      <c r="O16" s="323">
        <v>2</v>
      </c>
      <c r="P16" s="151">
        <f>0</f>
        <v>0</v>
      </c>
      <c r="Q16" s="151">
        <f>0</f>
        <v>0</v>
      </c>
      <c r="R16" s="151">
        <f>0</f>
        <v>0</v>
      </c>
      <c r="S16" s="151">
        <f>0</f>
        <v>0</v>
      </c>
      <c r="T16" s="151">
        <f>0</f>
        <v>0</v>
      </c>
      <c r="U16" s="151">
        <f>0</f>
        <v>0</v>
      </c>
      <c r="V16" s="151">
        <f>0</f>
        <v>0</v>
      </c>
      <c r="W16" s="151">
        <f>0</f>
        <v>0</v>
      </c>
      <c r="X16" s="151">
        <f>0</f>
        <v>0</v>
      </c>
      <c r="Y16" s="151">
        <f>0</f>
        <v>0</v>
      </c>
      <c r="Z16" s="200">
        <f>0</f>
        <v>0</v>
      </c>
      <c r="AA16" s="113">
        <f t="shared" si="0"/>
        <v>2</v>
      </c>
      <c r="AB16" s="157">
        <v>0</v>
      </c>
      <c r="AC16" s="120">
        <f t="shared" si="1"/>
        <v>2</v>
      </c>
      <c r="AD16" s="114">
        <v>44854</v>
      </c>
      <c r="AE16" s="177" t="s">
        <v>239</v>
      </c>
      <c r="AF16" s="84" t="s">
        <v>425</v>
      </c>
      <c r="AG16" s="555" t="s">
        <v>429</v>
      </c>
      <c r="AH16" s="187"/>
      <c r="AI16" s="88"/>
      <c r="AJ16" s="89">
        <v>2</v>
      </c>
      <c r="AK16" s="189">
        <f t="shared" si="2"/>
        <v>0</v>
      </c>
      <c r="AL16" s="88" t="s">
        <v>1240</v>
      </c>
      <c r="AM16" s="83"/>
      <c r="AN16" s="90"/>
      <c r="AO16" s="180"/>
    </row>
    <row r="17" spans="1:41" s="107" customFormat="1" ht="30.75" customHeight="1">
      <c r="A17" s="225">
        <v>12</v>
      </c>
      <c r="B17" s="234"/>
      <c r="C17" s="227" t="s">
        <v>424</v>
      </c>
      <c r="D17" s="217"/>
      <c r="E17" s="217"/>
      <c r="F17" s="242" t="s">
        <v>411</v>
      </c>
      <c r="G17" s="243" t="s">
        <v>399</v>
      </c>
      <c r="H17" s="244">
        <v>312892</v>
      </c>
      <c r="I17" s="261" t="s">
        <v>79</v>
      </c>
      <c r="J17" s="246"/>
      <c r="K17" s="253" t="s">
        <v>407</v>
      </c>
      <c r="L17" s="84"/>
      <c r="M17" s="84"/>
      <c r="N17" s="216" t="s">
        <v>71</v>
      </c>
      <c r="O17" s="323">
        <v>3</v>
      </c>
      <c r="P17" s="151">
        <f>0</f>
        <v>0</v>
      </c>
      <c r="Q17" s="151">
        <f>0</f>
        <v>0</v>
      </c>
      <c r="R17" s="151">
        <f>0</f>
        <v>0</v>
      </c>
      <c r="S17" s="151">
        <f>0</f>
        <v>0</v>
      </c>
      <c r="T17" s="151">
        <f>0</f>
        <v>0</v>
      </c>
      <c r="U17" s="151">
        <f>0</f>
        <v>0</v>
      </c>
      <c r="V17" s="151">
        <f>0</f>
        <v>0</v>
      </c>
      <c r="W17" s="151">
        <f>0</f>
        <v>0</v>
      </c>
      <c r="X17" s="151">
        <f>0</f>
        <v>0</v>
      </c>
      <c r="Y17" s="151">
        <f>0</f>
        <v>0</v>
      </c>
      <c r="Z17" s="200">
        <f>0</f>
        <v>0</v>
      </c>
      <c r="AA17" s="113">
        <f t="shared" si="0"/>
        <v>3</v>
      </c>
      <c r="AB17" s="157">
        <v>0</v>
      </c>
      <c r="AC17" s="120">
        <f t="shared" si="1"/>
        <v>3</v>
      </c>
      <c r="AD17" s="114">
        <v>44854</v>
      </c>
      <c r="AE17" s="177" t="s">
        <v>239</v>
      </c>
      <c r="AF17" s="84" t="s">
        <v>425</v>
      </c>
      <c r="AG17" s="555" t="s">
        <v>429</v>
      </c>
      <c r="AH17" s="187"/>
      <c r="AI17" s="88"/>
      <c r="AJ17" s="89">
        <v>3</v>
      </c>
      <c r="AK17" s="189">
        <f t="shared" si="2"/>
        <v>0</v>
      </c>
      <c r="AL17" s="88" t="s">
        <v>1240</v>
      </c>
      <c r="AM17" s="83"/>
      <c r="AN17" s="90"/>
      <c r="AO17" s="180"/>
    </row>
    <row r="18" spans="1:41" s="107" customFormat="1" ht="30.75" customHeight="1">
      <c r="A18" s="233">
        <v>13</v>
      </c>
      <c r="B18" s="234"/>
      <c r="C18" s="227" t="s">
        <v>424</v>
      </c>
      <c r="D18" s="171"/>
      <c r="E18" s="210"/>
      <c r="F18" s="255" t="s">
        <v>87</v>
      </c>
      <c r="G18" s="256" t="s">
        <v>400</v>
      </c>
      <c r="H18" s="257">
        <v>504748</v>
      </c>
      <c r="I18" s="261" t="s">
        <v>79</v>
      </c>
      <c r="J18" s="259"/>
      <c r="K18" s="253" t="s">
        <v>407</v>
      </c>
      <c r="L18" s="171"/>
      <c r="M18" s="171"/>
      <c r="N18" s="216" t="s">
        <v>71</v>
      </c>
      <c r="O18" s="323">
        <v>2</v>
      </c>
      <c r="P18" s="151">
        <f>0</f>
        <v>0</v>
      </c>
      <c r="Q18" s="151">
        <f>0</f>
        <v>0</v>
      </c>
      <c r="R18" s="151">
        <f>0</f>
        <v>0</v>
      </c>
      <c r="S18" s="151">
        <f>0</f>
        <v>0</v>
      </c>
      <c r="T18" s="151">
        <f>0</f>
        <v>0</v>
      </c>
      <c r="U18" s="151">
        <f>0</f>
        <v>0</v>
      </c>
      <c r="V18" s="151">
        <f>0</f>
        <v>0</v>
      </c>
      <c r="W18" s="151">
        <f>0</f>
        <v>0</v>
      </c>
      <c r="X18" s="151">
        <f>0</f>
        <v>0</v>
      </c>
      <c r="Y18" s="151">
        <f>0</f>
        <v>0</v>
      </c>
      <c r="Z18" s="200">
        <f>0</f>
        <v>0</v>
      </c>
      <c r="AA18" s="113">
        <f t="shared" si="0"/>
        <v>2</v>
      </c>
      <c r="AB18" s="157">
        <v>0</v>
      </c>
      <c r="AC18" s="120">
        <f t="shared" si="1"/>
        <v>2</v>
      </c>
      <c r="AD18" s="114">
        <v>44854</v>
      </c>
      <c r="AE18" s="177" t="s">
        <v>239</v>
      </c>
      <c r="AF18" s="84" t="s">
        <v>425</v>
      </c>
      <c r="AG18" s="555" t="s">
        <v>429</v>
      </c>
      <c r="AH18" s="187"/>
      <c r="AI18" s="88"/>
      <c r="AJ18" s="89">
        <v>2</v>
      </c>
      <c r="AK18" s="189">
        <f t="shared" si="2"/>
        <v>0</v>
      </c>
      <c r="AL18" s="88" t="s">
        <v>1439</v>
      </c>
      <c r="AM18" s="83"/>
      <c r="AN18" s="90"/>
      <c r="AO18" s="180"/>
    </row>
    <row r="19" spans="1:41" s="107" customFormat="1" ht="30.75" customHeight="1">
      <c r="A19" s="225">
        <v>14</v>
      </c>
      <c r="B19" s="234"/>
      <c r="C19" s="227" t="s">
        <v>424</v>
      </c>
      <c r="D19" s="217"/>
      <c r="E19" s="217"/>
      <c r="F19" s="242" t="s">
        <v>88</v>
      </c>
      <c r="G19" s="243" t="s">
        <v>401</v>
      </c>
      <c r="H19" s="244">
        <v>504746</v>
      </c>
      <c r="I19" s="245" t="s">
        <v>79</v>
      </c>
      <c r="J19" s="246"/>
      <c r="K19" s="253" t="s">
        <v>422</v>
      </c>
      <c r="L19" s="84"/>
      <c r="M19" s="84"/>
      <c r="N19" s="216" t="s">
        <v>71</v>
      </c>
      <c r="O19" s="323">
        <v>4</v>
      </c>
      <c r="P19" s="151">
        <f>0</f>
        <v>0</v>
      </c>
      <c r="Q19" s="151">
        <f>0</f>
        <v>0</v>
      </c>
      <c r="R19" s="151">
        <f>0</f>
        <v>0</v>
      </c>
      <c r="S19" s="151">
        <f>0</f>
        <v>0</v>
      </c>
      <c r="T19" s="151">
        <f>0</f>
        <v>0</v>
      </c>
      <c r="U19" s="151">
        <f>0</f>
        <v>0</v>
      </c>
      <c r="V19" s="151">
        <f>0</f>
        <v>0</v>
      </c>
      <c r="W19" s="151">
        <f>0</f>
        <v>0</v>
      </c>
      <c r="X19" s="151">
        <f>0</f>
        <v>0</v>
      </c>
      <c r="Y19" s="151">
        <f>0</f>
        <v>0</v>
      </c>
      <c r="Z19" s="200">
        <f>0</f>
        <v>0</v>
      </c>
      <c r="AA19" s="113">
        <f t="shared" si="0"/>
        <v>4</v>
      </c>
      <c r="AB19" s="157">
        <v>0</v>
      </c>
      <c r="AC19" s="120">
        <f t="shared" si="1"/>
        <v>4</v>
      </c>
      <c r="AD19" s="114">
        <v>44854</v>
      </c>
      <c r="AE19" s="177" t="s">
        <v>239</v>
      </c>
      <c r="AF19" s="84" t="s">
        <v>425</v>
      </c>
      <c r="AG19" s="555" t="s">
        <v>429</v>
      </c>
      <c r="AH19" s="187"/>
      <c r="AI19" s="88"/>
      <c r="AJ19" s="89">
        <v>4</v>
      </c>
      <c r="AK19" s="189">
        <f t="shared" si="2"/>
        <v>0</v>
      </c>
      <c r="AL19" s="88" t="s">
        <v>1315</v>
      </c>
      <c r="AM19" s="83"/>
      <c r="AN19" s="90"/>
      <c r="AO19" s="180"/>
    </row>
    <row r="20" spans="1:41" s="107" customFormat="1" ht="30.75" customHeight="1">
      <c r="A20" s="225">
        <v>15</v>
      </c>
      <c r="B20" s="234"/>
      <c r="C20" s="227" t="s">
        <v>424</v>
      </c>
      <c r="D20" s="171"/>
      <c r="E20" s="210"/>
      <c r="F20" s="248" t="s">
        <v>952</v>
      </c>
      <c r="G20" s="249" t="s">
        <v>402</v>
      </c>
      <c r="H20" s="250">
        <v>504747</v>
      </c>
      <c r="I20" s="251" t="s">
        <v>79</v>
      </c>
      <c r="J20" s="252"/>
      <c r="K20" s="253" t="s">
        <v>422</v>
      </c>
      <c r="L20" s="171"/>
      <c r="M20" s="171"/>
      <c r="N20" s="216" t="s">
        <v>71</v>
      </c>
      <c r="O20" s="323">
        <v>3</v>
      </c>
      <c r="P20" s="151">
        <f>0</f>
        <v>0</v>
      </c>
      <c r="Q20" s="151">
        <f>0</f>
        <v>0</v>
      </c>
      <c r="R20" s="151">
        <f>0</f>
        <v>0</v>
      </c>
      <c r="S20" s="151">
        <f>0</f>
        <v>0</v>
      </c>
      <c r="T20" s="151">
        <f>0</f>
        <v>0</v>
      </c>
      <c r="U20" s="151">
        <f>0</f>
        <v>0</v>
      </c>
      <c r="V20" s="151">
        <f>0</f>
        <v>0</v>
      </c>
      <c r="W20" s="151">
        <f>0</f>
        <v>0</v>
      </c>
      <c r="X20" s="151">
        <f>0</f>
        <v>0</v>
      </c>
      <c r="Y20" s="151">
        <f>0</f>
        <v>0</v>
      </c>
      <c r="Z20" s="200">
        <f>0</f>
        <v>0</v>
      </c>
      <c r="AA20" s="113">
        <f t="shared" si="0"/>
        <v>3</v>
      </c>
      <c r="AB20" s="157">
        <v>0</v>
      </c>
      <c r="AC20" s="120">
        <f t="shared" si="1"/>
        <v>3</v>
      </c>
      <c r="AD20" s="114">
        <v>44854</v>
      </c>
      <c r="AE20" s="177" t="s">
        <v>239</v>
      </c>
      <c r="AF20" s="84" t="s">
        <v>425</v>
      </c>
      <c r="AG20" s="555" t="s">
        <v>429</v>
      </c>
      <c r="AH20" s="187"/>
      <c r="AI20" s="88"/>
      <c r="AJ20" s="89">
        <v>3</v>
      </c>
      <c r="AK20" s="189">
        <f t="shared" si="2"/>
        <v>0</v>
      </c>
      <c r="AL20" s="88" t="s">
        <v>1240</v>
      </c>
      <c r="AM20" s="83"/>
      <c r="AN20" s="90"/>
      <c r="AO20" s="180"/>
    </row>
    <row r="21" spans="1:41" s="310" customFormat="1" ht="30.75" customHeight="1">
      <c r="A21" s="319">
        <v>16</v>
      </c>
      <c r="B21" s="302"/>
      <c r="C21" s="418" t="s">
        <v>424</v>
      </c>
      <c r="D21" s="219"/>
      <c r="E21" s="217"/>
      <c r="F21" s="508" t="s">
        <v>89</v>
      </c>
      <c r="G21" s="514" t="s">
        <v>90</v>
      </c>
      <c r="H21" s="518">
        <v>295439</v>
      </c>
      <c r="I21" s="527" t="s">
        <v>79</v>
      </c>
      <c r="J21" s="532"/>
      <c r="K21" s="487"/>
      <c r="L21" s="129"/>
      <c r="M21" s="129"/>
      <c r="N21" s="221" t="s">
        <v>71</v>
      </c>
      <c r="O21" s="323">
        <v>2</v>
      </c>
      <c r="P21" s="151">
        <f>0</f>
        <v>0</v>
      </c>
      <c r="Q21" s="151">
        <f>0</f>
        <v>0</v>
      </c>
      <c r="R21" s="151">
        <f>0</f>
        <v>0</v>
      </c>
      <c r="S21" s="151">
        <f>0</f>
        <v>0</v>
      </c>
      <c r="T21" s="151">
        <f>0</f>
        <v>0</v>
      </c>
      <c r="U21" s="151">
        <f>0</f>
        <v>0</v>
      </c>
      <c r="V21" s="151">
        <f>0</f>
        <v>0</v>
      </c>
      <c r="W21" s="151">
        <f>0</f>
        <v>0</v>
      </c>
      <c r="X21" s="151">
        <f>0</f>
        <v>0</v>
      </c>
      <c r="Y21" s="151">
        <f>0</f>
        <v>0</v>
      </c>
      <c r="Z21" s="200">
        <f>0</f>
        <v>0</v>
      </c>
      <c r="AA21" s="420">
        <f t="shared" si="0"/>
        <v>2</v>
      </c>
      <c r="AB21" s="541">
        <v>0</v>
      </c>
      <c r="AC21" s="546">
        <f t="shared" si="1"/>
        <v>2</v>
      </c>
      <c r="AD21" s="421">
        <v>44854</v>
      </c>
      <c r="AE21" s="134" t="s">
        <v>239</v>
      </c>
      <c r="AF21" s="129" t="s">
        <v>425</v>
      </c>
      <c r="AG21" s="555" t="s">
        <v>1475</v>
      </c>
      <c r="AH21" s="187"/>
      <c r="AI21" s="559" t="s">
        <v>1515</v>
      </c>
      <c r="AJ21" s="560">
        <v>2</v>
      </c>
      <c r="AK21" s="562">
        <f t="shared" si="2"/>
        <v>0</v>
      </c>
      <c r="AL21" s="564" t="s">
        <v>1539</v>
      </c>
      <c r="AM21" s="566"/>
      <c r="AN21" s="568"/>
      <c r="AO21" s="137"/>
    </row>
    <row r="22" spans="1:41" s="107" customFormat="1" ht="30.75" customHeight="1">
      <c r="A22" s="233">
        <v>17</v>
      </c>
      <c r="B22" s="234"/>
      <c r="C22" s="227" t="s">
        <v>424</v>
      </c>
      <c r="D22" s="171"/>
      <c r="E22" s="210"/>
      <c r="F22" s="242" t="s">
        <v>91</v>
      </c>
      <c r="G22" s="243" t="s">
        <v>92</v>
      </c>
      <c r="H22" s="244" t="s">
        <v>93</v>
      </c>
      <c r="I22" s="245" t="s">
        <v>79</v>
      </c>
      <c r="J22" s="246"/>
      <c r="K22" s="247"/>
      <c r="L22" s="171"/>
      <c r="M22" s="171"/>
      <c r="N22" s="216" t="s">
        <v>71</v>
      </c>
      <c r="O22" s="323">
        <v>4</v>
      </c>
      <c r="P22" s="151">
        <f>0</f>
        <v>0</v>
      </c>
      <c r="Q22" s="151">
        <f>0</f>
        <v>0</v>
      </c>
      <c r="R22" s="151">
        <f>0</f>
        <v>0</v>
      </c>
      <c r="S22" s="151">
        <f>0</f>
        <v>0</v>
      </c>
      <c r="T22" s="151">
        <f>0</f>
        <v>0</v>
      </c>
      <c r="U22" s="151">
        <f>0</f>
        <v>0</v>
      </c>
      <c r="V22" s="151">
        <f>0</f>
        <v>0</v>
      </c>
      <c r="W22" s="151">
        <f>0</f>
        <v>0</v>
      </c>
      <c r="X22" s="151">
        <f>0</f>
        <v>0</v>
      </c>
      <c r="Y22" s="151">
        <f>0</f>
        <v>0</v>
      </c>
      <c r="Z22" s="200">
        <f>0</f>
        <v>0</v>
      </c>
      <c r="AA22" s="113">
        <f t="shared" si="0"/>
        <v>4</v>
      </c>
      <c r="AB22" s="157">
        <v>4</v>
      </c>
      <c r="AC22" s="120">
        <f t="shared" si="1"/>
        <v>0</v>
      </c>
      <c r="AD22" s="114">
        <v>44854</v>
      </c>
      <c r="AE22" s="177" t="s">
        <v>239</v>
      </c>
      <c r="AF22" s="84" t="s">
        <v>426</v>
      </c>
      <c r="AG22" s="140"/>
      <c r="AH22" s="187"/>
      <c r="AI22" s="88"/>
      <c r="AJ22" s="89" t="s">
        <v>293</v>
      </c>
      <c r="AK22" s="189" t="e">
        <f t="shared" si="2"/>
        <v>#VALUE!</v>
      </c>
      <c r="AL22" s="88" t="s">
        <v>294</v>
      </c>
      <c r="AM22" s="83"/>
      <c r="AN22" s="90"/>
      <c r="AO22" s="180"/>
    </row>
    <row r="23" spans="1:41" s="310" customFormat="1" ht="30.75" customHeight="1">
      <c r="A23" s="319">
        <v>18</v>
      </c>
      <c r="B23" s="302"/>
      <c r="C23" s="418" t="s">
        <v>424</v>
      </c>
      <c r="D23" s="219"/>
      <c r="E23" s="217"/>
      <c r="F23" s="508" t="s">
        <v>94</v>
      </c>
      <c r="G23" s="514" t="s">
        <v>95</v>
      </c>
      <c r="H23" s="518">
        <v>295436</v>
      </c>
      <c r="I23" s="527" t="s">
        <v>79</v>
      </c>
      <c r="J23" s="532"/>
      <c r="K23" s="488" t="s">
        <v>423</v>
      </c>
      <c r="L23" s="129"/>
      <c r="M23" s="129"/>
      <c r="N23" s="221" t="s">
        <v>71</v>
      </c>
      <c r="O23" s="323">
        <v>5</v>
      </c>
      <c r="P23" s="151">
        <f>0</f>
        <v>0</v>
      </c>
      <c r="Q23" s="151">
        <f>0</f>
        <v>0</v>
      </c>
      <c r="R23" s="151">
        <f>0</f>
        <v>0</v>
      </c>
      <c r="S23" s="151">
        <f>0</f>
        <v>0</v>
      </c>
      <c r="T23" s="151">
        <f>0</f>
        <v>0</v>
      </c>
      <c r="U23" s="151">
        <f>0</f>
        <v>0</v>
      </c>
      <c r="V23" s="151">
        <f>0</f>
        <v>0</v>
      </c>
      <c r="W23" s="151">
        <f>0</f>
        <v>0</v>
      </c>
      <c r="X23" s="151">
        <f>0</f>
        <v>0</v>
      </c>
      <c r="Y23" s="151">
        <f>0</f>
        <v>0</v>
      </c>
      <c r="Z23" s="200">
        <f>0</f>
        <v>0</v>
      </c>
      <c r="AA23" s="420">
        <f t="shared" si="0"/>
        <v>5</v>
      </c>
      <c r="AB23" s="541">
        <v>0</v>
      </c>
      <c r="AC23" s="546">
        <f t="shared" si="1"/>
        <v>5</v>
      </c>
      <c r="AD23" s="421">
        <v>44854</v>
      </c>
      <c r="AE23" s="134" t="s">
        <v>239</v>
      </c>
      <c r="AF23" s="129" t="s">
        <v>425</v>
      </c>
      <c r="AG23" s="555" t="s">
        <v>1475</v>
      </c>
      <c r="AH23" s="187"/>
      <c r="AI23" s="559" t="s">
        <v>1515</v>
      </c>
      <c r="AJ23" s="560"/>
      <c r="AK23" s="562">
        <f t="shared" si="2"/>
        <v>5</v>
      </c>
      <c r="AL23" s="559"/>
      <c r="AM23" s="566"/>
      <c r="AN23" s="568"/>
      <c r="AO23" s="137"/>
    </row>
    <row r="24" spans="1:41" s="107" customFormat="1" ht="30.75" customHeight="1">
      <c r="A24" s="225">
        <v>19</v>
      </c>
      <c r="B24" s="234"/>
      <c r="C24" s="227" t="s">
        <v>424</v>
      </c>
      <c r="D24" s="171"/>
      <c r="E24" s="210"/>
      <c r="F24" s="242" t="s">
        <v>96</v>
      </c>
      <c r="G24" s="243" t="s">
        <v>97</v>
      </c>
      <c r="H24" s="244">
        <v>216227</v>
      </c>
      <c r="I24" s="245" t="s">
        <v>79</v>
      </c>
      <c r="J24" s="246"/>
      <c r="K24" s="253" t="s">
        <v>423</v>
      </c>
      <c r="L24" s="171"/>
      <c r="M24" s="171"/>
      <c r="N24" s="216" t="s">
        <v>71</v>
      </c>
      <c r="O24" s="323">
        <v>9</v>
      </c>
      <c r="P24" s="151">
        <f>0</f>
        <v>0</v>
      </c>
      <c r="Q24" s="151">
        <f>0</f>
        <v>0</v>
      </c>
      <c r="R24" s="151">
        <f>0</f>
        <v>0</v>
      </c>
      <c r="S24" s="151">
        <f>0</f>
        <v>0</v>
      </c>
      <c r="T24" s="151">
        <f>0</f>
        <v>0</v>
      </c>
      <c r="U24" s="151">
        <f>0</f>
        <v>0</v>
      </c>
      <c r="V24" s="151">
        <f>0</f>
        <v>0</v>
      </c>
      <c r="W24" s="151">
        <f>0</f>
        <v>0</v>
      </c>
      <c r="X24" s="151">
        <f>0</f>
        <v>0</v>
      </c>
      <c r="Y24" s="151">
        <f>0</f>
        <v>0</v>
      </c>
      <c r="Z24" s="200">
        <f>0</f>
        <v>0</v>
      </c>
      <c r="AA24" s="113">
        <f t="shared" si="0"/>
        <v>9</v>
      </c>
      <c r="AB24" s="157">
        <v>0</v>
      </c>
      <c r="AC24" s="120">
        <f t="shared" si="1"/>
        <v>9</v>
      </c>
      <c r="AD24" s="114">
        <v>44854</v>
      </c>
      <c r="AE24" s="177" t="s">
        <v>239</v>
      </c>
      <c r="AF24" s="84" t="s">
        <v>425</v>
      </c>
      <c r="AG24" s="555" t="s">
        <v>429</v>
      </c>
      <c r="AH24" s="187"/>
      <c r="AI24" s="88"/>
      <c r="AJ24" s="89">
        <v>9</v>
      </c>
      <c r="AK24" s="189">
        <f t="shared" si="2"/>
        <v>0</v>
      </c>
      <c r="AL24" s="88" t="s">
        <v>1246</v>
      </c>
      <c r="AM24" s="83"/>
      <c r="AN24" s="90"/>
      <c r="AO24" s="180"/>
    </row>
    <row r="25" spans="1:41" s="107" customFormat="1" ht="63.75" customHeight="1">
      <c r="A25" s="225">
        <v>20</v>
      </c>
      <c r="B25" s="234"/>
      <c r="C25" s="227" t="s">
        <v>424</v>
      </c>
      <c r="D25" s="217"/>
      <c r="E25" s="217"/>
      <c r="F25" s="255" t="s">
        <v>96</v>
      </c>
      <c r="G25" s="256" t="s">
        <v>98</v>
      </c>
      <c r="H25" s="257">
        <v>189332</v>
      </c>
      <c r="I25" s="258" t="s">
        <v>79</v>
      </c>
      <c r="J25" s="259"/>
      <c r="K25" s="253" t="s">
        <v>423</v>
      </c>
      <c r="L25" s="84"/>
      <c r="M25" s="84"/>
      <c r="N25" s="216" t="s">
        <v>71</v>
      </c>
      <c r="O25" s="323">
        <v>7</v>
      </c>
      <c r="P25" s="151">
        <f>0</f>
        <v>0</v>
      </c>
      <c r="Q25" s="151">
        <f>0</f>
        <v>0</v>
      </c>
      <c r="R25" s="151">
        <f>0</f>
        <v>0</v>
      </c>
      <c r="S25" s="151">
        <f>0</f>
        <v>0</v>
      </c>
      <c r="T25" s="151">
        <f>0</f>
        <v>0</v>
      </c>
      <c r="U25" s="151">
        <f>0</f>
        <v>0</v>
      </c>
      <c r="V25" s="151">
        <f>0</f>
        <v>0</v>
      </c>
      <c r="W25" s="151">
        <f>0</f>
        <v>0</v>
      </c>
      <c r="X25" s="151">
        <f>0</f>
        <v>0</v>
      </c>
      <c r="Y25" s="151">
        <f>0</f>
        <v>0</v>
      </c>
      <c r="Z25" s="200">
        <f>0</f>
        <v>0</v>
      </c>
      <c r="AA25" s="113">
        <f t="shared" si="0"/>
        <v>7</v>
      </c>
      <c r="AB25" s="157">
        <v>2</v>
      </c>
      <c r="AC25" s="120">
        <f t="shared" si="1"/>
        <v>5</v>
      </c>
      <c r="AD25" s="114">
        <v>44854</v>
      </c>
      <c r="AE25" s="177" t="s">
        <v>239</v>
      </c>
      <c r="AF25" s="84" t="s">
        <v>425</v>
      </c>
      <c r="AG25" s="555" t="s">
        <v>429</v>
      </c>
      <c r="AH25" s="187"/>
      <c r="AI25" s="88"/>
      <c r="AJ25" s="89" t="s">
        <v>1244</v>
      </c>
      <c r="AK25" s="189" t="e">
        <f t="shared" si="2"/>
        <v>#VALUE!</v>
      </c>
      <c r="AL25" s="88" t="s">
        <v>1245</v>
      </c>
      <c r="AM25" s="83"/>
      <c r="AN25" s="90"/>
      <c r="AO25" s="180"/>
    </row>
    <row r="26" spans="1:41" s="107" customFormat="1" ht="30.75" customHeight="1">
      <c r="A26" s="233">
        <v>21</v>
      </c>
      <c r="B26" s="234"/>
      <c r="C26" s="227" t="s">
        <v>424</v>
      </c>
      <c r="D26" s="171"/>
      <c r="E26" s="210"/>
      <c r="F26" s="242" t="s">
        <v>99</v>
      </c>
      <c r="G26" s="243" t="s">
        <v>100</v>
      </c>
      <c r="H26" s="244">
        <v>248691</v>
      </c>
      <c r="I26" s="245" t="s">
        <v>79</v>
      </c>
      <c r="J26" s="246"/>
      <c r="K26" s="262" t="s">
        <v>423</v>
      </c>
      <c r="L26" s="171"/>
      <c r="M26" s="171"/>
      <c r="N26" s="216" t="s">
        <v>71</v>
      </c>
      <c r="O26" s="323">
        <v>7</v>
      </c>
      <c r="P26" s="151">
        <f>0</f>
        <v>0</v>
      </c>
      <c r="Q26" s="151">
        <f>0</f>
        <v>0</v>
      </c>
      <c r="R26" s="151">
        <f>0</f>
        <v>0</v>
      </c>
      <c r="S26" s="151">
        <f>0</f>
        <v>0</v>
      </c>
      <c r="T26" s="151">
        <f>0</f>
        <v>0</v>
      </c>
      <c r="U26" s="151">
        <f>0</f>
        <v>0</v>
      </c>
      <c r="V26" s="151">
        <f>0</f>
        <v>0</v>
      </c>
      <c r="W26" s="151">
        <f>0</f>
        <v>0</v>
      </c>
      <c r="X26" s="151">
        <f>0</f>
        <v>0</v>
      </c>
      <c r="Y26" s="151">
        <f>0</f>
        <v>0</v>
      </c>
      <c r="Z26" s="200">
        <f>0</f>
        <v>0</v>
      </c>
      <c r="AA26" s="113">
        <f t="shared" si="0"/>
        <v>7</v>
      </c>
      <c r="AB26" s="157">
        <v>5</v>
      </c>
      <c r="AC26" s="120">
        <f t="shared" si="1"/>
        <v>2</v>
      </c>
      <c r="AD26" s="114">
        <v>44854</v>
      </c>
      <c r="AE26" s="177" t="s">
        <v>239</v>
      </c>
      <c r="AF26" s="84" t="s">
        <v>425</v>
      </c>
      <c r="AG26" s="555" t="s">
        <v>429</v>
      </c>
      <c r="AH26" s="187"/>
      <c r="AI26" s="88"/>
      <c r="AJ26" s="89">
        <v>2</v>
      </c>
      <c r="AK26" s="189">
        <f t="shared" si="2"/>
        <v>0</v>
      </c>
      <c r="AL26" s="88" t="s">
        <v>1240</v>
      </c>
      <c r="AM26" s="83"/>
      <c r="AN26" s="90"/>
      <c r="AO26" s="180"/>
    </row>
    <row r="27" spans="1:41" s="107" customFormat="1" ht="51" customHeight="1">
      <c r="A27" s="225">
        <v>22</v>
      </c>
      <c r="B27" s="234"/>
      <c r="C27" s="227" t="s">
        <v>424</v>
      </c>
      <c r="D27" s="217"/>
      <c r="E27" s="217"/>
      <c r="F27" s="255" t="s">
        <v>101</v>
      </c>
      <c r="G27" s="256" t="s">
        <v>102</v>
      </c>
      <c r="H27" s="257">
        <v>285508</v>
      </c>
      <c r="I27" s="258" t="s">
        <v>79</v>
      </c>
      <c r="J27" s="259"/>
      <c r="K27" s="247"/>
      <c r="L27" s="84"/>
      <c r="M27" s="84"/>
      <c r="N27" s="216" t="s">
        <v>71</v>
      </c>
      <c r="O27" s="323">
        <v>1</v>
      </c>
      <c r="P27" s="151">
        <f>0</f>
        <v>0</v>
      </c>
      <c r="Q27" s="151">
        <f>0</f>
        <v>0</v>
      </c>
      <c r="R27" s="151">
        <f>0</f>
        <v>0</v>
      </c>
      <c r="S27" s="151">
        <f>0</f>
        <v>0</v>
      </c>
      <c r="T27" s="151">
        <f>0</f>
        <v>0</v>
      </c>
      <c r="U27" s="151">
        <f>0</f>
        <v>0</v>
      </c>
      <c r="V27" s="151">
        <f>0</f>
        <v>0</v>
      </c>
      <c r="W27" s="151">
        <f>0</f>
        <v>0</v>
      </c>
      <c r="X27" s="151">
        <f>0</f>
        <v>0</v>
      </c>
      <c r="Y27" s="151">
        <f>0</f>
        <v>0</v>
      </c>
      <c r="Z27" s="200">
        <f>0</f>
        <v>0</v>
      </c>
      <c r="AA27" s="113">
        <f t="shared" si="0"/>
        <v>1</v>
      </c>
      <c r="AB27" s="157">
        <v>0</v>
      </c>
      <c r="AC27" s="120">
        <f t="shared" si="1"/>
        <v>1</v>
      </c>
      <c r="AD27" s="114">
        <v>44854</v>
      </c>
      <c r="AE27" s="177" t="s">
        <v>239</v>
      </c>
      <c r="AF27" s="84" t="s">
        <v>425</v>
      </c>
      <c r="AG27" s="555" t="s">
        <v>429</v>
      </c>
      <c r="AH27" s="187"/>
      <c r="AI27" s="88"/>
      <c r="AJ27" s="89">
        <v>1</v>
      </c>
      <c r="AK27" s="189">
        <f t="shared" si="2"/>
        <v>0</v>
      </c>
      <c r="AL27" s="88" t="s">
        <v>1454</v>
      </c>
      <c r="AM27" s="83"/>
      <c r="AN27" s="90"/>
      <c r="AO27" s="180"/>
    </row>
    <row r="28" spans="1:41" s="107" customFormat="1" ht="30.75" customHeight="1">
      <c r="A28" s="225">
        <v>23</v>
      </c>
      <c r="B28" s="234"/>
      <c r="C28" s="227" t="s">
        <v>424</v>
      </c>
      <c r="D28" s="171"/>
      <c r="E28" s="210"/>
      <c r="F28" s="263" t="s">
        <v>412</v>
      </c>
      <c r="G28" s="264" t="s">
        <v>403</v>
      </c>
      <c r="H28" s="265">
        <v>608170</v>
      </c>
      <c r="I28" s="261" t="s">
        <v>79</v>
      </c>
      <c r="J28" s="266"/>
      <c r="K28" s="253" t="s">
        <v>407</v>
      </c>
      <c r="L28" s="171"/>
      <c r="M28" s="171"/>
      <c r="N28" s="216" t="s">
        <v>71</v>
      </c>
      <c r="O28" s="323">
        <v>1</v>
      </c>
      <c r="P28" s="151">
        <f>0</f>
        <v>0</v>
      </c>
      <c r="Q28" s="151">
        <f>0</f>
        <v>0</v>
      </c>
      <c r="R28" s="151">
        <f>0</f>
        <v>0</v>
      </c>
      <c r="S28" s="151">
        <f>0</f>
        <v>0</v>
      </c>
      <c r="T28" s="151">
        <f>0</f>
        <v>0</v>
      </c>
      <c r="U28" s="151">
        <f>0</f>
        <v>0</v>
      </c>
      <c r="V28" s="151">
        <f>0</f>
        <v>0</v>
      </c>
      <c r="W28" s="151">
        <f>0</f>
        <v>0</v>
      </c>
      <c r="X28" s="151">
        <f>0</f>
        <v>0</v>
      </c>
      <c r="Y28" s="151">
        <f>0</f>
        <v>0</v>
      </c>
      <c r="Z28" s="200">
        <f>0</f>
        <v>0</v>
      </c>
      <c r="AA28" s="113">
        <f t="shared" si="0"/>
        <v>1</v>
      </c>
      <c r="AB28" s="157">
        <v>0</v>
      </c>
      <c r="AC28" s="120">
        <f t="shared" si="1"/>
        <v>1</v>
      </c>
      <c r="AD28" s="114">
        <v>44854</v>
      </c>
      <c r="AE28" s="177" t="s">
        <v>239</v>
      </c>
      <c r="AF28" s="84" t="s">
        <v>425</v>
      </c>
      <c r="AG28" s="554" t="s">
        <v>428</v>
      </c>
      <c r="AH28" s="187"/>
      <c r="AI28" s="88"/>
      <c r="AJ28" s="89">
        <v>1</v>
      </c>
      <c r="AK28" s="189">
        <f t="shared" si="2"/>
        <v>0</v>
      </c>
      <c r="AL28" s="88" t="s">
        <v>1496</v>
      </c>
      <c r="AM28" s="83"/>
      <c r="AN28" s="90"/>
      <c r="AO28" s="180"/>
    </row>
    <row r="29" spans="1:41" s="107" customFormat="1" ht="30.75" customHeight="1">
      <c r="A29" s="225">
        <v>24</v>
      </c>
      <c r="B29" s="234"/>
      <c r="C29" s="227" t="s">
        <v>424</v>
      </c>
      <c r="D29" s="217" t="s">
        <v>105</v>
      </c>
      <c r="E29" s="217"/>
      <c r="F29" s="242" t="s">
        <v>106</v>
      </c>
      <c r="G29" s="243" t="s">
        <v>107</v>
      </c>
      <c r="H29" s="244">
        <v>248660</v>
      </c>
      <c r="I29" s="245" t="s">
        <v>79</v>
      </c>
      <c r="J29" s="246"/>
      <c r="K29" s="247"/>
      <c r="L29" s="84"/>
      <c r="M29" s="84"/>
      <c r="N29" s="216" t="s">
        <v>71</v>
      </c>
      <c r="O29" s="323">
        <v>2</v>
      </c>
      <c r="P29" s="151">
        <f>0</f>
        <v>0</v>
      </c>
      <c r="Q29" s="151">
        <f>0</f>
        <v>0</v>
      </c>
      <c r="R29" s="151">
        <f>0</f>
        <v>0</v>
      </c>
      <c r="S29" s="151">
        <f>0</f>
        <v>0</v>
      </c>
      <c r="T29" s="151">
        <f>0</f>
        <v>0</v>
      </c>
      <c r="U29" s="151">
        <f>0</f>
        <v>0</v>
      </c>
      <c r="V29" s="151">
        <f>0</f>
        <v>0</v>
      </c>
      <c r="W29" s="151">
        <f>0</f>
        <v>0</v>
      </c>
      <c r="X29" s="151">
        <f>0</f>
        <v>0</v>
      </c>
      <c r="Y29" s="151">
        <f>0</f>
        <v>0</v>
      </c>
      <c r="Z29" s="200">
        <f>0</f>
        <v>0</v>
      </c>
      <c r="AA29" s="113">
        <f t="shared" si="0"/>
        <v>2</v>
      </c>
      <c r="AB29" s="157">
        <v>0</v>
      </c>
      <c r="AC29" s="120">
        <f t="shared" si="1"/>
        <v>2</v>
      </c>
      <c r="AD29" s="114">
        <v>44854</v>
      </c>
      <c r="AE29" s="177" t="s">
        <v>239</v>
      </c>
      <c r="AF29" s="84" t="s">
        <v>425</v>
      </c>
      <c r="AG29" s="554" t="s">
        <v>428</v>
      </c>
      <c r="AH29" s="187"/>
      <c r="AI29" s="88"/>
      <c r="AJ29" s="89">
        <v>2</v>
      </c>
      <c r="AK29" s="189">
        <f t="shared" si="2"/>
        <v>0</v>
      </c>
      <c r="AL29" s="88" t="s">
        <v>1474</v>
      </c>
      <c r="AM29" s="83"/>
      <c r="AN29" s="90"/>
      <c r="AO29" s="180"/>
    </row>
    <row r="30" spans="1:41" s="107" customFormat="1" ht="52.5">
      <c r="A30" s="233">
        <v>25</v>
      </c>
      <c r="B30" s="234"/>
      <c r="C30" s="227" t="s">
        <v>424</v>
      </c>
      <c r="D30" s="171" t="s">
        <v>105</v>
      </c>
      <c r="E30" s="210"/>
      <c r="F30" s="255" t="s">
        <v>106</v>
      </c>
      <c r="G30" s="256" t="s">
        <v>108</v>
      </c>
      <c r="H30" s="257">
        <v>248658</v>
      </c>
      <c r="I30" s="258" t="s">
        <v>79</v>
      </c>
      <c r="J30" s="259"/>
      <c r="K30" s="253"/>
      <c r="L30" s="171"/>
      <c r="M30" s="171"/>
      <c r="N30" s="216" t="s">
        <v>71</v>
      </c>
      <c r="O30" s="323">
        <v>5</v>
      </c>
      <c r="P30" s="151">
        <f>0</f>
        <v>0</v>
      </c>
      <c r="Q30" s="151">
        <f>0</f>
        <v>0</v>
      </c>
      <c r="R30" s="151">
        <f>0</f>
        <v>0</v>
      </c>
      <c r="S30" s="151">
        <f>0</f>
        <v>0</v>
      </c>
      <c r="T30" s="151">
        <f>0</f>
        <v>0</v>
      </c>
      <c r="U30" s="151">
        <f>0</f>
        <v>0</v>
      </c>
      <c r="V30" s="151">
        <f>0</f>
        <v>0</v>
      </c>
      <c r="W30" s="151">
        <f>0</f>
        <v>0</v>
      </c>
      <c r="X30" s="151">
        <f>0</f>
        <v>0</v>
      </c>
      <c r="Y30" s="151">
        <f>0</f>
        <v>0</v>
      </c>
      <c r="Z30" s="200">
        <f>0</f>
        <v>0</v>
      </c>
      <c r="AA30" s="113">
        <f t="shared" si="0"/>
        <v>5</v>
      </c>
      <c r="AB30" s="157">
        <v>2</v>
      </c>
      <c r="AC30" s="120">
        <f t="shared" si="1"/>
        <v>3</v>
      </c>
      <c r="AD30" s="114">
        <v>44854</v>
      </c>
      <c r="AE30" s="177" t="s">
        <v>239</v>
      </c>
      <c r="AF30" s="84"/>
      <c r="AG30" s="554" t="s">
        <v>428</v>
      </c>
      <c r="AH30" s="187"/>
      <c r="AI30" s="88"/>
      <c r="AJ30" s="89" t="s">
        <v>1535</v>
      </c>
      <c r="AK30" s="189" t="e">
        <f t="shared" si="2"/>
        <v>#VALUE!</v>
      </c>
      <c r="AL30" s="88" t="s">
        <v>1536</v>
      </c>
      <c r="AM30" s="83"/>
      <c r="AN30" s="90"/>
      <c r="AO30" s="180"/>
    </row>
    <row r="31" spans="1:41" s="107" customFormat="1" ht="30.75" customHeight="1">
      <c r="A31" s="225">
        <v>26</v>
      </c>
      <c r="B31" s="234"/>
      <c r="C31" s="227" t="s">
        <v>424</v>
      </c>
      <c r="D31" s="217"/>
      <c r="E31" s="217"/>
      <c r="F31" s="242" t="s">
        <v>103</v>
      </c>
      <c r="G31" s="243" t="s">
        <v>104</v>
      </c>
      <c r="H31" s="244">
        <v>227986</v>
      </c>
      <c r="I31" s="245" t="s">
        <v>79</v>
      </c>
      <c r="J31" s="246" t="s">
        <v>413</v>
      </c>
      <c r="K31" s="253"/>
      <c r="L31" s="84"/>
      <c r="M31" s="84"/>
      <c r="N31" s="216" t="s">
        <v>71</v>
      </c>
      <c r="O31" s="323">
        <v>7</v>
      </c>
      <c r="P31" s="151">
        <f>0</f>
        <v>0</v>
      </c>
      <c r="Q31" s="151">
        <f>0</f>
        <v>0</v>
      </c>
      <c r="R31" s="151">
        <f>0</f>
        <v>0</v>
      </c>
      <c r="S31" s="151">
        <f>0</f>
        <v>0</v>
      </c>
      <c r="T31" s="151">
        <f>0</f>
        <v>0</v>
      </c>
      <c r="U31" s="151">
        <f>0</f>
        <v>0</v>
      </c>
      <c r="V31" s="151">
        <f>0</f>
        <v>0</v>
      </c>
      <c r="W31" s="151">
        <f>0</f>
        <v>0</v>
      </c>
      <c r="X31" s="151">
        <f>0</f>
        <v>0</v>
      </c>
      <c r="Y31" s="151">
        <f>0</f>
        <v>0</v>
      </c>
      <c r="Z31" s="200">
        <f>0</f>
        <v>0</v>
      </c>
      <c r="AA31" s="113">
        <f t="shared" si="0"/>
        <v>7</v>
      </c>
      <c r="AB31" s="157">
        <v>7</v>
      </c>
      <c r="AC31" s="120">
        <f t="shared" si="1"/>
        <v>0</v>
      </c>
      <c r="AD31" s="114">
        <v>44854</v>
      </c>
      <c r="AE31" s="177" t="s">
        <v>239</v>
      </c>
      <c r="AF31" s="84" t="s">
        <v>426</v>
      </c>
      <c r="AG31" s="140"/>
      <c r="AH31" s="187"/>
      <c r="AI31" s="88"/>
      <c r="AJ31" s="89" t="s">
        <v>1476</v>
      </c>
      <c r="AK31" s="189" t="e">
        <f t="shared" si="2"/>
        <v>#VALUE!</v>
      </c>
      <c r="AL31" s="88" t="s">
        <v>291</v>
      </c>
      <c r="AM31" s="83"/>
      <c r="AN31" s="90"/>
      <c r="AO31" s="180"/>
    </row>
    <row r="32" spans="1:41" s="107" customFormat="1" ht="30.75" customHeight="1">
      <c r="A32" s="225">
        <v>27</v>
      </c>
      <c r="B32" s="234"/>
      <c r="C32" s="227" t="s">
        <v>424</v>
      </c>
      <c r="D32" s="171"/>
      <c r="E32" s="210"/>
      <c r="F32" s="255" t="s">
        <v>111</v>
      </c>
      <c r="G32" s="256" t="s">
        <v>113</v>
      </c>
      <c r="H32" s="257">
        <v>210803</v>
      </c>
      <c r="I32" s="258" t="s">
        <v>79</v>
      </c>
      <c r="J32" s="259" t="s">
        <v>414</v>
      </c>
      <c r="K32" s="535"/>
      <c r="L32" s="171"/>
      <c r="M32" s="171"/>
      <c r="N32" s="216" t="s">
        <v>71</v>
      </c>
      <c r="O32" s="323">
        <v>1</v>
      </c>
      <c r="P32" s="151">
        <f>0</f>
        <v>0</v>
      </c>
      <c r="Q32" s="151">
        <f>0</f>
        <v>0</v>
      </c>
      <c r="R32" s="151">
        <f>0</f>
        <v>0</v>
      </c>
      <c r="S32" s="151">
        <f>0</f>
        <v>0</v>
      </c>
      <c r="T32" s="151">
        <f>0</f>
        <v>0</v>
      </c>
      <c r="U32" s="151">
        <f>0</f>
        <v>0</v>
      </c>
      <c r="V32" s="151">
        <f>0</f>
        <v>0</v>
      </c>
      <c r="W32" s="151">
        <f>0</f>
        <v>0</v>
      </c>
      <c r="X32" s="151">
        <f>0</f>
        <v>0</v>
      </c>
      <c r="Y32" s="151">
        <f>0</f>
        <v>0</v>
      </c>
      <c r="Z32" s="200">
        <f>0</f>
        <v>0</v>
      </c>
      <c r="AA32" s="113">
        <f t="shared" si="0"/>
        <v>1</v>
      </c>
      <c r="AB32" s="157">
        <v>1</v>
      </c>
      <c r="AC32" s="120">
        <f t="shared" si="1"/>
        <v>0</v>
      </c>
      <c r="AD32" s="114">
        <v>44854</v>
      </c>
      <c r="AE32" s="177" t="s">
        <v>239</v>
      </c>
      <c r="AF32" s="84"/>
      <c r="AG32" s="188"/>
      <c r="AH32" s="187"/>
      <c r="AI32" s="88"/>
      <c r="AJ32" s="89" t="s">
        <v>284</v>
      </c>
      <c r="AK32" s="189" t="e">
        <f t="shared" si="2"/>
        <v>#VALUE!</v>
      </c>
      <c r="AL32" s="88" t="s">
        <v>294</v>
      </c>
      <c r="AM32" s="83"/>
      <c r="AN32" s="90"/>
      <c r="AO32" s="180"/>
    </row>
    <row r="33" spans="1:41" s="107" customFormat="1" ht="30.75" customHeight="1">
      <c r="A33" s="225">
        <v>28</v>
      </c>
      <c r="B33" s="234"/>
      <c r="C33" s="227" t="s">
        <v>424</v>
      </c>
      <c r="D33" s="217"/>
      <c r="E33" s="217"/>
      <c r="F33" s="242" t="s">
        <v>122</v>
      </c>
      <c r="G33" s="243" t="s">
        <v>128</v>
      </c>
      <c r="H33" s="244" t="s">
        <v>129</v>
      </c>
      <c r="I33" s="245" t="s">
        <v>79</v>
      </c>
      <c r="J33" s="246" t="s">
        <v>414</v>
      </c>
      <c r="K33" s="535"/>
      <c r="L33" s="84"/>
      <c r="M33" s="84"/>
      <c r="N33" s="216" t="s">
        <v>71</v>
      </c>
      <c r="O33" s="323">
        <v>1</v>
      </c>
      <c r="P33" s="151">
        <f>0</f>
        <v>0</v>
      </c>
      <c r="Q33" s="151">
        <f>0</f>
        <v>0</v>
      </c>
      <c r="R33" s="151">
        <f>0</f>
        <v>0</v>
      </c>
      <c r="S33" s="151">
        <f>0</f>
        <v>0</v>
      </c>
      <c r="T33" s="151">
        <f>0</f>
        <v>0</v>
      </c>
      <c r="U33" s="151">
        <f>0</f>
        <v>0</v>
      </c>
      <c r="V33" s="151">
        <f>0</f>
        <v>0</v>
      </c>
      <c r="W33" s="151">
        <f>0</f>
        <v>0</v>
      </c>
      <c r="X33" s="151">
        <f>0</f>
        <v>0</v>
      </c>
      <c r="Y33" s="151">
        <f>0</f>
        <v>0</v>
      </c>
      <c r="Z33" s="200">
        <f>0</f>
        <v>0</v>
      </c>
      <c r="AA33" s="113">
        <f t="shared" si="0"/>
        <v>1</v>
      </c>
      <c r="AB33" s="157">
        <v>0</v>
      </c>
      <c r="AC33" s="120">
        <f t="shared" si="1"/>
        <v>1</v>
      </c>
      <c r="AD33" s="114">
        <v>44854</v>
      </c>
      <c r="AE33" s="177" t="s">
        <v>239</v>
      </c>
      <c r="AF33" s="84" t="s">
        <v>425</v>
      </c>
      <c r="AG33" s="147" t="s">
        <v>428</v>
      </c>
      <c r="AH33" s="187"/>
      <c r="AI33" s="88"/>
      <c r="AJ33" s="89" t="s">
        <v>284</v>
      </c>
      <c r="AK33" s="189" t="e">
        <f t="shared" si="2"/>
        <v>#VALUE!</v>
      </c>
      <c r="AL33" s="88" t="s">
        <v>294</v>
      </c>
      <c r="AM33" s="83"/>
      <c r="AN33" s="90"/>
      <c r="AO33" s="180"/>
    </row>
    <row r="34" spans="1:41" s="107" customFormat="1" ht="30.75" customHeight="1">
      <c r="A34" s="233">
        <v>29</v>
      </c>
      <c r="B34" s="234"/>
      <c r="C34" s="227" t="s">
        <v>424</v>
      </c>
      <c r="D34" s="171"/>
      <c r="E34" s="210"/>
      <c r="F34" s="255" t="s">
        <v>125</v>
      </c>
      <c r="G34" s="256" t="s">
        <v>130</v>
      </c>
      <c r="H34" s="257" t="s">
        <v>131</v>
      </c>
      <c r="I34" s="258" t="s">
        <v>79</v>
      </c>
      <c r="J34" s="259" t="s">
        <v>414</v>
      </c>
      <c r="K34" s="535"/>
      <c r="L34" s="171"/>
      <c r="M34" s="171"/>
      <c r="N34" s="216" t="s">
        <v>71</v>
      </c>
      <c r="O34" s="323">
        <v>1</v>
      </c>
      <c r="P34" s="151">
        <f>0</f>
        <v>0</v>
      </c>
      <c r="Q34" s="151">
        <f>0</f>
        <v>0</v>
      </c>
      <c r="R34" s="151">
        <f>0</f>
        <v>0</v>
      </c>
      <c r="S34" s="151">
        <f>0</f>
        <v>0</v>
      </c>
      <c r="T34" s="151">
        <f>0</f>
        <v>0</v>
      </c>
      <c r="U34" s="151">
        <f>0</f>
        <v>0</v>
      </c>
      <c r="V34" s="151">
        <f>0</f>
        <v>0</v>
      </c>
      <c r="W34" s="151">
        <f>0</f>
        <v>0</v>
      </c>
      <c r="X34" s="151">
        <f>0</f>
        <v>0</v>
      </c>
      <c r="Y34" s="151">
        <f>0</f>
        <v>0</v>
      </c>
      <c r="Z34" s="200">
        <f>0</f>
        <v>0</v>
      </c>
      <c r="AA34" s="113">
        <f t="shared" si="0"/>
        <v>1</v>
      </c>
      <c r="AB34" s="157">
        <v>0</v>
      </c>
      <c r="AC34" s="120">
        <f t="shared" si="1"/>
        <v>1</v>
      </c>
      <c r="AD34" s="114">
        <v>44854</v>
      </c>
      <c r="AE34" s="177" t="s">
        <v>239</v>
      </c>
      <c r="AF34" s="84"/>
      <c r="AG34" s="554" t="s">
        <v>428</v>
      </c>
      <c r="AH34" s="187"/>
      <c r="AI34" s="88"/>
      <c r="AJ34" s="89"/>
      <c r="AK34" s="189">
        <f t="shared" si="2"/>
        <v>1</v>
      </c>
      <c r="AL34" s="88"/>
      <c r="AM34" s="83"/>
      <c r="AN34" s="90"/>
      <c r="AO34" s="180"/>
    </row>
    <row r="35" spans="1:41" s="107" customFormat="1" ht="30.75" customHeight="1">
      <c r="A35" s="225">
        <v>30</v>
      </c>
      <c r="B35" s="234"/>
      <c r="C35" s="227" t="s">
        <v>424</v>
      </c>
      <c r="D35" s="217"/>
      <c r="E35" s="217"/>
      <c r="F35" s="242" t="s">
        <v>109</v>
      </c>
      <c r="G35" s="243" t="s">
        <v>110</v>
      </c>
      <c r="H35" s="244">
        <v>210801</v>
      </c>
      <c r="I35" s="245" t="s">
        <v>79</v>
      </c>
      <c r="J35" s="246" t="s">
        <v>415</v>
      </c>
      <c r="K35" s="535"/>
      <c r="L35" s="84"/>
      <c r="M35" s="84"/>
      <c r="N35" s="216" t="s">
        <v>71</v>
      </c>
      <c r="O35" s="323">
        <v>1</v>
      </c>
      <c r="P35" s="151">
        <f>0</f>
        <v>0</v>
      </c>
      <c r="Q35" s="151">
        <f>0</f>
        <v>0</v>
      </c>
      <c r="R35" s="151">
        <f>0</f>
        <v>0</v>
      </c>
      <c r="S35" s="151">
        <f>0</f>
        <v>0</v>
      </c>
      <c r="T35" s="151">
        <f>0</f>
        <v>0</v>
      </c>
      <c r="U35" s="151">
        <f>0</f>
        <v>0</v>
      </c>
      <c r="V35" s="151">
        <f>0</f>
        <v>0</v>
      </c>
      <c r="W35" s="151">
        <f>0</f>
        <v>0</v>
      </c>
      <c r="X35" s="151">
        <f>0</f>
        <v>0</v>
      </c>
      <c r="Y35" s="151">
        <f>0</f>
        <v>0</v>
      </c>
      <c r="Z35" s="200">
        <f>0</f>
        <v>0</v>
      </c>
      <c r="AA35" s="113">
        <f t="shared" si="0"/>
        <v>1</v>
      </c>
      <c r="AB35" s="157">
        <v>0</v>
      </c>
      <c r="AC35" s="120">
        <f t="shared" si="1"/>
        <v>1</v>
      </c>
      <c r="AD35" s="114">
        <v>44854</v>
      </c>
      <c r="AE35" s="177" t="s">
        <v>239</v>
      </c>
      <c r="AF35" s="84" t="s">
        <v>425</v>
      </c>
      <c r="AG35" s="554" t="s">
        <v>428</v>
      </c>
      <c r="AH35" s="187"/>
      <c r="AI35" s="88"/>
      <c r="AJ35" s="89" t="s">
        <v>284</v>
      </c>
      <c r="AK35" s="189" t="e">
        <f t="shared" si="2"/>
        <v>#VALUE!</v>
      </c>
      <c r="AL35" s="88" t="s">
        <v>294</v>
      </c>
      <c r="AM35" s="83"/>
      <c r="AN35" s="90"/>
      <c r="AO35" s="180"/>
    </row>
    <row r="36" spans="1:41" s="107" customFormat="1" ht="30.75" customHeight="1">
      <c r="A36" s="225">
        <v>31</v>
      </c>
      <c r="B36" s="234"/>
      <c r="C36" s="227" t="s">
        <v>424</v>
      </c>
      <c r="D36" s="171"/>
      <c r="E36" s="210"/>
      <c r="F36" s="255" t="s">
        <v>116</v>
      </c>
      <c r="G36" s="256" t="s">
        <v>117</v>
      </c>
      <c r="H36" s="257" t="s">
        <v>118</v>
      </c>
      <c r="I36" s="258" t="s">
        <v>79</v>
      </c>
      <c r="J36" s="259" t="s">
        <v>415</v>
      </c>
      <c r="K36" s="535"/>
      <c r="L36" s="171"/>
      <c r="M36" s="171"/>
      <c r="N36" s="216" t="s">
        <v>71</v>
      </c>
      <c r="O36" s="323">
        <v>1</v>
      </c>
      <c r="P36" s="151">
        <f>0</f>
        <v>0</v>
      </c>
      <c r="Q36" s="151">
        <f>0</f>
        <v>0</v>
      </c>
      <c r="R36" s="151">
        <f>0</f>
        <v>0</v>
      </c>
      <c r="S36" s="151">
        <f>0</f>
        <v>0</v>
      </c>
      <c r="T36" s="151">
        <f>0</f>
        <v>0</v>
      </c>
      <c r="U36" s="151">
        <f>0</f>
        <v>0</v>
      </c>
      <c r="V36" s="151">
        <f>0</f>
        <v>0</v>
      </c>
      <c r="W36" s="151">
        <f>0</f>
        <v>0</v>
      </c>
      <c r="X36" s="151">
        <f>0</f>
        <v>0</v>
      </c>
      <c r="Y36" s="151">
        <f>0</f>
        <v>0</v>
      </c>
      <c r="Z36" s="200">
        <f>0</f>
        <v>0</v>
      </c>
      <c r="AA36" s="113">
        <f t="shared" si="0"/>
        <v>1</v>
      </c>
      <c r="AB36" s="157">
        <v>0</v>
      </c>
      <c r="AC36" s="120">
        <f t="shared" si="1"/>
        <v>1</v>
      </c>
      <c r="AD36" s="114">
        <v>44854</v>
      </c>
      <c r="AE36" s="177" t="s">
        <v>239</v>
      </c>
      <c r="AF36" s="84" t="s">
        <v>425</v>
      </c>
      <c r="AG36" s="554" t="s">
        <v>428</v>
      </c>
      <c r="AH36" s="187"/>
      <c r="AI36" s="88"/>
      <c r="AJ36" s="89"/>
      <c r="AK36" s="189">
        <f t="shared" si="2"/>
        <v>1</v>
      </c>
      <c r="AL36" s="88"/>
      <c r="AM36" s="83"/>
      <c r="AN36" s="90"/>
      <c r="AO36" s="180"/>
    </row>
    <row r="37" spans="1:41" s="107" customFormat="1" ht="30.75" customHeight="1">
      <c r="A37" s="225">
        <v>32</v>
      </c>
      <c r="B37" s="234"/>
      <c r="C37" s="227" t="s">
        <v>424</v>
      </c>
      <c r="D37" s="217"/>
      <c r="E37" s="217"/>
      <c r="F37" s="242" t="s">
        <v>119</v>
      </c>
      <c r="G37" s="243" t="s">
        <v>120</v>
      </c>
      <c r="H37" s="244" t="s">
        <v>121</v>
      </c>
      <c r="I37" s="245" t="s">
        <v>79</v>
      </c>
      <c r="J37" s="246" t="s">
        <v>415</v>
      </c>
      <c r="K37" s="535"/>
      <c r="L37" s="84"/>
      <c r="M37" s="84"/>
      <c r="N37" s="216" t="s">
        <v>71</v>
      </c>
      <c r="O37" s="323">
        <v>1</v>
      </c>
      <c r="P37" s="151">
        <f>0</f>
        <v>0</v>
      </c>
      <c r="Q37" s="151">
        <f>0</f>
        <v>0</v>
      </c>
      <c r="R37" s="151">
        <f>0</f>
        <v>0</v>
      </c>
      <c r="S37" s="151">
        <f>0</f>
        <v>0</v>
      </c>
      <c r="T37" s="151">
        <f>0</f>
        <v>0</v>
      </c>
      <c r="U37" s="151">
        <f>0</f>
        <v>0</v>
      </c>
      <c r="V37" s="151">
        <f>0</f>
        <v>0</v>
      </c>
      <c r="W37" s="151">
        <f>0</f>
        <v>0</v>
      </c>
      <c r="X37" s="151">
        <f>0</f>
        <v>0</v>
      </c>
      <c r="Y37" s="151">
        <f>0</f>
        <v>0</v>
      </c>
      <c r="Z37" s="200">
        <f>0</f>
        <v>0</v>
      </c>
      <c r="AA37" s="113">
        <f t="shared" si="0"/>
        <v>1</v>
      </c>
      <c r="AB37" s="157">
        <v>0</v>
      </c>
      <c r="AC37" s="120">
        <f t="shared" si="1"/>
        <v>1</v>
      </c>
      <c r="AD37" s="114">
        <v>44854</v>
      </c>
      <c r="AE37" s="177" t="s">
        <v>239</v>
      </c>
      <c r="AF37" s="84" t="s">
        <v>425</v>
      </c>
      <c r="AG37" s="554" t="s">
        <v>428</v>
      </c>
      <c r="AH37" s="187"/>
      <c r="AI37" s="88"/>
      <c r="AJ37" s="89"/>
      <c r="AK37" s="189">
        <f t="shared" si="2"/>
        <v>1</v>
      </c>
      <c r="AL37" s="88"/>
      <c r="AM37" s="83"/>
      <c r="AN37" s="90"/>
      <c r="AO37" s="180"/>
    </row>
    <row r="38" spans="1:41" s="107" customFormat="1" ht="30.75" customHeight="1">
      <c r="A38" s="233">
        <v>33</v>
      </c>
      <c r="B38" s="234"/>
      <c r="C38" s="227" t="s">
        <v>424</v>
      </c>
      <c r="D38" s="171"/>
      <c r="E38" s="210"/>
      <c r="F38" s="255" t="s">
        <v>122</v>
      </c>
      <c r="G38" s="256" t="s">
        <v>123</v>
      </c>
      <c r="H38" s="257" t="s">
        <v>124</v>
      </c>
      <c r="I38" s="258" t="s">
        <v>79</v>
      </c>
      <c r="J38" s="259" t="s">
        <v>416</v>
      </c>
      <c r="K38" s="535"/>
      <c r="L38" s="171"/>
      <c r="M38" s="171"/>
      <c r="N38" s="216" t="s">
        <v>71</v>
      </c>
      <c r="O38" s="323">
        <v>1</v>
      </c>
      <c r="P38" s="151">
        <f>0</f>
        <v>0</v>
      </c>
      <c r="Q38" s="151">
        <f>0</f>
        <v>0</v>
      </c>
      <c r="R38" s="151">
        <f>0</f>
        <v>0</v>
      </c>
      <c r="S38" s="151">
        <f>0</f>
        <v>0</v>
      </c>
      <c r="T38" s="151">
        <f>0</f>
        <v>0</v>
      </c>
      <c r="U38" s="151">
        <f>0</f>
        <v>0</v>
      </c>
      <c r="V38" s="151">
        <f>0</f>
        <v>0</v>
      </c>
      <c r="W38" s="151">
        <f>0</f>
        <v>0</v>
      </c>
      <c r="X38" s="151">
        <f>0</f>
        <v>0</v>
      </c>
      <c r="Y38" s="151">
        <f>0</f>
        <v>0</v>
      </c>
      <c r="Z38" s="200">
        <f>0</f>
        <v>0</v>
      </c>
      <c r="AA38" s="113">
        <f t="shared" si="0"/>
        <v>1</v>
      </c>
      <c r="AB38" s="157">
        <v>0</v>
      </c>
      <c r="AC38" s="120">
        <f t="shared" si="1"/>
        <v>1</v>
      </c>
      <c r="AD38" s="114">
        <v>44854</v>
      </c>
      <c r="AE38" s="177" t="s">
        <v>239</v>
      </c>
      <c r="AF38" s="84" t="s">
        <v>425</v>
      </c>
      <c r="AG38" s="554" t="s">
        <v>428</v>
      </c>
      <c r="AH38" s="187"/>
      <c r="AI38" s="88"/>
      <c r="AJ38" s="89"/>
      <c r="AK38" s="189">
        <f t="shared" si="2"/>
        <v>1</v>
      </c>
      <c r="AL38" s="88"/>
      <c r="AM38" s="83"/>
      <c r="AN38" s="90"/>
      <c r="AO38" s="180"/>
    </row>
    <row r="39" spans="1:41" s="107" customFormat="1" ht="30.75" customHeight="1">
      <c r="A39" s="225">
        <v>34</v>
      </c>
      <c r="B39" s="234"/>
      <c r="C39" s="227" t="s">
        <v>424</v>
      </c>
      <c r="D39" s="217"/>
      <c r="E39" s="217"/>
      <c r="F39" s="242" t="s">
        <v>125</v>
      </c>
      <c r="G39" s="243" t="s">
        <v>126</v>
      </c>
      <c r="H39" s="244" t="s">
        <v>127</v>
      </c>
      <c r="I39" s="245" t="s">
        <v>79</v>
      </c>
      <c r="J39" s="246" t="s">
        <v>416</v>
      </c>
      <c r="K39" s="535"/>
      <c r="L39" s="84"/>
      <c r="M39" s="84"/>
      <c r="N39" s="216" t="s">
        <v>71</v>
      </c>
      <c r="O39" s="323">
        <v>1</v>
      </c>
      <c r="P39" s="151">
        <f>0</f>
        <v>0</v>
      </c>
      <c r="Q39" s="151">
        <f>0</f>
        <v>0</v>
      </c>
      <c r="R39" s="151">
        <f>0</f>
        <v>0</v>
      </c>
      <c r="S39" s="151">
        <f>0</f>
        <v>0</v>
      </c>
      <c r="T39" s="151">
        <f>0</f>
        <v>0</v>
      </c>
      <c r="U39" s="151">
        <f>0</f>
        <v>0</v>
      </c>
      <c r="V39" s="151">
        <f>0</f>
        <v>0</v>
      </c>
      <c r="W39" s="151">
        <f>0</f>
        <v>0</v>
      </c>
      <c r="X39" s="151">
        <f>0</f>
        <v>0</v>
      </c>
      <c r="Y39" s="151">
        <f>0</f>
        <v>0</v>
      </c>
      <c r="Z39" s="200">
        <f>0</f>
        <v>0</v>
      </c>
      <c r="AA39" s="113">
        <f t="shared" si="0"/>
        <v>1</v>
      </c>
      <c r="AB39" s="157">
        <v>1</v>
      </c>
      <c r="AC39" s="120">
        <f t="shared" si="1"/>
        <v>0</v>
      </c>
      <c r="AD39" s="114">
        <v>44854</v>
      </c>
      <c r="AE39" s="177" t="s">
        <v>239</v>
      </c>
      <c r="AF39" s="84" t="s">
        <v>426</v>
      </c>
      <c r="AG39" s="140"/>
      <c r="AH39" s="187"/>
      <c r="AI39" s="88"/>
      <c r="AJ39" s="89" t="s">
        <v>284</v>
      </c>
      <c r="AK39" s="189" t="e">
        <f t="shared" si="2"/>
        <v>#VALUE!</v>
      </c>
      <c r="AL39" s="88" t="s">
        <v>294</v>
      </c>
      <c r="AM39" s="83"/>
      <c r="AN39" s="90"/>
      <c r="AO39" s="180"/>
    </row>
    <row r="40" spans="1:41" s="107" customFormat="1" ht="30.75" customHeight="1">
      <c r="A40" s="225">
        <v>35</v>
      </c>
      <c r="B40" s="234"/>
      <c r="C40" s="227" t="s">
        <v>424</v>
      </c>
      <c r="D40" s="171"/>
      <c r="E40" s="210"/>
      <c r="F40" s="255" t="s">
        <v>111</v>
      </c>
      <c r="G40" s="256" t="s">
        <v>112</v>
      </c>
      <c r="H40" s="257">
        <v>210800</v>
      </c>
      <c r="I40" s="258" t="s">
        <v>79</v>
      </c>
      <c r="J40" s="259" t="s">
        <v>416</v>
      </c>
      <c r="K40" s="535"/>
      <c r="L40" s="171"/>
      <c r="M40" s="171"/>
      <c r="N40" s="216" t="s">
        <v>71</v>
      </c>
      <c r="O40" s="323">
        <v>1</v>
      </c>
      <c r="P40" s="151">
        <f>0</f>
        <v>0</v>
      </c>
      <c r="Q40" s="151">
        <f>0</f>
        <v>0</v>
      </c>
      <c r="R40" s="151">
        <f>0</f>
        <v>0</v>
      </c>
      <c r="S40" s="151">
        <f>0</f>
        <v>0</v>
      </c>
      <c r="T40" s="151">
        <f>0</f>
        <v>0</v>
      </c>
      <c r="U40" s="151">
        <f>0</f>
        <v>0</v>
      </c>
      <c r="V40" s="151">
        <f>0</f>
        <v>0</v>
      </c>
      <c r="W40" s="151">
        <f>0</f>
        <v>0</v>
      </c>
      <c r="X40" s="151">
        <f>0</f>
        <v>0</v>
      </c>
      <c r="Y40" s="151">
        <f>0</f>
        <v>0</v>
      </c>
      <c r="Z40" s="200">
        <f>0</f>
        <v>0</v>
      </c>
      <c r="AA40" s="113">
        <f t="shared" si="0"/>
        <v>1</v>
      </c>
      <c r="AB40" s="157">
        <v>1</v>
      </c>
      <c r="AC40" s="120">
        <f t="shared" si="1"/>
        <v>0</v>
      </c>
      <c r="AD40" s="114">
        <v>44854</v>
      </c>
      <c r="AE40" s="177" t="s">
        <v>239</v>
      </c>
      <c r="AF40" s="84" t="s">
        <v>426</v>
      </c>
      <c r="AG40" s="188"/>
      <c r="AH40" s="187"/>
      <c r="AI40" s="88"/>
      <c r="AJ40" s="89"/>
      <c r="AK40" s="189">
        <f t="shared" si="2"/>
        <v>0</v>
      </c>
      <c r="AL40" s="88"/>
      <c r="AM40" s="83"/>
      <c r="AN40" s="90"/>
      <c r="AO40" s="180"/>
    </row>
    <row r="41" spans="1:41" s="107" customFormat="1" ht="30.75" customHeight="1">
      <c r="A41" s="225">
        <v>36</v>
      </c>
      <c r="B41" s="234"/>
      <c r="C41" s="227" t="s">
        <v>424</v>
      </c>
      <c r="D41" s="217"/>
      <c r="E41" s="217"/>
      <c r="F41" s="242" t="s">
        <v>122</v>
      </c>
      <c r="G41" s="243" t="s">
        <v>132</v>
      </c>
      <c r="H41" s="244" t="s">
        <v>133</v>
      </c>
      <c r="I41" s="245" t="s">
        <v>79</v>
      </c>
      <c r="J41" s="246" t="s">
        <v>417</v>
      </c>
      <c r="K41" s="535"/>
      <c r="L41" s="84"/>
      <c r="M41" s="84"/>
      <c r="N41" s="216" t="s">
        <v>71</v>
      </c>
      <c r="O41" s="323">
        <v>1</v>
      </c>
      <c r="P41" s="151">
        <f>0</f>
        <v>0</v>
      </c>
      <c r="Q41" s="151">
        <f>0</f>
        <v>0</v>
      </c>
      <c r="R41" s="151">
        <f>0</f>
        <v>0</v>
      </c>
      <c r="S41" s="151">
        <f>0</f>
        <v>0</v>
      </c>
      <c r="T41" s="151">
        <f>0</f>
        <v>0</v>
      </c>
      <c r="U41" s="151">
        <f>0</f>
        <v>0</v>
      </c>
      <c r="V41" s="151">
        <f>0</f>
        <v>0</v>
      </c>
      <c r="W41" s="151">
        <f>0</f>
        <v>0</v>
      </c>
      <c r="X41" s="151">
        <f>0</f>
        <v>0</v>
      </c>
      <c r="Y41" s="151">
        <f>0</f>
        <v>0</v>
      </c>
      <c r="Z41" s="200">
        <f>0</f>
        <v>0</v>
      </c>
      <c r="AA41" s="113">
        <f t="shared" si="0"/>
        <v>1</v>
      </c>
      <c r="AB41" s="157">
        <v>0</v>
      </c>
      <c r="AC41" s="120">
        <f t="shared" si="1"/>
        <v>1</v>
      </c>
      <c r="AD41" s="114">
        <v>44854</v>
      </c>
      <c r="AE41" s="177" t="s">
        <v>239</v>
      </c>
      <c r="AF41" s="84" t="s">
        <v>425</v>
      </c>
      <c r="AG41" s="147" t="s">
        <v>428</v>
      </c>
      <c r="AH41" s="187"/>
      <c r="AI41" s="88"/>
      <c r="AJ41" s="89"/>
      <c r="AK41" s="189">
        <f t="shared" si="2"/>
        <v>1</v>
      </c>
      <c r="AL41" s="88"/>
      <c r="AM41" s="83"/>
      <c r="AN41" s="90"/>
      <c r="AO41" s="180"/>
    </row>
    <row r="42" spans="1:41" s="107" customFormat="1" ht="30.75" customHeight="1">
      <c r="A42" s="233">
        <v>37</v>
      </c>
      <c r="B42" s="234"/>
      <c r="C42" s="227" t="s">
        <v>424</v>
      </c>
      <c r="D42" s="171"/>
      <c r="E42" s="210"/>
      <c r="F42" s="255" t="s">
        <v>125</v>
      </c>
      <c r="G42" s="256" t="s">
        <v>134</v>
      </c>
      <c r="H42" s="257">
        <v>161605</v>
      </c>
      <c r="I42" s="258" t="s">
        <v>79</v>
      </c>
      <c r="J42" s="259" t="s">
        <v>417</v>
      </c>
      <c r="K42" s="535"/>
      <c r="L42" s="171"/>
      <c r="M42" s="171"/>
      <c r="N42" s="216" t="s">
        <v>71</v>
      </c>
      <c r="O42" s="323">
        <v>1</v>
      </c>
      <c r="P42" s="151">
        <f>0</f>
        <v>0</v>
      </c>
      <c r="Q42" s="151">
        <f>0</f>
        <v>0</v>
      </c>
      <c r="R42" s="151">
        <f>0</f>
        <v>0</v>
      </c>
      <c r="S42" s="151">
        <f>0</f>
        <v>0</v>
      </c>
      <c r="T42" s="151">
        <f>0</f>
        <v>0</v>
      </c>
      <c r="U42" s="151">
        <f>0</f>
        <v>0</v>
      </c>
      <c r="V42" s="151">
        <f>0</f>
        <v>0</v>
      </c>
      <c r="W42" s="151">
        <f>0</f>
        <v>0</v>
      </c>
      <c r="X42" s="151">
        <f>0</f>
        <v>0</v>
      </c>
      <c r="Y42" s="151">
        <f>0</f>
        <v>0</v>
      </c>
      <c r="Z42" s="200">
        <f>0</f>
        <v>0</v>
      </c>
      <c r="AA42" s="113">
        <f t="shared" si="0"/>
        <v>1</v>
      </c>
      <c r="AB42" s="157">
        <v>0</v>
      </c>
      <c r="AC42" s="120">
        <f t="shared" si="1"/>
        <v>1</v>
      </c>
      <c r="AD42" s="114">
        <v>44854</v>
      </c>
      <c r="AE42" s="177" t="s">
        <v>239</v>
      </c>
      <c r="AF42" s="84" t="s">
        <v>425</v>
      </c>
      <c r="AG42" s="554" t="s">
        <v>428</v>
      </c>
      <c r="AH42" s="187"/>
      <c r="AI42" s="88"/>
      <c r="AJ42" s="89"/>
      <c r="AK42" s="189">
        <f t="shared" si="2"/>
        <v>1</v>
      </c>
      <c r="AL42" s="88"/>
      <c r="AM42" s="83"/>
      <c r="AN42" s="90"/>
      <c r="AO42" s="180"/>
    </row>
    <row r="43" spans="1:41" s="107" customFormat="1" ht="30.75" customHeight="1">
      <c r="A43" s="225">
        <v>38</v>
      </c>
      <c r="B43" s="234"/>
      <c r="C43" s="227" t="s">
        <v>424</v>
      </c>
      <c r="D43" s="217"/>
      <c r="E43" s="217"/>
      <c r="F43" s="242" t="s">
        <v>111</v>
      </c>
      <c r="G43" s="243" t="s">
        <v>114</v>
      </c>
      <c r="H43" s="244">
        <v>220010</v>
      </c>
      <c r="I43" s="245" t="s">
        <v>79</v>
      </c>
      <c r="J43" s="246" t="s">
        <v>417</v>
      </c>
      <c r="K43" s="535"/>
      <c r="L43" s="84"/>
      <c r="M43" s="84"/>
      <c r="N43" s="216" t="s">
        <v>71</v>
      </c>
      <c r="O43" s="323">
        <v>1</v>
      </c>
      <c r="P43" s="151">
        <f>0</f>
        <v>0</v>
      </c>
      <c r="Q43" s="151">
        <f>0</f>
        <v>0</v>
      </c>
      <c r="R43" s="151">
        <f>0</f>
        <v>0</v>
      </c>
      <c r="S43" s="151">
        <f>0</f>
        <v>0</v>
      </c>
      <c r="T43" s="151">
        <f>0</f>
        <v>0</v>
      </c>
      <c r="U43" s="151">
        <f>0</f>
        <v>0</v>
      </c>
      <c r="V43" s="151">
        <f>0</f>
        <v>0</v>
      </c>
      <c r="W43" s="151">
        <f>0</f>
        <v>0</v>
      </c>
      <c r="X43" s="151">
        <f>0</f>
        <v>0</v>
      </c>
      <c r="Y43" s="151">
        <f>0</f>
        <v>0</v>
      </c>
      <c r="Z43" s="200">
        <f>0</f>
        <v>0</v>
      </c>
      <c r="AA43" s="113">
        <f t="shared" si="0"/>
        <v>1</v>
      </c>
      <c r="AB43" s="157">
        <v>0</v>
      </c>
      <c r="AC43" s="120">
        <f t="shared" si="1"/>
        <v>1</v>
      </c>
      <c r="AD43" s="114">
        <v>44854</v>
      </c>
      <c r="AE43" s="177" t="s">
        <v>239</v>
      </c>
      <c r="AF43" s="84" t="s">
        <v>425</v>
      </c>
      <c r="AG43" s="554" t="s">
        <v>428</v>
      </c>
      <c r="AH43" s="187"/>
      <c r="AI43" s="88"/>
      <c r="AJ43" s="89"/>
      <c r="AK43" s="189">
        <f t="shared" si="2"/>
        <v>1</v>
      </c>
      <c r="AL43" s="88"/>
      <c r="AM43" s="83"/>
      <c r="AN43" s="90"/>
      <c r="AO43" s="180"/>
    </row>
    <row r="44" spans="1:41" s="107" customFormat="1" ht="30.75" customHeight="1">
      <c r="A44" s="225">
        <v>39</v>
      </c>
      <c r="B44" s="234"/>
      <c r="C44" s="227" t="s">
        <v>424</v>
      </c>
      <c r="D44" s="171"/>
      <c r="E44" s="210"/>
      <c r="F44" s="255" t="s">
        <v>116</v>
      </c>
      <c r="G44" s="256" t="s">
        <v>135</v>
      </c>
      <c r="H44" s="257" t="s">
        <v>136</v>
      </c>
      <c r="I44" s="258" t="s">
        <v>79</v>
      </c>
      <c r="J44" s="259" t="s">
        <v>418</v>
      </c>
      <c r="K44" s="535"/>
      <c r="L44" s="171"/>
      <c r="M44" s="171"/>
      <c r="N44" s="216" t="s">
        <v>71</v>
      </c>
      <c r="O44" s="323">
        <v>3</v>
      </c>
      <c r="P44" s="151">
        <f>0</f>
        <v>0</v>
      </c>
      <c r="Q44" s="151">
        <f>0</f>
        <v>0</v>
      </c>
      <c r="R44" s="151">
        <f>0</f>
        <v>0</v>
      </c>
      <c r="S44" s="151">
        <f>0</f>
        <v>0</v>
      </c>
      <c r="T44" s="151">
        <f>0</f>
        <v>0</v>
      </c>
      <c r="U44" s="151">
        <f>0</f>
        <v>0</v>
      </c>
      <c r="V44" s="151">
        <f>0</f>
        <v>0</v>
      </c>
      <c r="W44" s="151">
        <f>0</f>
        <v>0</v>
      </c>
      <c r="X44" s="151">
        <f>0</f>
        <v>0</v>
      </c>
      <c r="Y44" s="151">
        <f>0</f>
        <v>0</v>
      </c>
      <c r="Z44" s="200">
        <f>0</f>
        <v>0</v>
      </c>
      <c r="AA44" s="113">
        <f t="shared" si="0"/>
        <v>3</v>
      </c>
      <c r="AB44" s="157">
        <v>0</v>
      </c>
      <c r="AC44" s="120">
        <f t="shared" si="1"/>
        <v>3</v>
      </c>
      <c r="AD44" s="114">
        <v>44854</v>
      </c>
      <c r="AE44" s="177" t="s">
        <v>239</v>
      </c>
      <c r="AF44" s="84" t="s">
        <v>425</v>
      </c>
      <c r="AG44" s="554" t="s">
        <v>428</v>
      </c>
      <c r="AH44" s="187"/>
      <c r="AI44" s="88"/>
      <c r="AJ44" s="89"/>
      <c r="AK44" s="189">
        <f t="shared" si="2"/>
        <v>3</v>
      </c>
      <c r="AL44" s="88"/>
      <c r="AM44" s="83"/>
      <c r="AN44" s="90"/>
      <c r="AO44" s="180"/>
    </row>
    <row r="45" spans="1:41" s="107" customFormat="1" ht="30.75" customHeight="1">
      <c r="A45" s="225">
        <v>40</v>
      </c>
      <c r="B45" s="234"/>
      <c r="C45" s="227" t="s">
        <v>424</v>
      </c>
      <c r="D45" s="217"/>
      <c r="E45" s="217"/>
      <c r="F45" s="242" t="s">
        <v>119</v>
      </c>
      <c r="G45" s="243" t="s">
        <v>137</v>
      </c>
      <c r="H45" s="244" t="s">
        <v>138</v>
      </c>
      <c r="I45" s="245" t="s">
        <v>79</v>
      </c>
      <c r="J45" s="246" t="s">
        <v>418</v>
      </c>
      <c r="K45" s="535"/>
      <c r="L45" s="84"/>
      <c r="M45" s="84"/>
      <c r="N45" s="216" t="s">
        <v>71</v>
      </c>
      <c r="O45" s="323">
        <v>3</v>
      </c>
      <c r="P45" s="151">
        <f>0</f>
        <v>0</v>
      </c>
      <c r="Q45" s="151">
        <f>0</f>
        <v>0</v>
      </c>
      <c r="R45" s="151">
        <f>0</f>
        <v>0</v>
      </c>
      <c r="S45" s="151">
        <f>0</f>
        <v>0</v>
      </c>
      <c r="T45" s="151">
        <f>0</f>
        <v>0</v>
      </c>
      <c r="U45" s="151">
        <f>0</f>
        <v>0</v>
      </c>
      <c r="V45" s="151">
        <f>0</f>
        <v>0</v>
      </c>
      <c r="W45" s="151">
        <f>0</f>
        <v>0</v>
      </c>
      <c r="X45" s="151">
        <f>0</f>
        <v>0</v>
      </c>
      <c r="Y45" s="151">
        <f>0</f>
        <v>0</v>
      </c>
      <c r="Z45" s="200">
        <f>0</f>
        <v>0</v>
      </c>
      <c r="AA45" s="113">
        <f t="shared" si="0"/>
        <v>3</v>
      </c>
      <c r="AB45" s="157">
        <v>0</v>
      </c>
      <c r="AC45" s="120">
        <f t="shared" si="1"/>
        <v>3</v>
      </c>
      <c r="AD45" s="114">
        <v>44854</v>
      </c>
      <c r="AE45" s="177" t="s">
        <v>239</v>
      </c>
      <c r="AF45" s="84" t="s">
        <v>425</v>
      </c>
      <c r="AG45" s="554" t="s">
        <v>428</v>
      </c>
      <c r="AH45" s="187"/>
      <c r="AI45" s="88"/>
      <c r="AJ45" s="89"/>
      <c r="AK45" s="189">
        <f t="shared" si="2"/>
        <v>3</v>
      </c>
      <c r="AL45" s="88"/>
      <c r="AM45" s="83"/>
      <c r="AN45" s="90"/>
      <c r="AO45" s="180"/>
    </row>
    <row r="46" spans="1:41" s="107" customFormat="1" ht="30.75" customHeight="1">
      <c r="A46" s="233">
        <v>41</v>
      </c>
      <c r="B46" s="234"/>
      <c r="C46" s="227" t="s">
        <v>424</v>
      </c>
      <c r="D46" s="171"/>
      <c r="E46" s="210"/>
      <c r="F46" s="255" t="s">
        <v>109</v>
      </c>
      <c r="G46" s="256" t="s">
        <v>115</v>
      </c>
      <c r="H46" s="257">
        <v>220012</v>
      </c>
      <c r="I46" s="258" t="s">
        <v>79</v>
      </c>
      <c r="J46" s="259" t="s">
        <v>418</v>
      </c>
      <c r="K46" s="535"/>
      <c r="L46" s="171"/>
      <c r="M46" s="171"/>
      <c r="N46" s="216" t="s">
        <v>71</v>
      </c>
      <c r="O46" s="323">
        <v>3</v>
      </c>
      <c r="P46" s="151">
        <f>0</f>
        <v>0</v>
      </c>
      <c r="Q46" s="151">
        <f>0</f>
        <v>0</v>
      </c>
      <c r="R46" s="151">
        <f>0</f>
        <v>0</v>
      </c>
      <c r="S46" s="151">
        <f>0</f>
        <v>0</v>
      </c>
      <c r="T46" s="151">
        <f>0</f>
        <v>0</v>
      </c>
      <c r="U46" s="151">
        <f>0</f>
        <v>0</v>
      </c>
      <c r="V46" s="151">
        <f>0</f>
        <v>0</v>
      </c>
      <c r="W46" s="151">
        <f>0</f>
        <v>0</v>
      </c>
      <c r="X46" s="151">
        <f>0</f>
        <v>0</v>
      </c>
      <c r="Y46" s="151">
        <f>0</f>
        <v>0</v>
      </c>
      <c r="Z46" s="200">
        <f>0</f>
        <v>0</v>
      </c>
      <c r="AA46" s="113">
        <f t="shared" si="0"/>
        <v>3</v>
      </c>
      <c r="AB46" s="157">
        <v>1</v>
      </c>
      <c r="AC46" s="120">
        <f t="shared" si="1"/>
        <v>2</v>
      </c>
      <c r="AD46" s="114">
        <v>44854</v>
      </c>
      <c r="AE46" s="177" t="s">
        <v>239</v>
      </c>
      <c r="AF46" s="84" t="s">
        <v>425</v>
      </c>
      <c r="AG46" s="554" t="s">
        <v>428</v>
      </c>
      <c r="AH46" s="187"/>
      <c r="AI46" s="88"/>
      <c r="AJ46" s="89" t="s">
        <v>295</v>
      </c>
      <c r="AK46" s="189" t="e">
        <f t="shared" si="2"/>
        <v>#VALUE!</v>
      </c>
      <c r="AL46" s="88" t="s">
        <v>294</v>
      </c>
      <c r="AM46" s="83"/>
      <c r="AN46" s="90"/>
      <c r="AO46" s="180"/>
    </row>
    <row r="47" spans="1:41" s="107" customFormat="1" ht="30.75" customHeight="1">
      <c r="A47" s="225">
        <v>42</v>
      </c>
      <c r="B47" s="234"/>
      <c r="C47" s="227" t="s">
        <v>424</v>
      </c>
      <c r="D47" s="217"/>
      <c r="E47" s="217"/>
      <c r="F47" s="242" t="s">
        <v>139</v>
      </c>
      <c r="G47" s="243">
        <v>268039</v>
      </c>
      <c r="H47" s="244">
        <v>268039</v>
      </c>
      <c r="I47" s="245" t="s">
        <v>79</v>
      </c>
      <c r="J47" s="246"/>
      <c r="K47" s="247"/>
      <c r="L47" s="84"/>
      <c r="M47" s="84"/>
      <c r="N47" s="216" t="s">
        <v>71</v>
      </c>
      <c r="O47" s="323">
        <v>2</v>
      </c>
      <c r="P47" s="151">
        <f>0</f>
        <v>0</v>
      </c>
      <c r="Q47" s="151">
        <f>0</f>
        <v>0</v>
      </c>
      <c r="R47" s="151">
        <f>0</f>
        <v>0</v>
      </c>
      <c r="S47" s="151">
        <f>0</f>
        <v>0</v>
      </c>
      <c r="T47" s="151">
        <f>0</f>
        <v>0</v>
      </c>
      <c r="U47" s="151">
        <f>0</f>
        <v>0</v>
      </c>
      <c r="V47" s="151">
        <f>0</f>
        <v>0</v>
      </c>
      <c r="W47" s="151">
        <f>0</f>
        <v>0</v>
      </c>
      <c r="X47" s="151">
        <f>0</f>
        <v>0</v>
      </c>
      <c r="Y47" s="151">
        <f>0</f>
        <v>0</v>
      </c>
      <c r="Z47" s="200">
        <f>0</f>
        <v>0</v>
      </c>
      <c r="AA47" s="113">
        <f t="shared" si="0"/>
        <v>2</v>
      </c>
      <c r="AB47" s="157">
        <v>2</v>
      </c>
      <c r="AC47" s="120">
        <f t="shared" si="1"/>
        <v>0</v>
      </c>
      <c r="AD47" s="114">
        <v>44854</v>
      </c>
      <c r="AE47" s="177" t="s">
        <v>239</v>
      </c>
      <c r="AF47" s="84" t="s">
        <v>426</v>
      </c>
      <c r="AG47" s="140"/>
      <c r="AH47" s="187"/>
      <c r="AI47" s="88"/>
      <c r="AJ47" s="89"/>
      <c r="AK47" s="189">
        <f t="shared" si="2"/>
        <v>0</v>
      </c>
      <c r="AL47" s="88"/>
      <c r="AM47" s="83"/>
      <c r="AN47" s="90"/>
      <c r="AO47" s="180"/>
    </row>
    <row r="48" spans="1:41" s="107" customFormat="1" ht="30.75" customHeight="1">
      <c r="A48" s="225">
        <v>43</v>
      </c>
      <c r="B48" s="234"/>
      <c r="C48" s="227" t="s">
        <v>424</v>
      </c>
      <c r="D48" s="171"/>
      <c r="E48" s="210"/>
      <c r="F48" s="255" t="s">
        <v>140</v>
      </c>
      <c r="G48" s="256" t="s">
        <v>404</v>
      </c>
      <c r="H48" s="257">
        <v>164814</v>
      </c>
      <c r="I48" s="258" t="s">
        <v>79</v>
      </c>
      <c r="J48" s="259"/>
      <c r="K48" s="247"/>
      <c r="L48" s="171"/>
      <c r="M48" s="171"/>
      <c r="N48" s="216" t="s">
        <v>71</v>
      </c>
      <c r="O48" s="323">
        <v>1</v>
      </c>
      <c r="P48" s="151">
        <f>0</f>
        <v>0</v>
      </c>
      <c r="Q48" s="151">
        <f>0</f>
        <v>0</v>
      </c>
      <c r="R48" s="151">
        <f>0</f>
        <v>0</v>
      </c>
      <c r="S48" s="151">
        <f>0</f>
        <v>0</v>
      </c>
      <c r="T48" s="151">
        <f>0</f>
        <v>0</v>
      </c>
      <c r="U48" s="151">
        <f>0</f>
        <v>0</v>
      </c>
      <c r="V48" s="151">
        <f>0</f>
        <v>0</v>
      </c>
      <c r="W48" s="151">
        <f>0</f>
        <v>0</v>
      </c>
      <c r="X48" s="151">
        <f>0</f>
        <v>0</v>
      </c>
      <c r="Y48" s="151">
        <f>0</f>
        <v>0</v>
      </c>
      <c r="Z48" s="200">
        <f>0</f>
        <v>0</v>
      </c>
      <c r="AA48" s="113">
        <f t="shared" si="0"/>
        <v>1</v>
      </c>
      <c r="AB48" s="157">
        <v>1</v>
      </c>
      <c r="AC48" s="120">
        <f t="shared" si="1"/>
        <v>0</v>
      </c>
      <c r="AD48" s="114">
        <v>44854</v>
      </c>
      <c r="AE48" s="177" t="s">
        <v>239</v>
      </c>
      <c r="AF48" s="84" t="s">
        <v>591</v>
      </c>
      <c r="AG48" s="147" t="s">
        <v>428</v>
      </c>
      <c r="AH48" s="187"/>
      <c r="AI48" s="88"/>
      <c r="AJ48" s="89" t="s">
        <v>1455</v>
      </c>
      <c r="AK48" s="189" t="e">
        <f t="shared" si="2"/>
        <v>#VALUE!</v>
      </c>
      <c r="AL48" s="88" t="s">
        <v>1537</v>
      </c>
      <c r="AM48" s="83"/>
      <c r="AN48" s="90"/>
      <c r="AO48" s="180"/>
    </row>
    <row r="49" spans="1:41" s="107" customFormat="1" ht="30.75" customHeight="1">
      <c r="A49" s="225">
        <v>44</v>
      </c>
      <c r="B49" s="234"/>
      <c r="C49" s="227" t="s">
        <v>424</v>
      </c>
      <c r="D49" s="217"/>
      <c r="E49" s="217"/>
      <c r="F49" s="242" t="s">
        <v>141</v>
      </c>
      <c r="G49" s="243" t="s">
        <v>142</v>
      </c>
      <c r="H49" s="244">
        <v>250467</v>
      </c>
      <c r="I49" s="245" t="s">
        <v>79</v>
      </c>
      <c r="J49" s="246"/>
      <c r="K49" s="247"/>
      <c r="L49" s="84"/>
      <c r="M49" s="84"/>
      <c r="N49" s="216" t="s">
        <v>71</v>
      </c>
      <c r="O49" s="323">
        <v>1</v>
      </c>
      <c r="P49" s="151">
        <f>0</f>
        <v>0</v>
      </c>
      <c r="Q49" s="151">
        <f>0</f>
        <v>0</v>
      </c>
      <c r="R49" s="151">
        <f>0</f>
        <v>0</v>
      </c>
      <c r="S49" s="151">
        <f>0</f>
        <v>0</v>
      </c>
      <c r="T49" s="151">
        <f>0</f>
        <v>0</v>
      </c>
      <c r="U49" s="151">
        <f>0</f>
        <v>0</v>
      </c>
      <c r="V49" s="151">
        <f>0</f>
        <v>0</v>
      </c>
      <c r="W49" s="151">
        <f>0</f>
        <v>0</v>
      </c>
      <c r="X49" s="151">
        <f>0</f>
        <v>0</v>
      </c>
      <c r="Y49" s="151">
        <f>0</f>
        <v>0</v>
      </c>
      <c r="Z49" s="200">
        <f>0</f>
        <v>0</v>
      </c>
      <c r="AA49" s="113">
        <f t="shared" si="0"/>
        <v>1</v>
      </c>
      <c r="AB49" s="157">
        <v>0</v>
      </c>
      <c r="AC49" s="120">
        <f t="shared" si="1"/>
        <v>1</v>
      </c>
      <c r="AD49" s="114">
        <v>44854</v>
      </c>
      <c r="AE49" s="177" t="s">
        <v>239</v>
      </c>
      <c r="AF49" s="84" t="s">
        <v>425</v>
      </c>
      <c r="AG49" s="555" t="s">
        <v>429</v>
      </c>
      <c r="AH49" s="187"/>
      <c r="AI49" s="88"/>
      <c r="AJ49" s="89">
        <v>1</v>
      </c>
      <c r="AK49" s="189">
        <f t="shared" si="2"/>
        <v>0</v>
      </c>
      <c r="AL49" s="88" t="s">
        <v>1496</v>
      </c>
      <c r="AM49" s="83"/>
      <c r="AN49" s="90"/>
      <c r="AO49" s="180"/>
    </row>
    <row r="50" spans="1:41" s="107" customFormat="1" ht="30.75" customHeight="1">
      <c r="A50" s="233">
        <v>45</v>
      </c>
      <c r="B50" s="234"/>
      <c r="C50" s="227" t="s">
        <v>237</v>
      </c>
      <c r="D50" s="214"/>
      <c r="E50" s="214"/>
      <c r="F50" s="248" t="s">
        <v>145</v>
      </c>
      <c r="G50" s="249" t="s">
        <v>146</v>
      </c>
      <c r="H50" s="250" t="s">
        <v>147</v>
      </c>
      <c r="I50" s="251" t="s">
        <v>148</v>
      </c>
      <c r="J50" s="252"/>
      <c r="K50" s="247"/>
      <c r="L50" s="171"/>
      <c r="M50" s="171"/>
      <c r="N50" s="216" t="s">
        <v>71</v>
      </c>
      <c r="O50" s="323">
        <v>2</v>
      </c>
      <c r="P50" s="151">
        <f>0</f>
        <v>0</v>
      </c>
      <c r="Q50" s="151">
        <f>0</f>
        <v>0</v>
      </c>
      <c r="R50" s="151">
        <f>0</f>
        <v>0</v>
      </c>
      <c r="S50" s="151">
        <f>0</f>
        <v>0</v>
      </c>
      <c r="T50" s="151">
        <f>0</f>
        <v>0</v>
      </c>
      <c r="U50" s="151">
        <f>0</f>
        <v>0</v>
      </c>
      <c r="V50" s="151">
        <f>0</f>
        <v>0</v>
      </c>
      <c r="W50" s="151">
        <f>0</f>
        <v>0</v>
      </c>
      <c r="X50" s="151">
        <f>0</f>
        <v>0</v>
      </c>
      <c r="Y50" s="151">
        <f>0</f>
        <v>0</v>
      </c>
      <c r="Z50" s="200">
        <f>0</f>
        <v>0</v>
      </c>
      <c r="AA50" s="113">
        <f t="shared" si="0"/>
        <v>2</v>
      </c>
      <c r="AB50" s="157">
        <v>2</v>
      </c>
      <c r="AC50" s="120">
        <f t="shared" si="1"/>
        <v>0</v>
      </c>
      <c r="AD50" s="114">
        <v>44756</v>
      </c>
      <c r="AE50" s="177" t="s">
        <v>239</v>
      </c>
      <c r="AF50" s="84" t="s">
        <v>581</v>
      </c>
      <c r="AG50" s="141"/>
      <c r="AH50" s="88"/>
      <c r="AI50" s="88"/>
      <c r="AJ50" s="89">
        <v>2</v>
      </c>
      <c r="AK50" s="189">
        <f t="shared" si="2"/>
        <v>-2</v>
      </c>
      <c r="AL50" s="88" t="s">
        <v>580</v>
      </c>
      <c r="AM50" s="83"/>
      <c r="AN50" s="90"/>
      <c r="AO50" s="180"/>
    </row>
    <row r="51" spans="1:41" s="107" customFormat="1" ht="30.75" customHeight="1">
      <c r="A51" s="225">
        <v>46</v>
      </c>
      <c r="B51" s="234"/>
      <c r="C51" s="227" t="s">
        <v>237</v>
      </c>
      <c r="D51" s="84"/>
      <c r="E51" s="212"/>
      <c r="F51" s="263" t="s">
        <v>149</v>
      </c>
      <c r="G51" s="264">
        <v>59401</v>
      </c>
      <c r="H51" s="265">
        <v>59401</v>
      </c>
      <c r="I51" s="261" t="s">
        <v>163</v>
      </c>
      <c r="J51" s="266" t="s">
        <v>150</v>
      </c>
      <c r="K51" s="247"/>
      <c r="L51" s="84"/>
      <c r="M51" s="84"/>
      <c r="N51" s="216" t="s">
        <v>71</v>
      </c>
      <c r="O51" s="323">
        <v>15</v>
      </c>
      <c r="P51" s="151">
        <f>0</f>
        <v>0</v>
      </c>
      <c r="Q51" s="151">
        <f>0</f>
        <v>0</v>
      </c>
      <c r="R51" s="151">
        <f>0</f>
        <v>0</v>
      </c>
      <c r="S51" s="151">
        <f>0</f>
        <v>0</v>
      </c>
      <c r="T51" s="151">
        <f>0</f>
        <v>0</v>
      </c>
      <c r="U51" s="151">
        <f>0</f>
        <v>0</v>
      </c>
      <c r="V51" s="151">
        <f>0</f>
        <v>0</v>
      </c>
      <c r="W51" s="151">
        <f>0</f>
        <v>0</v>
      </c>
      <c r="X51" s="151">
        <f>0</f>
        <v>0</v>
      </c>
      <c r="Y51" s="151">
        <f>0</f>
        <v>0</v>
      </c>
      <c r="Z51" s="200">
        <f>0</f>
        <v>0</v>
      </c>
      <c r="AA51" s="113">
        <f t="shared" si="0"/>
        <v>15</v>
      </c>
      <c r="AB51" s="195">
        <v>17</v>
      </c>
      <c r="AC51" s="120">
        <f t="shared" si="1"/>
        <v>-2</v>
      </c>
      <c r="AD51" s="114">
        <v>44694</v>
      </c>
      <c r="AE51" s="177" t="s">
        <v>239</v>
      </c>
      <c r="AF51" s="84"/>
      <c r="AG51" s="141" t="s">
        <v>265</v>
      </c>
      <c r="AH51" s="88"/>
      <c r="AI51" s="88"/>
      <c r="AJ51" s="89">
        <v>12</v>
      </c>
      <c r="AK51" s="189">
        <f t="shared" si="2"/>
        <v>-14</v>
      </c>
      <c r="AL51" s="88" t="s">
        <v>1251</v>
      </c>
      <c r="AM51" s="83"/>
      <c r="AN51" s="90"/>
      <c r="AO51" s="180"/>
    </row>
    <row r="52" spans="1:41" s="107" customFormat="1" ht="30.75" customHeight="1">
      <c r="A52" s="225">
        <v>47</v>
      </c>
      <c r="B52" s="234"/>
      <c r="C52" s="227" t="s">
        <v>237</v>
      </c>
      <c r="D52" s="214"/>
      <c r="E52" s="214"/>
      <c r="F52" s="248" t="s">
        <v>151</v>
      </c>
      <c r="G52" s="249" t="s">
        <v>152</v>
      </c>
      <c r="H52" s="250" t="s">
        <v>153</v>
      </c>
      <c r="I52" s="251" t="s">
        <v>148</v>
      </c>
      <c r="J52" s="252"/>
      <c r="K52" s="247"/>
      <c r="L52" s="171"/>
      <c r="M52" s="171"/>
      <c r="N52" s="216" t="s">
        <v>71</v>
      </c>
      <c r="O52" s="323">
        <v>6</v>
      </c>
      <c r="P52" s="151">
        <f>0</f>
        <v>0</v>
      </c>
      <c r="Q52" s="151">
        <f>0</f>
        <v>0</v>
      </c>
      <c r="R52" s="151">
        <f>0</f>
        <v>0</v>
      </c>
      <c r="S52" s="151">
        <f>0</f>
        <v>0</v>
      </c>
      <c r="T52" s="151">
        <f>0</f>
        <v>0</v>
      </c>
      <c r="U52" s="151">
        <f>0</f>
        <v>0</v>
      </c>
      <c r="V52" s="151">
        <f>0</f>
        <v>0</v>
      </c>
      <c r="W52" s="151">
        <f>0</f>
        <v>0</v>
      </c>
      <c r="X52" s="151">
        <f>0</f>
        <v>0</v>
      </c>
      <c r="Y52" s="151">
        <f>0</f>
        <v>0</v>
      </c>
      <c r="Z52" s="200">
        <f>0</f>
        <v>0</v>
      </c>
      <c r="AA52" s="113">
        <f t="shared" si="0"/>
        <v>6</v>
      </c>
      <c r="AB52" s="195">
        <v>6</v>
      </c>
      <c r="AC52" s="120">
        <f t="shared" si="1"/>
        <v>0</v>
      </c>
      <c r="AD52" s="114">
        <v>44694</v>
      </c>
      <c r="AE52" s="177" t="s">
        <v>239</v>
      </c>
      <c r="AF52" s="84" t="s">
        <v>434</v>
      </c>
      <c r="AG52" s="141" t="s">
        <v>432</v>
      </c>
      <c r="AH52" s="165" t="s">
        <v>435</v>
      </c>
      <c r="AI52" s="88"/>
      <c r="AJ52" s="166" t="s">
        <v>500</v>
      </c>
      <c r="AK52" s="189" t="e">
        <f t="shared" si="2"/>
        <v>#VALUE!</v>
      </c>
      <c r="AL52" s="88" t="s">
        <v>1495</v>
      </c>
      <c r="AM52" s="83"/>
      <c r="AN52" s="90"/>
      <c r="AO52" s="180"/>
    </row>
    <row r="53" spans="1:41" s="107" customFormat="1" ht="30.75" customHeight="1">
      <c r="A53" s="225">
        <v>48</v>
      </c>
      <c r="B53" s="234"/>
      <c r="C53" s="227" t="s">
        <v>237</v>
      </c>
      <c r="D53" s="84"/>
      <c r="E53" s="212"/>
      <c r="F53" s="263" t="s">
        <v>149</v>
      </c>
      <c r="G53" s="264" t="s">
        <v>154</v>
      </c>
      <c r="H53" s="265" t="s">
        <v>155</v>
      </c>
      <c r="I53" s="261" t="s">
        <v>148</v>
      </c>
      <c r="J53" s="266" t="s">
        <v>150</v>
      </c>
      <c r="K53" s="247"/>
      <c r="L53" s="84"/>
      <c r="M53" s="84" t="s">
        <v>430</v>
      </c>
      <c r="N53" s="216" t="s">
        <v>80</v>
      </c>
      <c r="O53" s="323">
        <v>14</v>
      </c>
      <c r="P53" s="151">
        <f>0</f>
        <v>0</v>
      </c>
      <c r="Q53" s="151">
        <f>0</f>
        <v>0</v>
      </c>
      <c r="R53" s="151">
        <f>0</f>
        <v>0</v>
      </c>
      <c r="S53" s="151">
        <f>0</f>
        <v>0</v>
      </c>
      <c r="T53" s="151">
        <f>0</f>
        <v>0</v>
      </c>
      <c r="U53" s="151">
        <f>0</f>
        <v>0</v>
      </c>
      <c r="V53" s="151">
        <f>0</f>
        <v>0</v>
      </c>
      <c r="W53" s="151">
        <f>0</f>
        <v>0</v>
      </c>
      <c r="X53" s="151">
        <f>0</f>
        <v>0</v>
      </c>
      <c r="Y53" s="151">
        <f>0</f>
        <v>0</v>
      </c>
      <c r="Z53" s="200">
        <f>0</f>
        <v>0</v>
      </c>
      <c r="AA53" s="113">
        <f t="shared" si="0"/>
        <v>14</v>
      </c>
      <c r="AB53" s="195">
        <f>0</f>
        <v>0</v>
      </c>
      <c r="AC53" s="120">
        <f t="shared" si="1"/>
        <v>14</v>
      </c>
      <c r="AD53" s="114">
        <v>44694</v>
      </c>
      <c r="AE53" s="177" t="s">
        <v>239</v>
      </c>
      <c r="AF53" s="84" t="s">
        <v>431</v>
      </c>
      <c r="AG53" s="102" t="s">
        <v>432</v>
      </c>
      <c r="AH53" s="88" t="s">
        <v>433</v>
      </c>
      <c r="AI53" s="88"/>
      <c r="AJ53" s="89">
        <v>14</v>
      </c>
      <c r="AK53" s="189">
        <f t="shared" si="2"/>
        <v>0</v>
      </c>
      <c r="AL53" s="88" t="s">
        <v>290</v>
      </c>
      <c r="AM53" s="83"/>
      <c r="AN53" s="90"/>
      <c r="AO53" s="180"/>
    </row>
    <row r="54" spans="1:41" s="288" customFormat="1" ht="30.75" customHeight="1">
      <c r="A54" s="233">
        <v>49</v>
      </c>
      <c r="B54" s="234"/>
      <c r="C54" s="227" t="s">
        <v>237</v>
      </c>
      <c r="D54" s="214"/>
      <c r="E54" s="214"/>
      <c r="F54" s="248" t="s">
        <v>156</v>
      </c>
      <c r="G54" s="249"/>
      <c r="H54" s="250" t="s">
        <v>1349</v>
      </c>
      <c r="I54" s="404" t="s">
        <v>1445</v>
      </c>
      <c r="J54" s="252"/>
      <c r="K54" s="247"/>
      <c r="L54" s="171"/>
      <c r="M54" s="171"/>
      <c r="N54" s="216" t="s">
        <v>71</v>
      </c>
      <c r="O54" s="323">
        <v>4</v>
      </c>
      <c r="P54" s="151">
        <f>0</f>
        <v>0</v>
      </c>
      <c r="Q54" s="151">
        <f>0</f>
        <v>0</v>
      </c>
      <c r="R54" s="151">
        <f>0</f>
        <v>0</v>
      </c>
      <c r="S54" s="151">
        <f>0</f>
        <v>0</v>
      </c>
      <c r="T54" s="151">
        <f>0</f>
        <v>0</v>
      </c>
      <c r="U54" s="151">
        <f>0</f>
        <v>0</v>
      </c>
      <c r="V54" s="151">
        <f>0</f>
        <v>0</v>
      </c>
      <c r="W54" s="151">
        <f>0</f>
        <v>0</v>
      </c>
      <c r="X54" s="151">
        <f>0</f>
        <v>0</v>
      </c>
      <c r="Y54" s="151">
        <f>0</f>
        <v>0</v>
      </c>
      <c r="Z54" s="200">
        <f>0</f>
        <v>0</v>
      </c>
      <c r="AA54" s="113">
        <f t="shared" si="0"/>
        <v>4</v>
      </c>
      <c r="AB54" s="195">
        <v>4</v>
      </c>
      <c r="AC54" s="120">
        <f t="shared" si="1"/>
        <v>0</v>
      </c>
      <c r="AD54" s="114">
        <v>44756</v>
      </c>
      <c r="AE54" s="177" t="s">
        <v>239</v>
      </c>
      <c r="AF54" s="84" t="s">
        <v>585</v>
      </c>
      <c r="AG54" s="141" t="s">
        <v>272</v>
      </c>
      <c r="AH54" s="88"/>
      <c r="AI54" s="88"/>
      <c r="AJ54" s="89">
        <v>4</v>
      </c>
      <c r="AK54" s="189">
        <f t="shared" si="2"/>
        <v>-4</v>
      </c>
      <c r="AL54" s="88" t="s">
        <v>586</v>
      </c>
      <c r="AM54" s="83"/>
      <c r="AN54" s="90"/>
      <c r="AO54" s="180"/>
    </row>
    <row r="55" spans="1:41" s="288" customFormat="1" ht="30.75" customHeight="1">
      <c r="A55" s="225">
        <v>50</v>
      </c>
      <c r="B55" s="234"/>
      <c r="C55" s="227" t="s">
        <v>237</v>
      </c>
      <c r="D55" s="84"/>
      <c r="E55" s="212"/>
      <c r="F55" s="263" t="s">
        <v>157</v>
      </c>
      <c r="G55" s="264"/>
      <c r="H55" s="265" t="s">
        <v>1350</v>
      </c>
      <c r="I55" s="405" t="s">
        <v>1445</v>
      </c>
      <c r="J55" s="266"/>
      <c r="K55" s="247"/>
      <c r="L55" s="84"/>
      <c r="M55" s="84"/>
      <c r="N55" s="216" t="s">
        <v>71</v>
      </c>
      <c r="O55" s="323">
        <v>4</v>
      </c>
      <c r="P55" s="151">
        <f>0</f>
        <v>0</v>
      </c>
      <c r="Q55" s="151">
        <f>0</f>
        <v>0</v>
      </c>
      <c r="R55" s="151">
        <f>0</f>
        <v>0</v>
      </c>
      <c r="S55" s="151">
        <f>0</f>
        <v>0</v>
      </c>
      <c r="T55" s="151">
        <f>0</f>
        <v>0</v>
      </c>
      <c r="U55" s="151">
        <f>0</f>
        <v>0</v>
      </c>
      <c r="V55" s="151">
        <f>0</f>
        <v>0</v>
      </c>
      <c r="W55" s="151">
        <f>0</f>
        <v>0</v>
      </c>
      <c r="X55" s="151">
        <f>0</f>
        <v>0</v>
      </c>
      <c r="Y55" s="151">
        <f>0</f>
        <v>0</v>
      </c>
      <c r="Z55" s="200">
        <f>0</f>
        <v>0</v>
      </c>
      <c r="AA55" s="113">
        <f t="shared" si="0"/>
        <v>4</v>
      </c>
      <c r="AB55" s="195">
        <v>4</v>
      </c>
      <c r="AC55" s="120">
        <f t="shared" si="1"/>
        <v>0</v>
      </c>
      <c r="AD55" s="114">
        <v>44756</v>
      </c>
      <c r="AE55" s="177" t="s">
        <v>239</v>
      </c>
      <c r="AF55" s="84" t="s">
        <v>585</v>
      </c>
      <c r="AG55" s="141" t="s">
        <v>272</v>
      </c>
      <c r="AH55" s="88"/>
      <c r="AI55" s="88"/>
      <c r="AJ55" s="89">
        <v>4</v>
      </c>
      <c r="AK55" s="189">
        <f t="shared" si="2"/>
        <v>-4</v>
      </c>
      <c r="AL55" s="88" t="s">
        <v>580</v>
      </c>
      <c r="AM55" s="83"/>
      <c r="AN55" s="90"/>
      <c r="AO55" s="180"/>
    </row>
    <row r="56" spans="1:41" s="288" customFormat="1" ht="56.25" customHeight="1">
      <c r="A56" s="225">
        <v>51</v>
      </c>
      <c r="B56" s="234"/>
      <c r="C56" s="227" t="s">
        <v>237</v>
      </c>
      <c r="D56" s="214"/>
      <c r="E56" s="214"/>
      <c r="F56" s="248" t="s">
        <v>158</v>
      </c>
      <c r="G56" s="249" t="s">
        <v>159</v>
      </c>
      <c r="H56" s="250" t="s">
        <v>160</v>
      </c>
      <c r="I56" s="251" t="s">
        <v>148</v>
      </c>
      <c r="J56" s="252"/>
      <c r="K56" s="247"/>
      <c r="L56" s="171"/>
      <c r="M56" s="171"/>
      <c r="N56" s="216" t="s">
        <v>71</v>
      </c>
      <c r="O56" s="323">
        <v>10</v>
      </c>
      <c r="P56" s="151">
        <f>0</f>
        <v>0</v>
      </c>
      <c r="Q56" s="151">
        <f>0</f>
        <v>0</v>
      </c>
      <c r="R56" s="151">
        <f>0</f>
        <v>0</v>
      </c>
      <c r="S56" s="151">
        <f>0</f>
        <v>0</v>
      </c>
      <c r="T56" s="151">
        <f>0</f>
        <v>0</v>
      </c>
      <c r="U56" s="151">
        <f>0</f>
        <v>0</v>
      </c>
      <c r="V56" s="151">
        <f>0</f>
        <v>0</v>
      </c>
      <c r="W56" s="151">
        <f>0</f>
        <v>0</v>
      </c>
      <c r="X56" s="151">
        <f>0</f>
        <v>0</v>
      </c>
      <c r="Y56" s="151">
        <f>0</f>
        <v>0</v>
      </c>
      <c r="Z56" s="200">
        <f>0</f>
        <v>0</v>
      </c>
      <c r="AA56" s="113">
        <f t="shared" si="0"/>
        <v>10</v>
      </c>
      <c r="AB56" s="195">
        <f>0</f>
        <v>0</v>
      </c>
      <c r="AC56" s="119">
        <f t="shared" si="1"/>
        <v>10</v>
      </c>
      <c r="AD56" s="114" t="s">
        <v>1498</v>
      </c>
      <c r="AE56" s="177" t="s">
        <v>239</v>
      </c>
      <c r="AF56" s="84" t="s">
        <v>1497</v>
      </c>
      <c r="AG56" s="141" t="s">
        <v>265</v>
      </c>
      <c r="AH56" s="85"/>
      <c r="AI56" s="85"/>
      <c r="AJ56" s="86">
        <v>10</v>
      </c>
      <c r="AK56" s="179">
        <f t="shared" si="2"/>
        <v>0</v>
      </c>
      <c r="AL56" s="85" t="s">
        <v>1532</v>
      </c>
      <c r="AM56" s="77"/>
      <c r="AN56" s="87"/>
      <c r="AO56" s="180"/>
    </row>
    <row r="57" spans="1:41" s="288" customFormat="1" ht="30.75" customHeight="1">
      <c r="A57" s="225">
        <v>52</v>
      </c>
      <c r="B57" s="234"/>
      <c r="C57" s="227" t="s">
        <v>237</v>
      </c>
      <c r="D57" s="84"/>
      <c r="E57" s="212"/>
      <c r="F57" s="263" t="s">
        <v>161</v>
      </c>
      <c r="G57" s="264" t="s">
        <v>1351</v>
      </c>
      <c r="H57" s="265" t="s">
        <v>1352</v>
      </c>
      <c r="I57" s="261" t="s">
        <v>148</v>
      </c>
      <c r="J57" s="266"/>
      <c r="K57" s="247"/>
      <c r="L57" s="84"/>
      <c r="M57" s="84"/>
      <c r="N57" s="216" t="s">
        <v>71</v>
      </c>
      <c r="O57" s="323">
        <v>7</v>
      </c>
      <c r="P57" s="151">
        <f>0</f>
        <v>0</v>
      </c>
      <c r="Q57" s="151">
        <f>0</f>
        <v>0</v>
      </c>
      <c r="R57" s="151">
        <f>0</f>
        <v>0</v>
      </c>
      <c r="S57" s="151">
        <f>0</f>
        <v>0</v>
      </c>
      <c r="T57" s="151">
        <f>0</f>
        <v>0</v>
      </c>
      <c r="U57" s="151">
        <f>0</f>
        <v>0</v>
      </c>
      <c r="V57" s="151">
        <f>0</f>
        <v>0</v>
      </c>
      <c r="W57" s="151">
        <f>0</f>
        <v>0</v>
      </c>
      <c r="X57" s="151">
        <f>0</f>
        <v>0</v>
      </c>
      <c r="Y57" s="151">
        <f>0</f>
        <v>0</v>
      </c>
      <c r="Z57" s="200">
        <f>0</f>
        <v>0</v>
      </c>
      <c r="AA57" s="113">
        <f t="shared" si="0"/>
        <v>7</v>
      </c>
      <c r="AB57" s="195">
        <v>18</v>
      </c>
      <c r="AC57" s="119">
        <f t="shared" si="1"/>
        <v>-11</v>
      </c>
      <c r="AD57" s="114">
        <v>44694</v>
      </c>
      <c r="AE57" s="177" t="s">
        <v>239</v>
      </c>
      <c r="AF57" s="84"/>
      <c r="AG57" s="149" t="s">
        <v>432</v>
      </c>
      <c r="AH57" s="85" t="s">
        <v>436</v>
      </c>
      <c r="AI57" s="85"/>
      <c r="AJ57" s="86">
        <v>18</v>
      </c>
      <c r="AK57" s="179">
        <f t="shared" si="2"/>
        <v>-29</v>
      </c>
      <c r="AL57" s="85" t="s">
        <v>580</v>
      </c>
      <c r="AM57" s="77"/>
      <c r="AN57" s="87"/>
      <c r="AO57" s="180"/>
    </row>
    <row r="58" spans="1:41" s="107" customFormat="1" ht="30.75" customHeight="1">
      <c r="A58" s="233">
        <v>53</v>
      </c>
      <c r="B58" s="234"/>
      <c r="C58" s="227" t="s">
        <v>237</v>
      </c>
      <c r="D58" s="214"/>
      <c r="E58" s="214"/>
      <c r="F58" s="248" t="s">
        <v>162</v>
      </c>
      <c r="G58" s="249"/>
      <c r="H58" s="250" t="s">
        <v>1353</v>
      </c>
      <c r="I58" s="251" t="s">
        <v>163</v>
      </c>
      <c r="J58" s="252"/>
      <c r="K58" s="247"/>
      <c r="L58" s="171"/>
      <c r="M58" s="171"/>
      <c r="N58" s="216" t="s">
        <v>71</v>
      </c>
      <c r="O58" s="323">
        <v>2</v>
      </c>
      <c r="P58" s="151">
        <f>0</f>
        <v>0</v>
      </c>
      <c r="Q58" s="151">
        <f>0</f>
        <v>0</v>
      </c>
      <c r="R58" s="151">
        <f>0</f>
        <v>0</v>
      </c>
      <c r="S58" s="151">
        <f>0</f>
        <v>0</v>
      </c>
      <c r="T58" s="151">
        <f>0</f>
        <v>0</v>
      </c>
      <c r="U58" s="151">
        <f>0</f>
        <v>0</v>
      </c>
      <c r="V58" s="151">
        <f>0</f>
        <v>0</v>
      </c>
      <c r="W58" s="151">
        <f>0</f>
        <v>0</v>
      </c>
      <c r="X58" s="151">
        <f>0</f>
        <v>0</v>
      </c>
      <c r="Y58" s="151">
        <f>0</f>
        <v>0</v>
      </c>
      <c r="Z58" s="200">
        <f>0</f>
        <v>0</v>
      </c>
      <c r="AA58" s="113">
        <f t="shared" si="0"/>
        <v>2</v>
      </c>
      <c r="AB58" s="195">
        <f>0</f>
        <v>0</v>
      </c>
      <c r="AC58" s="119">
        <f t="shared" si="1"/>
        <v>2</v>
      </c>
      <c r="AD58" s="114">
        <v>44694</v>
      </c>
      <c r="AE58" s="177" t="s">
        <v>239</v>
      </c>
      <c r="AF58" s="84" t="s">
        <v>264</v>
      </c>
      <c r="AG58" s="102" t="s">
        <v>265</v>
      </c>
      <c r="AH58" s="187"/>
      <c r="AI58" s="85"/>
      <c r="AJ58" s="86">
        <v>2</v>
      </c>
      <c r="AK58" s="179">
        <f t="shared" si="2"/>
        <v>0</v>
      </c>
      <c r="AL58" s="85" t="s">
        <v>288</v>
      </c>
      <c r="AM58" s="77"/>
      <c r="AN58" s="87"/>
      <c r="AO58" s="180"/>
    </row>
    <row r="59" spans="1:41" s="107" customFormat="1" ht="30.75" customHeight="1">
      <c r="A59" s="225">
        <v>54</v>
      </c>
      <c r="B59" s="234"/>
      <c r="C59" s="227" t="s">
        <v>237</v>
      </c>
      <c r="D59" s="84"/>
      <c r="E59" s="212"/>
      <c r="F59" s="263" t="s">
        <v>164</v>
      </c>
      <c r="G59" s="264"/>
      <c r="H59" s="265" t="s">
        <v>165</v>
      </c>
      <c r="I59" s="261" t="s">
        <v>163</v>
      </c>
      <c r="J59" s="266"/>
      <c r="K59" s="247"/>
      <c r="L59" s="84"/>
      <c r="M59" s="84"/>
      <c r="N59" s="216" t="s">
        <v>71</v>
      </c>
      <c r="O59" s="323">
        <v>1</v>
      </c>
      <c r="P59" s="151">
        <f>0</f>
        <v>0</v>
      </c>
      <c r="Q59" s="151">
        <f>0</f>
        <v>0</v>
      </c>
      <c r="R59" s="151">
        <f>0</f>
        <v>0</v>
      </c>
      <c r="S59" s="151">
        <f>0</f>
        <v>0</v>
      </c>
      <c r="T59" s="151">
        <f>0</f>
        <v>0</v>
      </c>
      <c r="U59" s="151">
        <f>0</f>
        <v>0</v>
      </c>
      <c r="V59" s="151">
        <f>0</f>
        <v>0</v>
      </c>
      <c r="W59" s="151">
        <f>0</f>
        <v>0</v>
      </c>
      <c r="X59" s="151">
        <f>0</f>
        <v>0</v>
      </c>
      <c r="Y59" s="151">
        <f>0</f>
        <v>0</v>
      </c>
      <c r="Z59" s="200">
        <f>0</f>
        <v>0</v>
      </c>
      <c r="AA59" s="113">
        <f t="shared" si="0"/>
        <v>1</v>
      </c>
      <c r="AB59" s="195">
        <v>1</v>
      </c>
      <c r="AC59" s="119">
        <f t="shared" si="1"/>
        <v>0</v>
      </c>
      <c r="AD59" s="114">
        <v>44694</v>
      </c>
      <c r="AE59" s="177" t="s">
        <v>239</v>
      </c>
      <c r="AF59" s="84" t="s">
        <v>266</v>
      </c>
      <c r="AG59" s="102" t="s">
        <v>265</v>
      </c>
      <c r="AH59" s="187"/>
      <c r="AI59" s="85"/>
      <c r="AJ59" s="86">
        <v>1</v>
      </c>
      <c r="AK59" s="179">
        <f t="shared" si="2"/>
        <v>-1</v>
      </c>
      <c r="AL59" s="85" t="s">
        <v>580</v>
      </c>
      <c r="AM59" s="77"/>
      <c r="AN59" s="87"/>
      <c r="AO59" s="180"/>
    </row>
    <row r="60" spans="1:41" s="107" customFormat="1" ht="30.75" customHeight="1">
      <c r="A60" s="225">
        <v>55</v>
      </c>
      <c r="B60" s="234"/>
      <c r="C60" s="227" t="s">
        <v>237</v>
      </c>
      <c r="D60" s="171"/>
      <c r="E60" s="210"/>
      <c r="F60" s="255" t="s">
        <v>547</v>
      </c>
      <c r="G60" s="256"/>
      <c r="H60" s="257" t="s">
        <v>169</v>
      </c>
      <c r="I60" s="258" t="s">
        <v>170</v>
      </c>
      <c r="J60" s="259"/>
      <c r="K60" s="247"/>
      <c r="L60" s="171"/>
      <c r="M60" s="171"/>
      <c r="N60" s="216" t="s">
        <v>71</v>
      </c>
      <c r="O60" s="323">
        <v>1</v>
      </c>
      <c r="P60" s="151">
        <f>0</f>
        <v>0</v>
      </c>
      <c r="Q60" s="151">
        <f>0</f>
        <v>0</v>
      </c>
      <c r="R60" s="151">
        <f>0</f>
        <v>0</v>
      </c>
      <c r="S60" s="151">
        <f>0</f>
        <v>0</v>
      </c>
      <c r="T60" s="151">
        <f>0</f>
        <v>0</v>
      </c>
      <c r="U60" s="151">
        <f>0</f>
        <v>0</v>
      </c>
      <c r="V60" s="151">
        <f>0</f>
        <v>0</v>
      </c>
      <c r="W60" s="151">
        <f>0</f>
        <v>0</v>
      </c>
      <c r="X60" s="151">
        <f>0</f>
        <v>0</v>
      </c>
      <c r="Y60" s="151">
        <f>0</f>
        <v>0</v>
      </c>
      <c r="Z60" s="200">
        <f>0</f>
        <v>0</v>
      </c>
      <c r="AA60" s="113">
        <f t="shared" si="0"/>
        <v>1</v>
      </c>
      <c r="AB60" s="195">
        <f>0</f>
        <v>0</v>
      </c>
      <c r="AC60" s="119">
        <f t="shared" si="1"/>
        <v>1</v>
      </c>
      <c r="AD60" s="114">
        <v>44756</v>
      </c>
      <c r="AE60" s="177" t="s">
        <v>239</v>
      </c>
      <c r="AF60" s="84" t="s">
        <v>274</v>
      </c>
      <c r="AG60" s="102" t="s">
        <v>272</v>
      </c>
      <c r="AH60" s="187"/>
      <c r="AI60" s="85"/>
      <c r="AJ60" s="86" t="s">
        <v>284</v>
      </c>
      <c r="AK60" s="179" t="e">
        <f t="shared" si="2"/>
        <v>#VALUE!</v>
      </c>
      <c r="AL60" s="85" t="s">
        <v>546</v>
      </c>
      <c r="AM60" s="77"/>
      <c r="AN60" s="87"/>
      <c r="AO60" s="180"/>
    </row>
    <row r="61" spans="1:41" s="107" customFormat="1" ht="30.75" customHeight="1">
      <c r="A61" s="225">
        <v>56</v>
      </c>
      <c r="B61" s="234">
        <v>44694</v>
      </c>
      <c r="C61" s="227" t="s">
        <v>450</v>
      </c>
      <c r="D61" s="217"/>
      <c r="E61" s="217"/>
      <c r="F61" s="242" t="s">
        <v>171</v>
      </c>
      <c r="G61" s="243"/>
      <c r="H61" s="244" t="s">
        <v>172</v>
      </c>
      <c r="I61" s="245" t="s">
        <v>170</v>
      </c>
      <c r="J61" s="246"/>
      <c r="K61" s="247"/>
      <c r="L61" s="84"/>
      <c r="M61" s="84" t="s">
        <v>469</v>
      </c>
      <c r="N61" s="216" t="s">
        <v>80</v>
      </c>
      <c r="O61" s="323">
        <v>5</v>
      </c>
      <c r="P61" s="151">
        <f>0</f>
        <v>0</v>
      </c>
      <c r="Q61" s="151">
        <f>0</f>
        <v>0</v>
      </c>
      <c r="R61" s="151">
        <f>0</f>
        <v>0</v>
      </c>
      <c r="S61" s="151">
        <f>0</f>
        <v>0</v>
      </c>
      <c r="T61" s="151">
        <f>0</f>
        <v>0</v>
      </c>
      <c r="U61" s="151">
        <f>0</f>
        <v>0</v>
      </c>
      <c r="V61" s="151">
        <f>0</f>
        <v>0</v>
      </c>
      <c r="W61" s="151">
        <f>0</f>
        <v>0</v>
      </c>
      <c r="X61" s="151">
        <f>0</f>
        <v>0</v>
      </c>
      <c r="Y61" s="151">
        <f>0</f>
        <v>0</v>
      </c>
      <c r="Z61" s="200">
        <f>0</f>
        <v>0</v>
      </c>
      <c r="AA61" s="113">
        <f t="shared" si="0"/>
        <v>5</v>
      </c>
      <c r="AB61" s="199">
        <v>5</v>
      </c>
      <c r="AC61" s="120">
        <f t="shared" si="1"/>
        <v>0</v>
      </c>
      <c r="AD61" s="114">
        <v>44694</v>
      </c>
      <c r="AE61" s="177" t="s">
        <v>282</v>
      </c>
      <c r="AF61" s="84"/>
      <c r="AG61" s="102" t="s">
        <v>432</v>
      </c>
      <c r="AH61" s="187"/>
      <c r="AI61" s="88"/>
      <c r="AJ61" s="89" t="s">
        <v>545</v>
      </c>
      <c r="AK61" s="189" t="e">
        <f t="shared" si="2"/>
        <v>#VALUE!</v>
      </c>
      <c r="AL61" s="88" t="s">
        <v>546</v>
      </c>
      <c r="AM61" s="565"/>
      <c r="AN61" s="567"/>
      <c r="AO61" s="92"/>
    </row>
    <row r="62" spans="1:41" s="107" customFormat="1" ht="30.75" customHeight="1">
      <c r="A62" s="233">
        <v>57</v>
      </c>
      <c r="B62" s="234"/>
      <c r="C62" s="227" t="s">
        <v>237</v>
      </c>
      <c r="D62" s="171"/>
      <c r="E62" s="210"/>
      <c r="F62" s="255" t="s">
        <v>173</v>
      </c>
      <c r="G62" s="256"/>
      <c r="H62" s="257" t="s">
        <v>174</v>
      </c>
      <c r="I62" s="258" t="s">
        <v>179</v>
      </c>
      <c r="J62" s="259"/>
      <c r="K62" s="247"/>
      <c r="L62" s="171"/>
      <c r="M62" s="171"/>
      <c r="N62" s="216" t="s">
        <v>71</v>
      </c>
      <c r="O62" s="323">
        <v>1</v>
      </c>
      <c r="P62" s="151">
        <f>0</f>
        <v>0</v>
      </c>
      <c r="Q62" s="151">
        <f>0</f>
        <v>0</v>
      </c>
      <c r="R62" s="151">
        <f>0</f>
        <v>0</v>
      </c>
      <c r="S62" s="151">
        <f>0</f>
        <v>0</v>
      </c>
      <c r="T62" s="151">
        <f>0</f>
        <v>0</v>
      </c>
      <c r="U62" s="151">
        <f>0</f>
        <v>0</v>
      </c>
      <c r="V62" s="151">
        <f>0</f>
        <v>0</v>
      </c>
      <c r="W62" s="151">
        <f>0</f>
        <v>0</v>
      </c>
      <c r="X62" s="151">
        <f>0</f>
        <v>0</v>
      </c>
      <c r="Y62" s="151">
        <f>0</f>
        <v>0</v>
      </c>
      <c r="Z62" s="200">
        <f>0</f>
        <v>0</v>
      </c>
      <c r="AA62" s="113">
        <f t="shared" si="0"/>
        <v>1</v>
      </c>
      <c r="AB62" s="199">
        <f>0</f>
        <v>0</v>
      </c>
      <c r="AC62" s="120">
        <f t="shared" si="1"/>
        <v>1</v>
      </c>
      <c r="AD62" s="114">
        <v>44694</v>
      </c>
      <c r="AE62" s="177" t="s">
        <v>239</v>
      </c>
      <c r="AF62" s="84" t="s">
        <v>437</v>
      </c>
      <c r="AG62" s="102">
        <v>3</v>
      </c>
      <c r="AH62" s="187">
        <v>-1</v>
      </c>
      <c r="AI62" s="85" t="s">
        <v>438</v>
      </c>
      <c r="AJ62" s="88">
        <v>2</v>
      </c>
      <c r="AK62" s="189">
        <f t="shared" si="2"/>
        <v>-1</v>
      </c>
      <c r="AL62" s="88" t="s">
        <v>287</v>
      </c>
      <c r="AM62" s="83"/>
      <c r="AN62" s="90"/>
      <c r="AO62" s="180"/>
    </row>
    <row r="63" spans="1:41" s="107" customFormat="1" ht="30.75" customHeight="1">
      <c r="A63" s="225">
        <v>58</v>
      </c>
      <c r="B63" s="234"/>
      <c r="C63" s="227" t="s">
        <v>237</v>
      </c>
      <c r="D63" s="217"/>
      <c r="E63" s="217"/>
      <c r="F63" s="242" t="s">
        <v>175</v>
      </c>
      <c r="G63" s="243"/>
      <c r="H63" s="244" t="s">
        <v>176</v>
      </c>
      <c r="I63" s="245" t="s">
        <v>179</v>
      </c>
      <c r="J63" s="246"/>
      <c r="K63" s="247"/>
      <c r="L63" s="84"/>
      <c r="M63" s="84"/>
      <c r="N63" s="216" t="s">
        <v>71</v>
      </c>
      <c r="O63" s="323">
        <v>1</v>
      </c>
      <c r="P63" s="151">
        <f>0</f>
        <v>0</v>
      </c>
      <c r="Q63" s="151">
        <f>0</f>
        <v>0</v>
      </c>
      <c r="R63" s="151">
        <f>0</f>
        <v>0</v>
      </c>
      <c r="S63" s="151">
        <f>0</f>
        <v>0</v>
      </c>
      <c r="T63" s="151">
        <f>0</f>
        <v>0</v>
      </c>
      <c r="U63" s="151">
        <f>0</f>
        <v>0</v>
      </c>
      <c r="V63" s="151">
        <f>0</f>
        <v>0</v>
      </c>
      <c r="W63" s="151">
        <f>0</f>
        <v>0</v>
      </c>
      <c r="X63" s="151">
        <f>0</f>
        <v>0</v>
      </c>
      <c r="Y63" s="151">
        <f>0</f>
        <v>0</v>
      </c>
      <c r="Z63" s="200">
        <f>0</f>
        <v>0</v>
      </c>
      <c r="AA63" s="113">
        <f t="shared" si="0"/>
        <v>1</v>
      </c>
      <c r="AB63" s="199">
        <f>0</f>
        <v>0</v>
      </c>
      <c r="AC63" s="120">
        <f t="shared" si="1"/>
        <v>1</v>
      </c>
      <c r="AD63" s="114">
        <v>44694</v>
      </c>
      <c r="AE63" s="177" t="s">
        <v>239</v>
      </c>
      <c r="AF63" s="84" t="s">
        <v>437</v>
      </c>
      <c r="AG63" s="102">
        <v>3</v>
      </c>
      <c r="AH63" s="187">
        <v>-1</v>
      </c>
      <c r="AI63" s="88" t="s">
        <v>438</v>
      </c>
      <c r="AJ63" s="89">
        <v>2</v>
      </c>
      <c r="AK63" s="189">
        <f t="shared" si="2"/>
        <v>-1</v>
      </c>
      <c r="AL63" s="88" t="s">
        <v>287</v>
      </c>
      <c r="AM63" s="83"/>
      <c r="AN63" s="90"/>
      <c r="AO63" s="180"/>
    </row>
    <row r="64" spans="1:41" s="107" customFormat="1" ht="30.75" customHeight="1">
      <c r="A64" s="225">
        <v>59</v>
      </c>
      <c r="B64" s="234"/>
      <c r="C64" s="227" t="s">
        <v>237</v>
      </c>
      <c r="D64" s="171"/>
      <c r="E64" s="210"/>
      <c r="F64" s="255" t="s">
        <v>177</v>
      </c>
      <c r="G64" s="256"/>
      <c r="H64" s="257" t="s">
        <v>178</v>
      </c>
      <c r="I64" s="258" t="s">
        <v>179</v>
      </c>
      <c r="J64" s="259"/>
      <c r="K64" s="247"/>
      <c r="L64" s="171"/>
      <c r="M64" s="171"/>
      <c r="N64" s="216" t="s">
        <v>71</v>
      </c>
      <c r="O64" s="323">
        <v>3</v>
      </c>
      <c r="P64" s="151">
        <f>0</f>
        <v>0</v>
      </c>
      <c r="Q64" s="151">
        <f>0</f>
        <v>0</v>
      </c>
      <c r="R64" s="151">
        <f>0</f>
        <v>0</v>
      </c>
      <c r="S64" s="151">
        <f>0</f>
        <v>0</v>
      </c>
      <c r="T64" s="151">
        <f>0</f>
        <v>0</v>
      </c>
      <c r="U64" s="151">
        <f>0</f>
        <v>0</v>
      </c>
      <c r="V64" s="151">
        <f>0</f>
        <v>0</v>
      </c>
      <c r="W64" s="151">
        <f>0</f>
        <v>0</v>
      </c>
      <c r="X64" s="151">
        <f>0</f>
        <v>0</v>
      </c>
      <c r="Y64" s="151">
        <f>0</f>
        <v>0</v>
      </c>
      <c r="Z64" s="200">
        <f>0</f>
        <v>0</v>
      </c>
      <c r="AA64" s="113">
        <f t="shared" si="0"/>
        <v>3</v>
      </c>
      <c r="AB64" s="199">
        <f>0</f>
        <v>0</v>
      </c>
      <c r="AC64" s="120">
        <f t="shared" si="1"/>
        <v>3</v>
      </c>
      <c r="AD64" s="114">
        <v>44694</v>
      </c>
      <c r="AE64" s="177" t="s">
        <v>239</v>
      </c>
      <c r="AF64" s="84" t="s">
        <v>439</v>
      </c>
      <c r="AG64" s="102" t="s">
        <v>440</v>
      </c>
      <c r="AH64" s="187" t="e">
        <v>#VALUE!</v>
      </c>
      <c r="AI64" s="88" t="s">
        <v>441</v>
      </c>
      <c r="AJ64" s="89">
        <v>7</v>
      </c>
      <c r="AK64" s="189">
        <f t="shared" si="2"/>
        <v>-4</v>
      </c>
      <c r="AL64" s="88" t="s">
        <v>287</v>
      </c>
      <c r="AM64" s="83"/>
      <c r="AN64" s="90"/>
      <c r="AO64" s="180"/>
    </row>
    <row r="65" spans="1:41" s="107" customFormat="1" ht="30.75" customHeight="1">
      <c r="A65" s="225">
        <v>60</v>
      </c>
      <c r="B65" s="234"/>
      <c r="C65" s="227" t="s">
        <v>237</v>
      </c>
      <c r="D65" s="217"/>
      <c r="E65" s="217"/>
      <c r="F65" s="242" t="s">
        <v>180</v>
      </c>
      <c r="G65" s="243"/>
      <c r="H65" s="244" t="s">
        <v>181</v>
      </c>
      <c r="I65" s="245" t="s">
        <v>168</v>
      </c>
      <c r="J65" s="246"/>
      <c r="K65" s="247"/>
      <c r="L65" s="84"/>
      <c r="M65" s="84" t="s">
        <v>452</v>
      </c>
      <c r="N65" s="216" t="s">
        <v>80</v>
      </c>
      <c r="O65" s="323">
        <v>1</v>
      </c>
      <c r="P65" s="151">
        <f>0</f>
        <v>0</v>
      </c>
      <c r="Q65" s="151">
        <f>0</f>
        <v>0</v>
      </c>
      <c r="R65" s="151">
        <f>0</f>
        <v>0</v>
      </c>
      <c r="S65" s="151">
        <f>0</f>
        <v>0</v>
      </c>
      <c r="T65" s="151">
        <f>0</f>
        <v>0</v>
      </c>
      <c r="U65" s="151">
        <f>0</f>
        <v>0</v>
      </c>
      <c r="V65" s="151">
        <f>0</f>
        <v>0</v>
      </c>
      <c r="W65" s="151">
        <f>0</f>
        <v>0</v>
      </c>
      <c r="X65" s="151">
        <f>0</f>
        <v>0</v>
      </c>
      <c r="Y65" s="151">
        <f>0</f>
        <v>0</v>
      </c>
      <c r="Z65" s="200">
        <f>0</f>
        <v>0</v>
      </c>
      <c r="AA65" s="113">
        <f t="shared" si="0"/>
        <v>1</v>
      </c>
      <c r="AB65" s="199">
        <f>0</f>
        <v>0</v>
      </c>
      <c r="AC65" s="120">
        <f t="shared" si="1"/>
        <v>1</v>
      </c>
      <c r="AD65" s="114">
        <v>44694</v>
      </c>
      <c r="AE65" s="177" t="s">
        <v>239</v>
      </c>
      <c r="AF65" s="84" t="s">
        <v>280</v>
      </c>
      <c r="AG65" s="102" t="s">
        <v>432</v>
      </c>
      <c r="AH65" s="186">
        <v>44767</v>
      </c>
      <c r="AI65" s="88"/>
      <c r="AJ65" s="89">
        <v>3</v>
      </c>
      <c r="AK65" s="189">
        <f t="shared" si="2"/>
        <v>-2</v>
      </c>
      <c r="AL65" s="88" t="s">
        <v>449</v>
      </c>
      <c r="AM65" s="565"/>
      <c r="AN65" s="567"/>
      <c r="AO65" s="92"/>
    </row>
    <row r="66" spans="1:41" s="107" customFormat="1" ht="30.75" customHeight="1">
      <c r="A66" s="233">
        <v>61</v>
      </c>
      <c r="B66" s="234"/>
      <c r="C66" s="227" t="s">
        <v>424</v>
      </c>
      <c r="D66" s="171"/>
      <c r="E66" s="210"/>
      <c r="F66" s="255" t="s">
        <v>143</v>
      </c>
      <c r="G66" s="256" t="s">
        <v>144</v>
      </c>
      <c r="H66" s="257">
        <v>254396</v>
      </c>
      <c r="I66" s="258" t="s">
        <v>79</v>
      </c>
      <c r="J66" s="259"/>
      <c r="K66" s="247"/>
      <c r="L66" s="171"/>
      <c r="M66" s="171"/>
      <c r="N66" s="216" t="s">
        <v>71</v>
      </c>
      <c r="O66" s="323">
        <v>1</v>
      </c>
      <c r="P66" s="151">
        <f>0</f>
        <v>0</v>
      </c>
      <c r="Q66" s="151">
        <f>0</f>
        <v>0</v>
      </c>
      <c r="R66" s="151">
        <f>0</f>
        <v>0</v>
      </c>
      <c r="S66" s="151">
        <f>0</f>
        <v>0</v>
      </c>
      <c r="T66" s="151">
        <f>0</f>
        <v>0</v>
      </c>
      <c r="U66" s="151">
        <f>0</f>
        <v>0</v>
      </c>
      <c r="V66" s="151">
        <f>0</f>
        <v>0</v>
      </c>
      <c r="W66" s="151">
        <f>0</f>
        <v>0</v>
      </c>
      <c r="X66" s="151">
        <f>0</f>
        <v>0</v>
      </c>
      <c r="Y66" s="151">
        <f>0</f>
        <v>0</v>
      </c>
      <c r="Z66" s="200">
        <f>0</f>
        <v>0</v>
      </c>
      <c r="AA66" s="113">
        <f t="shared" si="0"/>
        <v>1</v>
      </c>
      <c r="AB66" s="543">
        <v>1</v>
      </c>
      <c r="AC66" s="120">
        <f t="shared" si="1"/>
        <v>0</v>
      </c>
      <c r="AD66" s="114">
        <v>44854</v>
      </c>
      <c r="AE66" s="177" t="s">
        <v>239</v>
      </c>
      <c r="AF66" s="84" t="s">
        <v>425</v>
      </c>
      <c r="AG66" s="148" t="s">
        <v>429</v>
      </c>
      <c r="AH66" s="187"/>
      <c r="AI66" s="88"/>
      <c r="AJ66" s="89" t="s">
        <v>301</v>
      </c>
      <c r="AK66" s="189" t="e">
        <f t="shared" si="2"/>
        <v>#VALUE!</v>
      </c>
      <c r="AL66" s="88" t="s">
        <v>1506</v>
      </c>
      <c r="AM66" s="83"/>
      <c r="AN66" s="90"/>
      <c r="AO66" s="180"/>
    </row>
    <row r="67" spans="1:41" s="107" customFormat="1" ht="30.75" customHeight="1">
      <c r="A67" s="225">
        <v>62</v>
      </c>
      <c r="B67" s="234"/>
      <c r="C67" s="227" t="s">
        <v>424</v>
      </c>
      <c r="D67" s="217"/>
      <c r="E67" s="217"/>
      <c r="F67" s="242" t="s">
        <v>419</v>
      </c>
      <c r="G67" s="243" t="s">
        <v>185</v>
      </c>
      <c r="H67" s="244">
        <v>47391</v>
      </c>
      <c r="I67" s="245" t="s">
        <v>79</v>
      </c>
      <c r="J67" s="246"/>
      <c r="K67" s="247"/>
      <c r="L67" s="84"/>
      <c r="M67" s="84"/>
      <c r="N67" s="216" t="s">
        <v>71</v>
      </c>
      <c r="O67" s="323">
        <v>1</v>
      </c>
      <c r="P67" s="151">
        <f>0</f>
        <v>0</v>
      </c>
      <c r="Q67" s="151">
        <f>0</f>
        <v>0</v>
      </c>
      <c r="R67" s="151">
        <f>0</f>
        <v>0</v>
      </c>
      <c r="S67" s="151">
        <f>0</f>
        <v>0</v>
      </c>
      <c r="T67" s="151">
        <f>0</f>
        <v>0</v>
      </c>
      <c r="U67" s="151">
        <f>0</f>
        <v>0</v>
      </c>
      <c r="V67" s="151">
        <f>0</f>
        <v>0</v>
      </c>
      <c r="W67" s="151">
        <f>0</f>
        <v>0</v>
      </c>
      <c r="X67" s="151">
        <f>0</f>
        <v>0</v>
      </c>
      <c r="Y67" s="151">
        <f>0</f>
        <v>0</v>
      </c>
      <c r="Z67" s="200">
        <f>0</f>
        <v>0</v>
      </c>
      <c r="AA67" s="113">
        <f t="shared" si="0"/>
        <v>1</v>
      </c>
      <c r="AB67" s="543">
        <v>0</v>
      </c>
      <c r="AC67" s="120">
        <f t="shared" si="1"/>
        <v>1</v>
      </c>
      <c r="AD67" s="114">
        <v>44854</v>
      </c>
      <c r="AE67" s="177" t="s">
        <v>239</v>
      </c>
      <c r="AF67" s="84" t="s">
        <v>425</v>
      </c>
      <c r="AG67" s="148" t="s">
        <v>429</v>
      </c>
      <c r="AH67" s="187"/>
      <c r="AI67" s="88"/>
      <c r="AJ67" s="89">
        <v>2</v>
      </c>
      <c r="AK67" s="189">
        <f t="shared" si="2"/>
        <v>-1</v>
      </c>
      <c r="AL67" s="88" t="s">
        <v>1496</v>
      </c>
      <c r="AM67" s="83"/>
      <c r="AN67" s="90"/>
      <c r="AO67" s="180"/>
    </row>
    <row r="68" spans="1:41" s="107" customFormat="1" ht="30.75" customHeight="1">
      <c r="A68" s="225">
        <v>63</v>
      </c>
      <c r="B68" s="234"/>
      <c r="C68" s="227" t="s">
        <v>237</v>
      </c>
      <c r="D68" s="171"/>
      <c r="E68" s="210"/>
      <c r="F68" s="255" t="s">
        <v>186</v>
      </c>
      <c r="G68" s="256"/>
      <c r="H68" s="257" t="s">
        <v>187</v>
      </c>
      <c r="I68" s="258" t="s">
        <v>188</v>
      </c>
      <c r="J68" s="259"/>
      <c r="K68" s="247"/>
      <c r="L68" s="171" t="s">
        <v>80</v>
      </c>
      <c r="M68" s="171"/>
      <c r="N68" s="216" t="s">
        <v>71</v>
      </c>
      <c r="O68" s="323">
        <v>1</v>
      </c>
      <c r="P68" s="151">
        <f>0</f>
        <v>0</v>
      </c>
      <c r="Q68" s="151">
        <f>0</f>
        <v>0</v>
      </c>
      <c r="R68" s="151">
        <f>0</f>
        <v>0</v>
      </c>
      <c r="S68" s="151">
        <f>0</f>
        <v>0</v>
      </c>
      <c r="T68" s="151">
        <f>0</f>
        <v>0</v>
      </c>
      <c r="U68" s="151">
        <f>0</f>
        <v>0</v>
      </c>
      <c r="V68" s="151">
        <f>0</f>
        <v>0</v>
      </c>
      <c r="W68" s="151">
        <f>0</f>
        <v>0</v>
      </c>
      <c r="X68" s="151">
        <f>0</f>
        <v>0</v>
      </c>
      <c r="Y68" s="151">
        <f>0</f>
        <v>0</v>
      </c>
      <c r="Z68" s="200">
        <f>0</f>
        <v>0</v>
      </c>
      <c r="AA68" s="113">
        <f t="shared" si="0"/>
        <v>1</v>
      </c>
      <c r="AB68" s="199">
        <f>0</f>
        <v>0</v>
      </c>
      <c r="AC68" s="120">
        <f t="shared" si="1"/>
        <v>1</v>
      </c>
      <c r="AD68" s="114">
        <v>44756</v>
      </c>
      <c r="AE68" s="177" t="s">
        <v>239</v>
      </c>
      <c r="AF68" s="84"/>
      <c r="AG68" s="188" t="s">
        <v>276</v>
      </c>
      <c r="AH68" s="187"/>
      <c r="AI68" s="88"/>
      <c r="AJ68" s="89">
        <v>1</v>
      </c>
      <c r="AK68" s="189">
        <f t="shared" si="2"/>
        <v>0</v>
      </c>
      <c r="AL68" s="88" t="s">
        <v>283</v>
      </c>
      <c r="AM68" s="83"/>
      <c r="AN68" s="90"/>
      <c r="AO68" s="180"/>
    </row>
    <row r="69" spans="1:41" s="107" customFormat="1" ht="30.75" customHeight="1">
      <c r="A69" s="225">
        <v>64</v>
      </c>
      <c r="B69" s="234"/>
      <c r="C69" s="227" t="s">
        <v>237</v>
      </c>
      <c r="D69" s="217"/>
      <c r="E69" s="217"/>
      <c r="F69" s="242" t="s">
        <v>189</v>
      </c>
      <c r="G69" s="243"/>
      <c r="H69" s="244" t="s">
        <v>190</v>
      </c>
      <c r="I69" s="245" t="s">
        <v>188</v>
      </c>
      <c r="J69" s="246"/>
      <c r="K69" s="247"/>
      <c r="L69" s="84" t="s">
        <v>80</v>
      </c>
      <c r="M69" s="84"/>
      <c r="N69" s="216" t="s">
        <v>71</v>
      </c>
      <c r="O69" s="323">
        <v>1</v>
      </c>
      <c r="P69" s="151">
        <f>0</f>
        <v>0</v>
      </c>
      <c r="Q69" s="151">
        <f>0</f>
        <v>0</v>
      </c>
      <c r="R69" s="151">
        <f>0</f>
        <v>0</v>
      </c>
      <c r="S69" s="151">
        <f>0</f>
        <v>0</v>
      </c>
      <c r="T69" s="151">
        <f>0</f>
        <v>0</v>
      </c>
      <c r="U69" s="151">
        <f>0</f>
        <v>0</v>
      </c>
      <c r="V69" s="151">
        <f>0</f>
        <v>0</v>
      </c>
      <c r="W69" s="151">
        <f>0</f>
        <v>0</v>
      </c>
      <c r="X69" s="151">
        <f>0</f>
        <v>0</v>
      </c>
      <c r="Y69" s="151">
        <f>0</f>
        <v>0</v>
      </c>
      <c r="Z69" s="200">
        <f>0</f>
        <v>0</v>
      </c>
      <c r="AA69" s="113">
        <f t="shared" si="0"/>
        <v>1</v>
      </c>
      <c r="AB69" s="199">
        <f>0</f>
        <v>0</v>
      </c>
      <c r="AC69" s="120">
        <f t="shared" si="1"/>
        <v>1</v>
      </c>
      <c r="AD69" s="114">
        <v>44756</v>
      </c>
      <c r="AE69" s="177" t="s">
        <v>239</v>
      </c>
      <c r="AF69" s="84" t="s">
        <v>275</v>
      </c>
      <c r="AG69" s="188" t="s">
        <v>276</v>
      </c>
      <c r="AH69" s="187"/>
      <c r="AI69" s="88"/>
      <c r="AJ69" s="89" t="s">
        <v>301</v>
      </c>
      <c r="AK69" s="189" t="e">
        <f t="shared" si="2"/>
        <v>#VALUE!</v>
      </c>
      <c r="AL69" s="88" t="s">
        <v>302</v>
      </c>
      <c r="AM69" s="83"/>
      <c r="AN69" s="90"/>
      <c r="AO69" s="180"/>
    </row>
    <row r="70" spans="1:41" s="107" customFormat="1" ht="30.75" customHeight="1">
      <c r="A70" s="233">
        <v>65</v>
      </c>
      <c r="B70" s="234"/>
      <c r="C70" s="227" t="s">
        <v>237</v>
      </c>
      <c r="D70" s="214"/>
      <c r="E70" s="217"/>
      <c r="F70" s="268" t="s">
        <v>191</v>
      </c>
      <c r="G70" s="140"/>
      <c r="H70" s="269" t="s">
        <v>192</v>
      </c>
      <c r="I70" s="270" t="s">
        <v>193</v>
      </c>
      <c r="J70" s="193"/>
      <c r="K70" s="130"/>
      <c r="L70" s="171" t="s">
        <v>80</v>
      </c>
      <c r="M70" s="171"/>
      <c r="N70" s="216" t="s">
        <v>71</v>
      </c>
      <c r="O70" s="323">
        <v>1</v>
      </c>
      <c r="P70" s="151">
        <f>0</f>
        <v>0</v>
      </c>
      <c r="Q70" s="151">
        <f>0</f>
        <v>0</v>
      </c>
      <c r="R70" s="151">
        <f>0</f>
        <v>0</v>
      </c>
      <c r="S70" s="151">
        <f>0</f>
        <v>0</v>
      </c>
      <c r="T70" s="151">
        <f>0</f>
        <v>0</v>
      </c>
      <c r="U70" s="151">
        <f>0</f>
        <v>0</v>
      </c>
      <c r="V70" s="151">
        <f>0</f>
        <v>0</v>
      </c>
      <c r="W70" s="151">
        <f>0</f>
        <v>0</v>
      </c>
      <c r="X70" s="151">
        <f>0</f>
        <v>0</v>
      </c>
      <c r="Y70" s="151">
        <f>0</f>
        <v>0</v>
      </c>
      <c r="Z70" s="200">
        <f>0</f>
        <v>0</v>
      </c>
      <c r="AA70" s="113">
        <f t="shared" ref="AA70:AA133" si="3">SUM(O70:Z70)</f>
        <v>1</v>
      </c>
      <c r="AB70" s="199">
        <v>1</v>
      </c>
      <c r="AC70" s="120">
        <f t="shared" ref="AC70:AC133" si="4">AA70-AB70</f>
        <v>0</v>
      </c>
      <c r="AD70" s="114"/>
      <c r="AE70" s="124" t="s">
        <v>282</v>
      </c>
      <c r="AF70" s="84" t="s">
        <v>292</v>
      </c>
      <c r="AG70" s="188"/>
      <c r="AH70" s="187"/>
      <c r="AI70" s="88"/>
      <c r="AJ70" s="125" t="s">
        <v>284</v>
      </c>
      <c r="AK70" s="185" t="e">
        <f t="shared" ref="AK70:AK133" si="5">AC70-AJ70</f>
        <v>#VALUE!</v>
      </c>
      <c r="AL70" s="93" t="s">
        <v>498</v>
      </c>
      <c r="AM70" s="50"/>
      <c r="AN70" s="95"/>
      <c r="AO70" s="390"/>
    </row>
    <row r="71" spans="1:41" s="107" customFormat="1" ht="30.75" customHeight="1">
      <c r="A71" s="225">
        <v>66</v>
      </c>
      <c r="B71" s="234"/>
      <c r="C71" s="227" t="s">
        <v>237</v>
      </c>
      <c r="D71" s="217"/>
      <c r="E71" s="217"/>
      <c r="F71" s="271" t="s">
        <v>194</v>
      </c>
      <c r="G71" s="271" t="s">
        <v>195</v>
      </c>
      <c r="H71" s="272" t="s">
        <v>196</v>
      </c>
      <c r="I71" s="273" t="s">
        <v>193</v>
      </c>
      <c r="J71" s="191"/>
      <c r="K71" s="130"/>
      <c r="L71" s="84" t="s">
        <v>80</v>
      </c>
      <c r="M71" s="84"/>
      <c r="N71" s="216" t="s">
        <v>71</v>
      </c>
      <c r="O71" s="323">
        <v>1</v>
      </c>
      <c r="P71" s="151">
        <f>0</f>
        <v>0</v>
      </c>
      <c r="Q71" s="151">
        <f>0</f>
        <v>0</v>
      </c>
      <c r="R71" s="151">
        <f>0</f>
        <v>0</v>
      </c>
      <c r="S71" s="151">
        <f>0</f>
        <v>0</v>
      </c>
      <c r="T71" s="151">
        <f>0</f>
        <v>0</v>
      </c>
      <c r="U71" s="151">
        <f>0</f>
        <v>0</v>
      </c>
      <c r="V71" s="151">
        <f>0</f>
        <v>0</v>
      </c>
      <c r="W71" s="151">
        <f>0</f>
        <v>0</v>
      </c>
      <c r="X71" s="151">
        <f>0</f>
        <v>0</v>
      </c>
      <c r="Y71" s="151">
        <f>0</f>
        <v>0</v>
      </c>
      <c r="Z71" s="200">
        <f>0</f>
        <v>0</v>
      </c>
      <c r="AA71" s="113">
        <f t="shared" si="3"/>
        <v>1</v>
      </c>
      <c r="AB71" s="199">
        <f>0</f>
        <v>0</v>
      </c>
      <c r="AC71" s="120">
        <f t="shared" si="4"/>
        <v>1</v>
      </c>
      <c r="AD71" s="114"/>
      <c r="AE71" s="124" t="s">
        <v>282</v>
      </c>
      <c r="AF71" s="84" t="s">
        <v>292</v>
      </c>
      <c r="AG71" s="188"/>
      <c r="AH71" s="187"/>
      <c r="AI71" s="88"/>
      <c r="AJ71" s="94">
        <v>1</v>
      </c>
      <c r="AK71" s="185">
        <f t="shared" si="5"/>
        <v>0</v>
      </c>
      <c r="AL71" s="93" t="s">
        <v>604</v>
      </c>
      <c r="AM71" s="50"/>
      <c r="AN71" s="95"/>
      <c r="AO71" s="390"/>
    </row>
    <row r="72" spans="1:41" s="107" customFormat="1" ht="30.75" customHeight="1">
      <c r="A72" s="225">
        <v>67</v>
      </c>
      <c r="B72" s="234"/>
      <c r="C72" s="227" t="s">
        <v>237</v>
      </c>
      <c r="D72" s="214"/>
      <c r="E72" s="214"/>
      <c r="F72" s="248" t="s">
        <v>197</v>
      </c>
      <c r="G72" s="249" t="s">
        <v>198</v>
      </c>
      <c r="H72" s="250" t="s">
        <v>198</v>
      </c>
      <c r="I72" s="251" t="s">
        <v>199</v>
      </c>
      <c r="J72" s="252"/>
      <c r="K72" s="247"/>
      <c r="L72" s="171"/>
      <c r="M72" s="171"/>
      <c r="N72" s="216" t="s">
        <v>71</v>
      </c>
      <c r="O72" s="323">
        <v>1</v>
      </c>
      <c r="P72" s="151">
        <f>0</f>
        <v>0</v>
      </c>
      <c r="Q72" s="151">
        <f>0</f>
        <v>0</v>
      </c>
      <c r="R72" s="151">
        <f>0</f>
        <v>0</v>
      </c>
      <c r="S72" s="151">
        <f>0</f>
        <v>0</v>
      </c>
      <c r="T72" s="151">
        <f>0</f>
        <v>0</v>
      </c>
      <c r="U72" s="151">
        <f>0</f>
        <v>0</v>
      </c>
      <c r="V72" s="151">
        <f>0</f>
        <v>0</v>
      </c>
      <c r="W72" s="151">
        <f>0</f>
        <v>0</v>
      </c>
      <c r="X72" s="151">
        <f>0</f>
        <v>0</v>
      </c>
      <c r="Y72" s="151">
        <f>0</f>
        <v>0</v>
      </c>
      <c r="Z72" s="200">
        <f>0</f>
        <v>0</v>
      </c>
      <c r="AA72" s="113">
        <f t="shared" si="3"/>
        <v>1</v>
      </c>
      <c r="AB72" s="199">
        <f>0</f>
        <v>0</v>
      </c>
      <c r="AC72" s="120">
        <f t="shared" si="4"/>
        <v>1</v>
      </c>
      <c r="AD72" s="114">
        <v>44756</v>
      </c>
      <c r="AE72" s="177" t="s">
        <v>239</v>
      </c>
      <c r="AF72" s="84" t="s">
        <v>271</v>
      </c>
      <c r="AG72" s="188"/>
      <c r="AH72" s="187"/>
      <c r="AI72" s="88"/>
      <c r="AJ72" s="86" t="s">
        <v>1403</v>
      </c>
      <c r="AK72" s="189" t="e">
        <f t="shared" si="5"/>
        <v>#VALUE!</v>
      </c>
      <c r="AL72" s="88"/>
      <c r="AM72" s="83"/>
      <c r="AN72" s="90"/>
      <c r="AO72" s="180"/>
    </row>
    <row r="73" spans="1:41" s="107" customFormat="1" ht="30.75" customHeight="1">
      <c r="A73" s="225">
        <v>68</v>
      </c>
      <c r="B73" s="234"/>
      <c r="C73" s="227" t="s">
        <v>237</v>
      </c>
      <c r="D73" s="84"/>
      <c r="E73" s="212"/>
      <c r="F73" s="263" t="s">
        <v>200</v>
      </c>
      <c r="G73" s="264" t="s">
        <v>201</v>
      </c>
      <c r="H73" s="265" t="s">
        <v>201</v>
      </c>
      <c r="I73" s="261" t="s">
        <v>199</v>
      </c>
      <c r="J73" s="266"/>
      <c r="K73" s="247"/>
      <c r="L73" s="84"/>
      <c r="M73" s="84"/>
      <c r="N73" s="216" t="s">
        <v>71</v>
      </c>
      <c r="O73" s="323">
        <v>2</v>
      </c>
      <c r="P73" s="151">
        <f>0</f>
        <v>0</v>
      </c>
      <c r="Q73" s="151">
        <f>0</f>
        <v>0</v>
      </c>
      <c r="R73" s="151">
        <f>0</f>
        <v>0</v>
      </c>
      <c r="S73" s="151">
        <f>0</f>
        <v>0</v>
      </c>
      <c r="T73" s="151">
        <f>0</f>
        <v>0</v>
      </c>
      <c r="U73" s="151">
        <f>0</f>
        <v>0</v>
      </c>
      <c r="V73" s="151">
        <f>0</f>
        <v>0</v>
      </c>
      <c r="W73" s="151">
        <f>0</f>
        <v>0</v>
      </c>
      <c r="X73" s="151">
        <f>0</f>
        <v>0</v>
      </c>
      <c r="Y73" s="151">
        <f>0</f>
        <v>0</v>
      </c>
      <c r="Z73" s="200">
        <f>0</f>
        <v>0</v>
      </c>
      <c r="AA73" s="113">
        <f t="shared" si="3"/>
        <v>2</v>
      </c>
      <c r="AB73" s="199">
        <v>2</v>
      </c>
      <c r="AC73" s="120">
        <f t="shared" si="4"/>
        <v>0</v>
      </c>
      <c r="AD73" s="114">
        <v>44756</v>
      </c>
      <c r="AE73" s="177" t="s">
        <v>239</v>
      </c>
      <c r="AF73" s="84" t="s">
        <v>583</v>
      </c>
      <c r="AG73" s="188"/>
      <c r="AH73" s="187"/>
      <c r="AI73" s="88"/>
      <c r="AJ73" s="86" t="s">
        <v>584</v>
      </c>
      <c r="AK73" s="189" t="e">
        <f t="shared" si="5"/>
        <v>#VALUE!</v>
      </c>
      <c r="AL73" s="88" t="s">
        <v>580</v>
      </c>
      <c r="AM73" s="83"/>
      <c r="AN73" s="90"/>
      <c r="AO73" s="180"/>
    </row>
    <row r="74" spans="1:41" s="107" customFormat="1" ht="30.75" customHeight="1">
      <c r="A74" s="233">
        <v>69</v>
      </c>
      <c r="B74" s="234"/>
      <c r="C74" s="227" t="s">
        <v>237</v>
      </c>
      <c r="D74" s="214"/>
      <c r="E74" s="214"/>
      <c r="F74" s="248" t="s">
        <v>202</v>
      </c>
      <c r="G74" s="249" t="s">
        <v>203</v>
      </c>
      <c r="H74" s="250" t="s">
        <v>203</v>
      </c>
      <c r="I74" s="251" t="s">
        <v>199</v>
      </c>
      <c r="J74" s="252"/>
      <c r="K74" s="247"/>
      <c r="L74" s="171"/>
      <c r="M74" s="171"/>
      <c r="N74" s="216" t="s">
        <v>71</v>
      </c>
      <c r="O74" s="323">
        <v>1</v>
      </c>
      <c r="P74" s="151">
        <f>0</f>
        <v>0</v>
      </c>
      <c r="Q74" s="151">
        <f>0</f>
        <v>0</v>
      </c>
      <c r="R74" s="151">
        <f>0</f>
        <v>0</v>
      </c>
      <c r="S74" s="151">
        <f>0</f>
        <v>0</v>
      </c>
      <c r="T74" s="151">
        <f>0</f>
        <v>0</v>
      </c>
      <c r="U74" s="151">
        <f>0</f>
        <v>0</v>
      </c>
      <c r="V74" s="151">
        <f>0</f>
        <v>0</v>
      </c>
      <c r="W74" s="151">
        <f>0</f>
        <v>0</v>
      </c>
      <c r="X74" s="151">
        <f>0</f>
        <v>0</v>
      </c>
      <c r="Y74" s="151">
        <f>0</f>
        <v>0</v>
      </c>
      <c r="Z74" s="200">
        <f>0</f>
        <v>0</v>
      </c>
      <c r="AA74" s="113">
        <f t="shared" si="3"/>
        <v>1</v>
      </c>
      <c r="AB74" s="199">
        <v>1</v>
      </c>
      <c r="AC74" s="120">
        <f t="shared" si="4"/>
        <v>0</v>
      </c>
      <c r="AD74" s="114">
        <v>44756</v>
      </c>
      <c r="AE74" s="177" t="s">
        <v>239</v>
      </c>
      <c r="AF74" s="84" t="s">
        <v>582</v>
      </c>
      <c r="AG74" s="188"/>
      <c r="AH74" s="187"/>
      <c r="AI74" s="88"/>
      <c r="AJ74" s="86">
        <v>1</v>
      </c>
      <c r="AK74" s="189">
        <f t="shared" si="5"/>
        <v>-1</v>
      </c>
      <c r="AL74" s="88" t="s">
        <v>580</v>
      </c>
      <c r="AM74" s="83"/>
      <c r="AN74" s="90"/>
      <c r="AO74" s="180"/>
    </row>
    <row r="75" spans="1:41" s="107" customFormat="1" ht="30.75" customHeight="1">
      <c r="A75" s="225">
        <v>70</v>
      </c>
      <c r="B75" s="234"/>
      <c r="C75" s="227" t="s">
        <v>237</v>
      </c>
      <c r="D75" s="84"/>
      <c r="E75" s="212"/>
      <c r="F75" s="263" t="s">
        <v>204</v>
      </c>
      <c r="G75" s="264" t="s">
        <v>205</v>
      </c>
      <c r="H75" s="265" t="s">
        <v>205</v>
      </c>
      <c r="I75" s="261" t="s">
        <v>199</v>
      </c>
      <c r="J75" s="266"/>
      <c r="K75" s="247"/>
      <c r="L75" s="84"/>
      <c r="M75" s="84"/>
      <c r="N75" s="216" t="s">
        <v>71</v>
      </c>
      <c r="O75" s="323">
        <v>1</v>
      </c>
      <c r="P75" s="151">
        <f>0</f>
        <v>0</v>
      </c>
      <c r="Q75" s="151">
        <f>0</f>
        <v>0</v>
      </c>
      <c r="R75" s="151">
        <f>0</f>
        <v>0</v>
      </c>
      <c r="S75" s="151">
        <f>0</f>
        <v>0</v>
      </c>
      <c r="T75" s="151">
        <f>0</f>
        <v>0</v>
      </c>
      <c r="U75" s="151">
        <f>0</f>
        <v>0</v>
      </c>
      <c r="V75" s="151">
        <f>0</f>
        <v>0</v>
      </c>
      <c r="W75" s="151">
        <f>0</f>
        <v>0</v>
      </c>
      <c r="X75" s="151">
        <f>0</f>
        <v>0</v>
      </c>
      <c r="Y75" s="151">
        <f>0</f>
        <v>0</v>
      </c>
      <c r="Z75" s="200">
        <f>0</f>
        <v>0</v>
      </c>
      <c r="AA75" s="113">
        <f t="shared" si="3"/>
        <v>1</v>
      </c>
      <c r="AB75" s="199">
        <v>1</v>
      </c>
      <c r="AC75" s="120">
        <f t="shared" si="4"/>
        <v>0</v>
      </c>
      <c r="AD75" s="114">
        <v>44756</v>
      </c>
      <c r="AE75" s="177" t="s">
        <v>239</v>
      </c>
      <c r="AF75" s="84" t="s">
        <v>582</v>
      </c>
      <c r="AG75" s="188"/>
      <c r="AH75" s="187"/>
      <c r="AI75" s="88"/>
      <c r="AJ75" s="86">
        <v>1</v>
      </c>
      <c r="AK75" s="189">
        <f t="shared" si="5"/>
        <v>-1</v>
      </c>
      <c r="AL75" s="88" t="s">
        <v>580</v>
      </c>
      <c r="AM75" s="83"/>
      <c r="AN75" s="90"/>
      <c r="AO75" s="180"/>
    </row>
    <row r="76" spans="1:41" s="107" customFormat="1" ht="30.75" customHeight="1">
      <c r="A76" s="225">
        <v>71</v>
      </c>
      <c r="B76" s="234"/>
      <c r="C76" s="227" t="s">
        <v>237</v>
      </c>
      <c r="D76" s="214"/>
      <c r="E76" s="214"/>
      <c r="F76" s="274" t="s">
        <v>218</v>
      </c>
      <c r="G76" s="140" t="s">
        <v>219</v>
      </c>
      <c r="H76" s="269" t="s">
        <v>219</v>
      </c>
      <c r="I76" s="270" t="s">
        <v>220</v>
      </c>
      <c r="J76" s="193"/>
      <c r="K76" s="130"/>
      <c r="L76" s="171"/>
      <c r="M76" s="171"/>
      <c r="N76" s="216" t="s">
        <v>71</v>
      </c>
      <c r="O76" s="323">
        <v>1</v>
      </c>
      <c r="P76" s="151">
        <f>0</f>
        <v>0</v>
      </c>
      <c r="Q76" s="151">
        <f>0</f>
        <v>0</v>
      </c>
      <c r="R76" s="151">
        <f>0</f>
        <v>0</v>
      </c>
      <c r="S76" s="151">
        <f>0</f>
        <v>0</v>
      </c>
      <c r="T76" s="151">
        <f>0</f>
        <v>0</v>
      </c>
      <c r="U76" s="151">
        <f>0</f>
        <v>0</v>
      </c>
      <c r="V76" s="151">
        <f>0</f>
        <v>0</v>
      </c>
      <c r="W76" s="151">
        <f>0</f>
        <v>0</v>
      </c>
      <c r="X76" s="151">
        <f>0</f>
        <v>0</v>
      </c>
      <c r="Y76" s="151">
        <f>0</f>
        <v>0</v>
      </c>
      <c r="Z76" s="200">
        <f>0</f>
        <v>0</v>
      </c>
      <c r="AA76" s="113">
        <f t="shared" si="3"/>
        <v>1</v>
      </c>
      <c r="AB76" s="199">
        <f>0</f>
        <v>0</v>
      </c>
      <c r="AC76" s="120">
        <f t="shared" si="4"/>
        <v>1</v>
      </c>
      <c r="AD76" s="114">
        <v>44906</v>
      </c>
      <c r="AE76" s="177" t="s">
        <v>239</v>
      </c>
      <c r="AF76" s="84" t="s">
        <v>476</v>
      </c>
      <c r="AG76" s="188"/>
      <c r="AH76" s="187"/>
      <c r="AI76" s="88"/>
      <c r="AJ76" s="86" t="s">
        <v>499</v>
      </c>
      <c r="AK76" s="189" t="e">
        <f t="shared" si="5"/>
        <v>#VALUE!</v>
      </c>
      <c r="AL76" s="88"/>
      <c r="AM76" s="83"/>
      <c r="AN76" s="90"/>
      <c r="AO76" s="180"/>
    </row>
    <row r="77" spans="1:41" s="107" customFormat="1" ht="30.75" customHeight="1">
      <c r="A77" s="225">
        <v>72</v>
      </c>
      <c r="B77" s="234"/>
      <c r="C77" s="227" t="s">
        <v>424</v>
      </c>
      <c r="D77" s="84"/>
      <c r="E77" s="212"/>
      <c r="F77" s="263" t="s">
        <v>182</v>
      </c>
      <c r="G77" s="264" t="s">
        <v>183</v>
      </c>
      <c r="H77" s="265" t="s">
        <v>183</v>
      </c>
      <c r="I77" s="261" t="s">
        <v>79</v>
      </c>
      <c r="J77" s="266"/>
      <c r="K77" s="247"/>
      <c r="L77" s="84"/>
      <c r="M77" s="84"/>
      <c r="N77" s="216" t="s">
        <v>71</v>
      </c>
      <c r="O77" s="323">
        <v>1</v>
      </c>
      <c r="P77" s="151">
        <f>0</f>
        <v>0</v>
      </c>
      <c r="Q77" s="151">
        <f>0</f>
        <v>0</v>
      </c>
      <c r="R77" s="151">
        <f>0</f>
        <v>0</v>
      </c>
      <c r="S77" s="151">
        <f>0</f>
        <v>0</v>
      </c>
      <c r="T77" s="151">
        <f>0</f>
        <v>0</v>
      </c>
      <c r="U77" s="151">
        <f>0</f>
        <v>0</v>
      </c>
      <c r="V77" s="151">
        <f>0</f>
        <v>0</v>
      </c>
      <c r="W77" s="151">
        <f>0</f>
        <v>0</v>
      </c>
      <c r="X77" s="151">
        <f>0</f>
        <v>0</v>
      </c>
      <c r="Y77" s="151">
        <f>0</f>
        <v>0</v>
      </c>
      <c r="Z77" s="200">
        <f>0</f>
        <v>0</v>
      </c>
      <c r="AA77" s="113">
        <f t="shared" si="3"/>
        <v>1</v>
      </c>
      <c r="AB77" s="144">
        <v>1</v>
      </c>
      <c r="AC77" s="119">
        <f t="shared" si="4"/>
        <v>0</v>
      </c>
      <c r="AD77" s="114">
        <v>44854</v>
      </c>
      <c r="AE77" s="177" t="s">
        <v>239</v>
      </c>
      <c r="AF77" s="84" t="s">
        <v>426</v>
      </c>
      <c r="AG77" s="188"/>
      <c r="AH77" s="177"/>
      <c r="AI77" s="85"/>
      <c r="AJ77" s="89"/>
      <c r="AK77" s="189">
        <f t="shared" si="5"/>
        <v>0</v>
      </c>
      <c r="AL77" s="88"/>
      <c r="AM77" s="83"/>
      <c r="AN77" s="90"/>
      <c r="AO77" s="180"/>
    </row>
    <row r="78" spans="1:41" s="107" customFormat="1" ht="30.75" customHeight="1">
      <c r="A78" s="233">
        <v>73</v>
      </c>
      <c r="B78" s="234"/>
      <c r="C78" s="227" t="s">
        <v>424</v>
      </c>
      <c r="D78" s="214"/>
      <c r="E78" s="214"/>
      <c r="F78" s="248" t="s">
        <v>141</v>
      </c>
      <c r="G78" s="249" t="s">
        <v>185</v>
      </c>
      <c r="H78" s="250" t="s">
        <v>185</v>
      </c>
      <c r="I78" s="251" t="s">
        <v>79</v>
      </c>
      <c r="J78" s="252"/>
      <c r="K78" s="247"/>
      <c r="L78" s="171"/>
      <c r="M78" s="171"/>
      <c r="N78" s="216" t="s">
        <v>71</v>
      </c>
      <c r="O78" s="323">
        <v>1</v>
      </c>
      <c r="P78" s="151">
        <f>0</f>
        <v>0</v>
      </c>
      <c r="Q78" s="151">
        <f>0</f>
        <v>0</v>
      </c>
      <c r="R78" s="151">
        <f>0</f>
        <v>0</v>
      </c>
      <c r="S78" s="151">
        <f>0</f>
        <v>0</v>
      </c>
      <c r="T78" s="151">
        <f>0</f>
        <v>0</v>
      </c>
      <c r="U78" s="151">
        <f>0</f>
        <v>0</v>
      </c>
      <c r="V78" s="151">
        <f>0</f>
        <v>0</v>
      </c>
      <c r="W78" s="151">
        <f>0</f>
        <v>0</v>
      </c>
      <c r="X78" s="151">
        <f>0</f>
        <v>0</v>
      </c>
      <c r="Y78" s="151">
        <f>0</f>
        <v>0</v>
      </c>
      <c r="Z78" s="200">
        <f>0</f>
        <v>0</v>
      </c>
      <c r="AA78" s="113">
        <f t="shared" si="3"/>
        <v>1</v>
      </c>
      <c r="AB78" s="144">
        <v>0</v>
      </c>
      <c r="AC78" s="119">
        <f t="shared" si="4"/>
        <v>1</v>
      </c>
      <c r="AD78" s="114">
        <v>44854</v>
      </c>
      <c r="AE78" s="177" t="s">
        <v>239</v>
      </c>
      <c r="AF78" s="84" t="s">
        <v>425</v>
      </c>
      <c r="AG78" s="148" t="s">
        <v>429</v>
      </c>
      <c r="AH78" s="177"/>
      <c r="AI78" s="85"/>
      <c r="AJ78" s="89"/>
      <c r="AK78" s="189">
        <f t="shared" si="5"/>
        <v>1</v>
      </c>
      <c r="AL78" s="88"/>
      <c r="AM78" s="83"/>
      <c r="AN78" s="90"/>
      <c r="AO78" s="180"/>
    </row>
    <row r="79" spans="1:41" s="107" customFormat="1" ht="30.75" customHeight="1">
      <c r="A79" s="225">
        <v>74</v>
      </c>
      <c r="B79" s="234"/>
      <c r="C79" s="227" t="s">
        <v>424</v>
      </c>
      <c r="D79" s="84"/>
      <c r="E79" s="212"/>
      <c r="F79" s="263" t="s">
        <v>420</v>
      </c>
      <c r="G79" s="264" t="s">
        <v>405</v>
      </c>
      <c r="H79" s="265">
        <v>313054</v>
      </c>
      <c r="I79" s="261" t="s">
        <v>79</v>
      </c>
      <c r="J79" s="266"/>
      <c r="K79" s="247"/>
      <c r="L79" s="84"/>
      <c r="M79" s="84"/>
      <c r="N79" s="216" t="s">
        <v>71</v>
      </c>
      <c r="O79" s="323">
        <v>1</v>
      </c>
      <c r="P79" s="151">
        <f>0</f>
        <v>0</v>
      </c>
      <c r="Q79" s="151">
        <f>0</f>
        <v>0</v>
      </c>
      <c r="R79" s="151">
        <f>0</f>
        <v>0</v>
      </c>
      <c r="S79" s="151">
        <f>0</f>
        <v>0</v>
      </c>
      <c r="T79" s="151">
        <f>0</f>
        <v>0</v>
      </c>
      <c r="U79" s="151">
        <f>0</f>
        <v>0</v>
      </c>
      <c r="V79" s="151">
        <f>0</f>
        <v>0</v>
      </c>
      <c r="W79" s="151">
        <f>0</f>
        <v>0</v>
      </c>
      <c r="X79" s="151">
        <f>0</f>
        <v>0</v>
      </c>
      <c r="Y79" s="151">
        <f>0</f>
        <v>0</v>
      </c>
      <c r="Z79" s="200">
        <f>0</f>
        <v>0</v>
      </c>
      <c r="AA79" s="113">
        <f t="shared" si="3"/>
        <v>1</v>
      </c>
      <c r="AB79" s="543">
        <v>0</v>
      </c>
      <c r="AC79" s="120">
        <f t="shared" si="4"/>
        <v>1</v>
      </c>
      <c r="AD79" s="114">
        <v>44854</v>
      </c>
      <c r="AE79" s="177" t="s">
        <v>239</v>
      </c>
      <c r="AF79" s="84" t="s">
        <v>425</v>
      </c>
      <c r="AG79" s="147" t="s">
        <v>428</v>
      </c>
      <c r="AH79" s="187"/>
      <c r="AI79" s="88"/>
      <c r="AJ79" s="89">
        <v>1</v>
      </c>
      <c r="AK79" s="189">
        <f t="shared" si="5"/>
        <v>0</v>
      </c>
      <c r="AL79" s="88" t="s">
        <v>1534</v>
      </c>
      <c r="AM79" s="83"/>
      <c r="AN79" s="90"/>
      <c r="AO79" s="180"/>
    </row>
    <row r="80" spans="1:41" s="107" customFormat="1" ht="30.75" customHeight="1">
      <c r="A80" s="225">
        <v>75</v>
      </c>
      <c r="B80" s="234"/>
      <c r="C80" s="227" t="s">
        <v>237</v>
      </c>
      <c r="D80" s="214"/>
      <c r="E80" s="275"/>
      <c r="F80" s="274" t="s">
        <v>221</v>
      </c>
      <c r="G80" s="140" t="s">
        <v>222</v>
      </c>
      <c r="H80" s="269" t="s">
        <v>222</v>
      </c>
      <c r="I80" s="270" t="s">
        <v>223</v>
      </c>
      <c r="J80" s="193"/>
      <c r="K80" s="130"/>
      <c r="L80" s="171"/>
      <c r="M80" s="171"/>
      <c r="N80" s="216" t="s">
        <v>71</v>
      </c>
      <c r="O80" s="391">
        <v>1</v>
      </c>
      <c r="P80" s="77">
        <f>0</f>
        <v>0</v>
      </c>
      <c r="Q80" s="77">
        <f>0</f>
        <v>0</v>
      </c>
      <c r="R80" s="77">
        <f>0</f>
        <v>0</v>
      </c>
      <c r="S80" s="77">
        <f>0</f>
        <v>0</v>
      </c>
      <c r="T80" s="77">
        <f>0</f>
        <v>0</v>
      </c>
      <c r="U80" s="77">
        <f>0</f>
        <v>0</v>
      </c>
      <c r="V80" s="77">
        <f>0</f>
        <v>0</v>
      </c>
      <c r="W80" s="77">
        <f>0</f>
        <v>0</v>
      </c>
      <c r="X80" s="77">
        <f>0</f>
        <v>0</v>
      </c>
      <c r="Y80" s="77">
        <f>0</f>
        <v>0</v>
      </c>
      <c r="Z80" s="392">
        <f>0</f>
        <v>0</v>
      </c>
      <c r="AA80" s="131">
        <f t="shared" si="3"/>
        <v>1</v>
      </c>
      <c r="AB80" s="158">
        <f>0</f>
        <v>0</v>
      </c>
      <c r="AC80" s="145">
        <f t="shared" si="4"/>
        <v>1</v>
      </c>
      <c r="AD80" s="114"/>
      <c r="AE80" s="177"/>
      <c r="AF80" s="379" t="s">
        <v>1613</v>
      </c>
      <c r="AG80" s="188" t="s">
        <v>475</v>
      </c>
      <c r="AH80" s="187"/>
      <c r="AI80" s="88" t="s">
        <v>1438</v>
      </c>
      <c r="AJ80" s="89">
        <v>1</v>
      </c>
      <c r="AK80" s="189">
        <f t="shared" si="5"/>
        <v>0</v>
      </c>
      <c r="AL80" s="88" t="s">
        <v>1591</v>
      </c>
      <c r="AM80" s="83"/>
      <c r="AN80" s="90"/>
      <c r="AO80" s="180"/>
    </row>
    <row r="81" spans="1:41" s="288" customFormat="1" ht="30.75" customHeight="1">
      <c r="A81" s="225">
        <v>76</v>
      </c>
      <c r="B81" s="234"/>
      <c r="C81" s="227" t="s">
        <v>237</v>
      </c>
      <c r="D81" s="217"/>
      <c r="E81" s="214"/>
      <c r="F81" s="222" t="s">
        <v>224</v>
      </c>
      <c r="G81" s="188" t="s">
        <v>225</v>
      </c>
      <c r="H81" s="231" t="s">
        <v>226</v>
      </c>
      <c r="I81" s="232" t="s">
        <v>168</v>
      </c>
      <c r="J81" s="171"/>
      <c r="K81" s="171"/>
      <c r="L81" s="171"/>
      <c r="M81" s="171"/>
      <c r="N81" s="216" t="s">
        <v>80</v>
      </c>
      <c r="O81" s="323">
        <v>1</v>
      </c>
      <c r="P81" s="151">
        <f>0</f>
        <v>0</v>
      </c>
      <c r="Q81" s="151">
        <f>0</f>
        <v>0</v>
      </c>
      <c r="R81" s="151">
        <f>0</f>
        <v>0</v>
      </c>
      <c r="S81" s="151">
        <f>0</f>
        <v>0</v>
      </c>
      <c r="T81" s="151">
        <f>0</f>
        <v>0</v>
      </c>
      <c r="U81" s="151">
        <f>0</f>
        <v>0</v>
      </c>
      <c r="V81" s="151">
        <f>0</f>
        <v>0</v>
      </c>
      <c r="W81" s="151">
        <f>0</f>
        <v>0</v>
      </c>
      <c r="X81" s="151">
        <f>0</f>
        <v>0</v>
      </c>
      <c r="Y81" s="151">
        <f>0</f>
        <v>0</v>
      </c>
      <c r="Z81" s="200">
        <f>0</f>
        <v>0</v>
      </c>
      <c r="AA81" s="113">
        <f t="shared" si="3"/>
        <v>1</v>
      </c>
      <c r="AB81" s="199">
        <f>0</f>
        <v>0</v>
      </c>
      <c r="AC81" s="172">
        <f t="shared" si="4"/>
        <v>1</v>
      </c>
      <c r="AD81" s="170" t="s">
        <v>1551</v>
      </c>
      <c r="AE81" s="187" t="s">
        <v>239</v>
      </c>
      <c r="AF81" s="369" t="s">
        <v>1552</v>
      </c>
      <c r="AG81" s="103" t="s">
        <v>475</v>
      </c>
      <c r="AH81" s="98"/>
      <c r="AI81" s="88" t="s">
        <v>1438</v>
      </c>
      <c r="AJ81" s="89">
        <v>1</v>
      </c>
      <c r="AK81" s="189">
        <f t="shared" si="5"/>
        <v>0</v>
      </c>
      <c r="AL81" s="88" t="s">
        <v>1600</v>
      </c>
      <c r="AM81" s="83"/>
      <c r="AN81" s="90"/>
      <c r="AO81" s="180"/>
    </row>
    <row r="82" spans="1:41" s="288" customFormat="1" ht="30.75" customHeight="1">
      <c r="A82" s="233">
        <v>77</v>
      </c>
      <c r="B82" s="234"/>
      <c r="C82" s="227" t="s">
        <v>237</v>
      </c>
      <c r="D82" s="84"/>
      <c r="E82" s="212"/>
      <c r="F82" s="167" t="s">
        <v>228</v>
      </c>
      <c r="G82" s="178" t="s">
        <v>229</v>
      </c>
      <c r="H82" s="228" t="s">
        <v>229</v>
      </c>
      <c r="I82" s="229" t="s">
        <v>230</v>
      </c>
      <c r="J82" s="84"/>
      <c r="K82" s="84"/>
      <c r="L82" s="84"/>
      <c r="M82" s="171"/>
      <c r="N82" s="216" t="s">
        <v>71</v>
      </c>
      <c r="O82" s="391">
        <v>1</v>
      </c>
      <c r="P82" s="77">
        <f>0</f>
        <v>0</v>
      </c>
      <c r="Q82" s="77">
        <f>0</f>
        <v>0</v>
      </c>
      <c r="R82" s="77">
        <f>0</f>
        <v>0</v>
      </c>
      <c r="S82" s="77">
        <f>0</f>
        <v>0</v>
      </c>
      <c r="T82" s="77">
        <f>0</f>
        <v>0</v>
      </c>
      <c r="U82" s="77">
        <f>0</f>
        <v>0</v>
      </c>
      <c r="V82" s="77">
        <f>0</f>
        <v>0</v>
      </c>
      <c r="W82" s="77">
        <f>0</f>
        <v>0</v>
      </c>
      <c r="X82" s="77">
        <f>0</f>
        <v>0</v>
      </c>
      <c r="Y82" s="77">
        <f>0</f>
        <v>0</v>
      </c>
      <c r="Z82" s="392">
        <f>0</f>
        <v>0</v>
      </c>
      <c r="AA82" s="131">
        <f t="shared" si="3"/>
        <v>1</v>
      </c>
      <c r="AB82" s="158">
        <v>0</v>
      </c>
      <c r="AC82" s="145">
        <f t="shared" si="4"/>
        <v>1</v>
      </c>
      <c r="AD82" s="170">
        <v>45013</v>
      </c>
      <c r="AE82" s="187" t="s">
        <v>239</v>
      </c>
      <c r="AF82" s="369" t="s">
        <v>1555</v>
      </c>
      <c r="AG82" s="103"/>
      <c r="AH82" s="162">
        <v>45030</v>
      </c>
      <c r="AI82" s="88" t="s">
        <v>1438</v>
      </c>
      <c r="AJ82" s="89">
        <v>1</v>
      </c>
      <c r="AK82" s="189">
        <f t="shared" si="5"/>
        <v>0</v>
      </c>
      <c r="AL82" s="88" t="s">
        <v>1591</v>
      </c>
      <c r="AM82" s="83"/>
      <c r="AN82" s="90"/>
      <c r="AO82" s="180"/>
    </row>
    <row r="83" spans="1:41" s="288" customFormat="1" ht="30.75" customHeight="1">
      <c r="A83" s="225">
        <v>78</v>
      </c>
      <c r="B83" s="234"/>
      <c r="C83" s="227" t="s">
        <v>237</v>
      </c>
      <c r="D83" s="217"/>
      <c r="E83" s="217"/>
      <c r="F83" s="271" t="s">
        <v>231</v>
      </c>
      <c r="G83" s="192" t="s">
        <v>232</v>
      </c>
      <c r="H83" s="272" t="s">
        <v>232</v>
      </c>
      <c r="I83" s="273" t="s">
        <v>230</v>
      </c>
      <c r="J83" s="191"/>
      <c r="K83" s="130"/>
      <c r="L83" s="84"/>
      <c r="M83" s="171"/>
      <c r="N83" s="216" t="s">
        <v>71</v>
      </c>
      <c r="O83" s="391">
        <v>1</v>
      </c>
      <c r="P83" s="77">
        <f>0</f>
        <v>0</v>
      </c>
      <c r="Q83" s="77">
        <f>0</f>
        <v>0</v>
      </c>
      <c r="R83" s="77">
        <f>0</f>
        <v>0</v>
      </c>
      <c r="S83" s="77">
        <f>0</f>
        <v>0</v>
      </c>
      <c r="T83" s="77">
        <f>0</f>
        <v>0</v>
      </c>
      <c r="U83" s="77">
        <f>0</f>
        <v>0</v>
      </c>
      <c r="V83" s="77">
        <f>0</f>
        <v>0</v>
      </c>
      <c r="W83" s="77">
        <f>0</f>
        <v>0</v>
      </c>
      <c r="X83" s="77">
        <f>0</f>
        <v>0</v>
      </c>
      <c r="Y83" s="77">
        <f>0</f>
        <v>0</v>
      </c>
      <c r="Z83" s="392">
        <f>0</f>
        <v>0</v>
      </c>
      <c r="AA83" s="131">
        <f t="shared" si="3"/>
        <v>1</v>
      </c>
      <c r="AB83" s="175">
        <v>0</v>
      </c>
      <c r="AC83" s="434">
        <f t="shared" si="4"/>
        <v>1</v>
      </c>
      <c r="AD83" s="170">
        <v>45013</v>
      </c>
      <c r="AE83" s="187" t="s">
        <v>239</v>
      </c>
      <c r="AF83" s="369" t="s">
        <v>1555</v>
      </c>
      <c r="AG83" s="133"/>
      <c r="AH83" s="146">
        <v>45030</v>
      </c>
      <c r="AI83" s="88" t="s">
        <v>1438</v>
      </c>
      <c r="AJ83" s="86">
        <v>1</v>
      </c>
      <c r="AK83" s="179">
        <f t="shared" si="5"/>
        <v>0</v>
      </c>
      <c r="AL83" s="85" t="s">
        <v>1591</v>
      </c>
      <c r="AM83" s="77"/>
      <c r="AN83" s="87"/>
      <c r="AO83" s="180"/>
    </row>
    <row r="84" spans="1:41" s="288" customFormat="1" ht="30.75" customHeight="1">
      <c r="A84" s="225">
        <v>79</v>
      </c>
      <c r="B84" s="234"/>
      <c r="C84" s="227" t="s">
        <v>237</v>
      </c>
      <c r="D84" s="171"/>
      <c r="E84" s="210"/>
      <c r="F84" s="274" t="s">
        <v>233</v>
      </c>
      <c r="G84" s="140" t="s">
        <v>234</v>
      </c>
      <c r="H84" s="269" t="s">
        <v>234</v>
      </c>
      <c r="I84" s="270" t="s">
        <v>230</v>
      </c>
      <c r="J84" s="193"/>
      <c r="K84" s="130"/>
      <c r="L84" s="171"/>
      <c r="M84" s="171"/>
      <c r="N84" s="216" t="s">
        <v>71</v>
      </c>
      <c r="O84" s="391">
        <v>1</v>
      </c>
      <c r="P84" s="77">
        <f>0</f>
        <v>0</v>
      </c>
      <c r="Q84" s="77">
        <f>0</f>
        <v>0</v>
      </c>
      <c r="R84" s="77">
        <f>0</f>
        <v>0</v>
      </c>
      <c r="S84" s="77">
        <f>0</f>
        <v>0</v>
      </c>
      <c r="T84" s="77">
        <f>0</f>
        <v>0</v>
      </c>
      <c r="U84" s="77">
        <f>0</f>
        <v>0</v>
      </c>
      <c r="V84" s="77">
        <f>0</f>
        <v>0</v>
      </c>
      <c r="W84" s="77">
        <f>0</f>
        <v>0</v>
      </c>
      <c r="X84" s="77">
        <f>0</f>
        <v>0</v>
      </c>
      <c r="Y84" s="77">
        <f>0</f>
        <v>0</v>
      </c>
      <c r="Z84" s="392">
        <f>0</f>
        <v>0</v>
      </c>
      <c r="AA84" s="131">
        <f t="shared" si="3"/>
        <v>1</v>
      </c>
      <c r="AB84" s="158">
        <v>0</v>
      </c>
      <c r="AC84" s="145">
        <f t="shared" si="4"/>
        <v>1</v>
      </c>
      <c r="AD84" s="170">
        <v>45013</v>
      </c>
      <c r="AE84" s="187" t="s">
        <v>239</v>
      </c>
      <c r="AF84" s="369" t="s">
        <v>1555</v>
      </c>
      <c r="AG84" s="103"/>
      <c r="AH84" s="162">
        <v>45030</v>
      </c>
      <c r="AI84" s="88" t="s">
        <v>1438</v>
      </c>
      <c r="AJ84" s="89">
        <v>1</v>
      </c>
      <c r="AK84" s="189">
        <f t="shared" si="5"/>
        <v>0</v>
      </c>
      <c r="AL84" s="88" t="s">
        <v>1591</v>
      </c>
      <c r="AM84" s="83"/>
      <c r="AN84" s="90"/>
      <c r="AO84" s="180"/>
    </row>
    <row r="85" spans="1:41" s="288" customFormat="1" ht="30.75" customHeight="1">
      <c r="A85" s="225">
        <v>80</v>
      </c>
      <c r="B85" s="234"/>
      <c r="C85" s="227" t="s">
        <v>237</v>
      </c>
      <c r="D85" s="217"/>
      <c r="E85" s="276"/>
      <c r="F85" s="271" t="s">
        <v>488</v>
      </c>
      <c r="G85" s="192" t="s">
        <v>489</v>
      </c>
      <c r="H85" s="272"/>
      <c r="I85" s="273" t="s">
        <v>238</v>
      </c>
      <c r="J85" s="191"/>
      <c r="K85" s="130"/>
      <c r="L85" s="84"/>
      <c r="M85" s="84"/>
      <c r="N85" s="216" t="s">
        <v>71</v>
      </c>
      <c r="O85" s="391">
        <v>1</v>
      </c>
      <c r="P85" s="77">
        <f>0</f>
        <v>0</v>
      </c>
      <c r="Q85" s="77">
        <f>0</f>
        <v>0</v>
      </c>
      <c r="R85" s="77">
        <f>0</f>
        <v>0</v>
      </c>
      <c r="S85" s="77">
        <f>0</f>
        <v>0</v>
      </c>
      <c r="T85" s="77">
        <f>0</f>
        <v>0</v>
      </c>
      <c r="U85" s="77">
        <f>0</f>
        <v>0</v>
      </c>
      <c r="V85" s="77">
        <f>0</f>
        <v>0</v>
      </c>
      <c r="W85" s="77">
        <f>0</f>
        <v>0</v>
      </c>
      <c r="X85" s="77">
        <f>0</f>
        <v>0</v>
      </c>
      <c r="Y85" s="77">
        <f>0</f>
        <v>0</v>
      </c>
      <c r="Z85" s="392">
        <f>0</f>
        <v>0</v>
      </c>
      <c r="AA85" s="131">
        <f t="shared" si="3"/>
        <v>1</v>
      </c>
      <c r="AB85" s="158">
        <f>0</f>
        <v>0</v>
      </c>
      <c r="AC85" s="145">
        <f t="shared" si="4"/>
        <v>1</v>
      </c>
      <c r="AD85" s="114" t="s">
        <v>1557</v>
      </c>
      <c r="AE85" s="177" t="s">
        <v>239</v>
      </c>
      <c r="AF85" s="164" t="s">
        <v>1556</v>
      </c>
      <c r="AG85" s="103"/>
      <c r="AH85" s="98"/>
      <c r="AI85" s="88"/>
      <c r="AJ85" s="89"/>
      <c r="AK85" s="189">
        <f t="shared" si="5"/>
        <v>1</v>
      </c>
      <c r="AL85" s="88"/>
      <c r="AM85" s="83"/>
      <c r="AN85" s="90"/>
      <c r="AO85" s="180"/>
    </row>
    <row r="86" spans="1:41" s="288" customFormat="1" ht="30.75" customHeight="1">
      <c r="A86" s="233">
        <v>81</v>
      </c>
      <c r="B86" s="234"/>
      <c r="C86" s="227" t="s">
        <v>239</v>
      </c>
      <c r="D86" s="214"/>
      <c r="E86" s="275"/>
      <c r="F86" s="274" t="s">
        <v>240</v>
      </c>
      <c r="G86" s="140" t="s">
        <v>241</v>
      </c>
      <c r="H86" s="269"/>
      <c r="I86" s="270" t="s">
        <v>238</v>
      </c>
      <c r="J86" s="193"/>
      <c r="K86" s="130"/>
      <c r="L86" s="171"/>
      <c r="M86" s="171"/>
      <c r="N86" s="216" t="s">
        <v>71</v>
      </c>
      <c r="O86" s="391">
        <v>1</v>
      </c>
      <c r="P86" s="77">
        <f>0</f>
        <v>0</v>
      </c>
      <c r="Q86" s="77">
        <f>0</f>
        <v>0</v>
      </c>
      <c r="R86" s="77">
        <f>0</f>
        <v>0</v>
      </c>
      <c r="S86" s="77">
        <f>0</f>
        <v>0</v>
      </c>
      <c r="T86" s="77">
        <f>0</f>
        <v>0</v>
      </c>
      <c r="U86" s="77">
        <f>0</f>
        <v>0</v>
      </c>
      <c r="V86" s="77">
        <f>0</f>
        <v>0</v>
      </c>
      <c r="W86" s="77">
        <f>0</f>
        <v>0</v>
      </c>
      <c r="X86" s="77">
        <f>0</f>
        <v>0</v>
      </c>
      <c r="Y86" s="77">
        <f>0</f>
        <v>0</v>
      </c>
      <c r="Z86" s="392">
        <f>0</f>
        <v>0</v>
      </c>
      <c r="AA86" s="131">
        <f t="shared" si="3"/>
        <v>1</v>
      </c>
      <c r="AB86" s="158">
        <f>0</f>
        <v>0</v>
      </c>
      <c r="AC86" s="145">
        <f t="shared" si="4"/>
        <v>1</v>
      </c>
      <c r="AD86" s="114" t="s">
        <v>1557</v>
      </c>
      <c r="AE86" s="177" t="s">
        <v>239</v>
      </c>
      <c r="AF86" s="164" t="s">
        <v>1556</v>
      </c>
      <c r="AG86" s="103"/>
      <c r="AH86" s="98"/>
      <c r="AI86" s="88"/>
      <c r="AJ86" s="89"/>
      <c r="AK86" s="189">
        <f t="shared" si="5"/>
        <v>1</v>
      </c>
      <c r="AL86" s="88"/>
      <c r="AM86" s="83"/>
      <c r="AN86" s="90"/>
      <c r="AO86" s="180"/>
    </row>
    <row r="87" spans="1:41" s="107" customFormat="1" ht="30.75" customHeight="1">
      <c r="A87" s="225">
        <v>82</v>
      </c>
      <c r="B87" s="234"/>
      <c r="C87" s="227" t="s">
        <v>239</v>
      </c>
      <c r="D87" s="84"/>
      <c r="E87" s="212"/>
      <c r="F87" s="263" t="s">
        <v>491</v>
      </c>
      <c r="G87" s="264" t="s">
        <v>490</v>
      </c>
      <c r="H87" s="265"/>
      <c r="I87" s="261" t="s">
        <v>227</v>
      </c>
      <c r="J87" s="266"/>
      <c r="K87" s="247"/>
      <c r="L87" s="84" t="s">
        <v>252</v>
      </c>
      <c r="M87" s="84"/>
      <c r="N87" s="216" t="s">
        <v>71</v>
      </c>
      <c r="O87" s="323">
        <v>6</v>
      </c>
      <c r="P87" s="151">
        <f>0</f>
        <v>0</v>
      </c>
      <c r="Q87" s="151">
        <f>0</f>
        <v>0</v>
      </c>
      <c r="R87" s="151">
        <f>0</f>
        <v>0</v>
      </c>
      <c r="S87" s="151">
        <f>0</f>
        <v>0</v>
      </c>
      <c r="T87" s="151">
        <f>0</f>
        <v>0</v>
      </c>
      <c r="U87" s="151">
        <f>0</f>
        <v>0</v>
      </c>
      <c r="V87" s="151">
        <f>0</f>
        <v>0</v>
      </c>
      <c r="W87" s="151">
        <f>0</f>
        <v>0</v>
      </c>
      <c r="X87" s="151">
        <f>0</f>
        <v>0</v>
      </c>
      <c r="Y87" s="151">
        <f>0</f>
        <v>0</v>
      </c>
      <c r="Z87" s="200">
        <f>0</f>
        <v>0</v>
      </c>
      <c r="AA87" s="113">
        <f t="shared" si="3"/>
        <v>6</v>
      </c>
      <c r="AB87" s="199">
        <v>12</v>
      </c>
      <c r="AC87" s="120">
        <f t="shared" si="4"/>
        <v>-6</v>
      </c>
      <c r="AD87" s="114">
        <v>44906</v>
      </c>
      <c r="AE87" s="177" t="s">
        <v>239</v>
      </c>
      <c r="AF87" s="84" t="s">
        <v>492</v>
      </c>
      <c r="AG87" s="102"/>
      <c r="AH87" s="187"/>
      <c r="AI87" s="88"/>
      <c r="AJ87" s="89">
        <v>6</v>
      </c>
      <c r="AK87" s="189">
        <f t="shared" si="5"/>
        <v>-12</v>
      </c>
      <c r="AL87" s="88" t="s">
        <v>1513</v>
      </c>
      <c r="AM87" s="565"/>
      <c r="AN87" s="567"/>
      <c r="AO87" s="180"/>
    </row>
    <row r="88" spans="1:41" s="288" customFormat="1" ht="30.75" customHeight="1">
      <c r="A88" s="225">
        <v>83</v>
      </c>
      <c r="B88" s="277">
        <v>44756</v>
      </c>
      <c r="C88" s="278" t="s">
        <v>254</v>
      </c>
      <c r="D88" s="285" t="s">
        <v>562</v>
      </c>
      <c r="E88" s="214" t="s">
        <v>322</v>
      </c>
      <c r="F88" s="274" t="s">
        <v>561</v>
      </c>
      <c r="G88" s="140" t="s">
        <v>486</v>
      </c>
      <c r="H88" s="269"/>
      <c r="I88" s="270" t="s">
        <v>255</v>
      </c>
      <c r="J88" s="274"/>
      <c r="K88" s="299"/>
      <c r="L88" s="222" t="s">
        <v>252</v>
      </c>
      <c r="M88" s="216" t="s">
        <v>902</v>
      </c>
      <c r="N88" s="216" t="s">
        <v>943</v>
      </c>
      <c r="O88" s="391">
        <v>2</v>
      </c>
      <c r="P88" s="77">
        <f>0</f>
        <v>0</v>
      </c>
      <c r="Q88" s="77">
        <f>0</f>
        <v>0</v>
      </c>
      <c r="R88" s="77">
        <f>0</f>
        <v>0</v>
      </c>
      <c r="S88" s="77">
        <f>0</f>
        <v>0</v>
      </c>
      <c r="T88" s="77">
        <f>0</f>
        <v>0</v>
      </c>
      <c r="U88" s="77">
        <f>0</f>
        <v>0</v>
      </c>
      <c r="V88" s="77">
        <f>0</f>
        <v>0</v>
      </c>
      <c r="W88" s="77">
        <f>0</f>
        <v>0</v>
      </c>
      <c r="X88" s="77">
        <f>0</f>
        <v>0</v>
      </c>
      <c r="Y88" s="77">
        <f>0</f>
        <v>0</v>
      </c>
      <c r="Z88" s="392">
        <f>0</f>
        <v>0</v>
      </c>
      <c r="AA88" s="131">
        <f t="shared" si="3"/>
        <v>2</v>
      </c>
      <c r="AB88" s="175">
        <f>0</f>
        <v>0</v>
      </c>
      <c r="AC88" s="434">
        <f t="shared" si="4"/>
        <v>2</v>
      </c>
      <c r="AD88" s="114"/>
      <c r="AE88" s="177" t="s">
        <v>239</v>
      </c>
      <c r="AF88" s="379" t="s">
        <v>1613</v>
      </c>
      <c r="AG88" s="103"/>
      <c r="AH88" s="100"/>
      <c r="AI88" s="88" t="s">
        <v>1438</v>
      </c>
      <c r="AJ88" s="89">
        <v>2</v>
      </c>
      <c r="AK88" s="189">
        <f t="shared" si="5"/>
        <v>0</v>
      </c>
      <c r="AL88" s="88" t="s">
        <v>1544</v>
      </c>
      <c r="AM88" s="83"/>
      <c r="AN88" s="90"/>
      <c r="AO88" s="180"/>
    </row>
    <row r="89" spans="1:41" s="288" customFormat="1" ht="30.75" customHeight="1">
      <c r="A89" s="225">
        <v>84</v>
      </c>
      <c r="B89" s="277">
        <v>44756</v>
      </c>
      <c r="C89" s="278" t="s">
        <v>254</v>
      </c>
      <c r="D89" s="279" t="s">
        <v>560</v>
      </c>
      <c r="E89" s="217" t="s">
        <v>322</v>
      </c>
      <c r="F89" s="271" t="s">
        <v>559</v>
      </c>
      <c r="G89" s="192" t="s">
        <v>487</v>
      </c>
      <c r="H89" s="272"/>
      <c r="I89" s="273" t="s">
        <v>255</v>
      </c>
      <c r="J89" s="271"/>
      <c r="K89" s="299"/>
      <c r="L89" s="167" t="s">
        <v>252</v>
      </c>
      <c r="M89" s="216" t="s">
        <v>901</v>
      </c>
      <c r="N89" s="216" t="s">
        <v>946</v>
      </c>
      <c r="O89" s="391">
        <v>2</v>
      </c>
      <c r="P89" s="77">
        <f>0</f>
        <v>0</v>
      </c>
      <c r="Q89" s="77">
        <f>0</f>
        <v>0</v>
      </c>
      <c r="R89" s="77">
        <f>0</f>
        <v>0</v>
      </c>
      <c r="S89" s="77">
        <f>0</f>
        <v>0</v>
      </c>
      <c r="T89" s="77">
        <f>0</f>
        <v>0</v>
      </c>
      <c r="U89" s="77">
        <f>0</f>
        <v>0</v>
      </c>
      <c r="V89" s="77">
        <f>0</f>
        <v>0</v>
      </c>
      <c r="W89" s="77">
        <f>0</f>
        <v>0</v>
      </c>
      <c r="X89" s="77">
        <f>0</f>
        <v>0</v>
      </c>
      <c r="Y89" s="77">
        <f>0</f>
        <v>0</v>
      </c>
      <c r="Z89" s="392">
        <f>0</f>
        <v>0</v>
      </c>
      <c r="AA89" s="131">
        <f t="shared" si="3"/>
        <v>2</v>
      </c>
      <c r="AB89" s="175">
        <f>0</f>
        <v>0</v>
      </c>
      <c r="AC89" s="434">
        <f t="shared" si="4"/>
        <v>2</v>
      </c>
      <c r="AD89" s="114"/>
      <c r="AE89" s="177" t="s">
        <v>239</v>
      </c>
      <c r="AF89" s="379" t="s">
        <v>1613</v>
      </c>
      <c r="AG89" s="103"/>
      <c r="AH89" s="100"/>
      <c r="AI89" s="88" t="s">
        <v>1438</v>
      </c>
      <c r="AJ89" s="86">
        <v>2</v>
      </c>
      <c r="AK89" s="179">
        <f t="shared" si="5"/>
        <v>0</v>
      </c>
      <c r="AL89" s="85" t="s">
        <v>1544</v>
      </c>
      <c r="AM89" s="77"/>
      <c r="AN89" s="87"/>
      <c r="AO89" s="180"/>
    </row>
    <row r="90" spans="1:41" s="288" customFormat="1" ht="30.75" customHeight="1">
      <c r="A90" s="233">
        <v>85</v>
      </c>
      <c r="B90" s="277">
        <v>44756</v>
      </c>
      <c r="C90" s="278" t="s">
        <v>254</v>
      </c>
      <c r="D90" s="285">
        <v>842900300</v>
      </c>
      <c r="E90" s="214">
        <v>0</v>
      </c>
      <c r="F90" s="222" t="s">
        <v>256</v>
      </c>
      <c r="G90" s="188" t="s">
        <v>257</v>
      </c>
      <c r="H90" s="231">
        <v>842900300</v>
      </c>
      <c r="I90" s="232" t="s">
        <v>255</v>
      </c>
      <c r="J90" s="222"/>
      <c r="K90" s="222"/>
      <c r="L90" s="222" t="s">
        <v>252</v>
      </c>
      <c r="M90" s="222" t="s">
        <v>252</v>
      </c>
      <c r="N90" s="216" t="s">
        <v>71</v>
      </c>
      <c r="O90" s="391">
        <v>9</v>
      </c>
      <c r="P90" s="77">
        <f>0</f>
        <v>0</v>
      </c>
      <c r="Q90" s="77">
        <f>0</f>
        <v>0</v>
      </c>
      <c r="R90" s="77">
        <f>0</f>
        <v>0</v>
      </c>
      <c r="S90" s="77">
        <f>0</f>
        <v>0</v>
      </c>
      <c r="T90" s="77">
        <f>0</f>
        <v>0</v>
      </c>
      <c r="U90" s="77">
        <v>1</v>
      </c>
      <c r="V90" s="77">
        <f>0</f>
        <v>0</v>
      </c>
      <c r="W90" s="77">
        <f>0</f>
        <v>0</v>
      </c>
      <c r="X90" s="77">
        <f>0</f>
        <v>0</v>
      </c>
      <c r="Y90" s="77">
        <f>0</f>
        <v>0</v>
      </c>
      <c r="Z90" s="392">
        <f>0</f>
        <v>0</v>
      </c>
      <c r="AA90" s="131">
        <f t="shared" si="3"/>
        <v>10</v>
      </c>
      <c r="AB90" s="158">
        <v>6</v>
      </c>
      <c r="AC90" s="145">
        <f t="shared" si="4"/>
        <v>4</v>
      </c>
      <c r="AD90" s="170"/>
      <c r="AE90" s="187" t="s">
        <v>239</v>
      </c>
      <c r="AF90" s="171" t="s">
        <v>1554</v>
      </c>
      <c r="AG90" s="103"/>
      <c r="AH90" s="98"/>
      <c r="AI90" s="88" t="s">
        <v>1438</v>
      </c>
      <c r="AJ90" s="89">
        <v>8</v>
      </c>
      <c r="AK90" s="189">
        <f t="shared" si="5"/>
        <v>-4</v>
      </c>
      <c r="AL90" s="88" t="s">
        <v>1487</v>
      </c>
      <c r="AM90" s="83"/>
      <c r="AN90" s="90"/>
      <c r="AO90" s="180"/>
    </row>
    <row r="91" spans="1:41" s="288" customFormat="1" ht="30.75" customHeight="1">
      <c r="A91" s="225">
        <v>86</v>
      </c>
      <c r="B91" s="277">
        <v>44756</v>
      </c>
      <c r="C91" s="278" t="s">
        <v>254</v>
      </c>
      <c r="D91" s="285">
        <v>3842557600</v>
      </c>
      <c r="E91" s="214">
        <v>0</v>
      </c>
      <c r="F91" s="222" t="s">
        <v>258</v>
      </c>
      <c r="G91" s="188" t="s">
        <v>259</v>
      </c>
      <c r="H91" s="231">
        <v>3842557600</v>
      </c>
      <c r="I91" s="232" t="s">
        <v>255</v>
      </c>
      <c r="J91" s="222"/>
      <c r="K91" s="222"/>
      <c r="L91" s="222" t="s">
        <v>252</v>
      </c>
      <c r="M91" s="222" t="s">
        <v>252</v>
      </c>
      <c r="N91" s="216" t="s">
        <v>71</v>
      </c>
      <c r="O91" s="391">
        <v>10</v>
      </c>
      <c r="P91" s="77">
        <f>0</f>
        <v>0</v>
      </c>
      <c r="Q91" s="77">
        <f>0</f>
        <v>0</v>
      </c>
      <c r="R91" s="77">
        <f>0</f>
        <v>0</v>
      </c>
      <c r="S91" s="77">
        <f>0</f>
        <v>0</v>
      </c>
      <c r="T91" s="77">
        <f>0</f>
        <v>0</v>
      </c>
      <c r="U91" s="77">
        <f>0</f>
        <v>0</v>
      </c>
      <c r="V91" s="77">
        <f>0</f>
        <v>0</v>
      </c>
      <c r="W91" s="77">
        <f>0</f>
        <v>0</v>
      </c>
      <c r="X91" s="77">
        <f>0</f>
        <v>0</v>
      </c>
      <c r="Y91" s="77">
        <f>0</f>
        <v>0</v>
      </c>
      <c r="Z91" s="392">
        <f>0</f>
        <v>0</v>
      </c>
      <c r="AA91" s="131">
        <f t="shared" si="3"/>
        <v>10</v>
      </c>
      <c r="AB91" s="158">
        <v>6</v>
      </c>
      <c r="AC91" s="145">
        <f t="shared" si="4"/>
        <v>4</v>
      </c>
      <c r="AD91" s="170"/>
      <c r="AE91" s="187" t="s">
        <v>239</v>
      </c>
      <c r="AF91" s="171" t="s">
        <v>587</v>
      </c>
      <c r="AG91" s="103"/>
      <c r="AH91" s="98"/>
      <c r="AI91" s="88" t="s">
        <v>1438</v>
      </c>
      <c r="AJ91" s="89" t="s">
        <v>1485</v>
      </c>
      <c r="AK91" s="189" t="e">
        <f t="shared" si="5"/>
        <v>#VALUE!</v>
      </c>
      <c r="AL91" s="88" t="s">
        <v>1486</v>
      </c>
      <c r="AM91" s="83"/>
      <c r="AN91" s="90"/>
      <c r="AO91" s="180"/>
    </row>
    <row r="92" spans="1:41" s="288" customFormat="1" ht="52.5">
      <c r="A92" s="225">
        <v>87</v>
      </c>
      <c r="B92" s="277">
        <v>44756</v>
      </c>
      <c r="C92" s="278" t="s">
        <v>254</v>
      </c>
      <c r="D92" s="286">
        <v>3842174304</v>
      </c>
      <c r="E92" s="235">
        <v>0</v>
      </c>
      <c r="F92" s="429" t="s">
        <v>260</v>
      </c>
      <c r="G92" s="516" t="s">
        <v>261</v>
      </c>
      <c r="H92" s="523">
        <v>3842174304</v>
      </c>
      <c r="I92" s="531" t="s">
        <v>255</v>
      </c>
      <c r="J92" s="429"/>
      <c r="K92" s="429"/>
      <c r="L92" s="429" t="s">
        <v>252</v>
      </c>
      <c r="M92" s="429" t="s">
        <v>252</v>
      </c>
      <c r="N92" s="87" t="s">
        <v>71</v>
      </c>
      <c r="O92" s="391">
        <v>0</v>
      </c>
      <c r="P92" s="77">
        <f>0</f>
        <v>0</v>
      </c>
      <c r="Q92" s="77">
        <f>0</f>
        <v>0</v>
      </c>
      <c r="R92" s="77">
        <f>0</f>
        <v>0</v>
      </c>
      <c r="S92" s="77">
        <f>0</f>
        <v>0</v>
      </c>
      <c r="T92" s="77">
        <f>0</f>
        <v>0</v>
      </c>
      <c r="U92" s="77">
        <f>0</f>
        <v>0</v>
      </c>
      <c r="V92" s="77">
        <f>0</f>
        <v>0</v>
      </c>
      <c r="W92" s="77">
        <f>0</f>
        <v>0</v>
      </c>
      <c r="X92" s="77">
        <f>0</f>
        <v>0</v>
      </c>
      <c r="Y92" s="77">
        <f>0</f>
        <v>0</v>
      </c>
      <c r="Z92" s="392">
        <v>36</v>
      </c>
      <c r="AA92" s="131">
        <f t="shared" si="3"/>
        <v>36</v>
      </c>
      <c r="AB92" s="158">
        <f>0</f>
        <v>0</v>
      </c>
      <c r="AC92" s="145">
        <f t="shared" si="4"/>
        <v>36</v>
      </c>
      <c r="AD92" s="435"/>
      <c r="AE92" s="177" t="s">
        <v>239</v>
      </c>
      <c r="AF92" s="77" t="s">
        <v>736</v>
      </c>
      <c r="AG92" s="138"/>
      <c r="AH92" s="99"/>
      <c r="AI92" s="88" t="s">
        <v>1438</v>
      </c>
      <c r="AJ92" s="89" t="s">
        <v>1545</v>
      </c>
      <c r="AK92" s="436" t="e">
        <f t="shared" si="5"/>
        <v>#VALUE!</v>
      </c>
      <c r="AL92" s="88" t="s">
        <v>1547</v>
      </c>
      <c r="AM92" s="83"/>
      <c r="AN92" s="90"/>
      <c r="AO92" s="437"/>
    </row>
    <row r="93" spans="1:41" s="288" customFormat="1" ht="52.5">
      <c r="A93" s="225">
        <v>88</v>
      </c>
      <c r="B93" s="277">
        <v>44756</v>
      </c>
      <c r="C93" s="278" t="s">
        <v>254</v>
      </c>
      <c r="D93" s="286">
        <v>3842524614</v>
      </c>
      <c r="E93" s="235">
        <v>0</v>
      </c>
      <c r="F93" s="430" t="s">
        <v>262</v>
      </c>
      <c r="G93" s="431" t="s">
        <v>263</v>
      </c>
      <c r="H93" s="432">
        <v>3842524614</v>
      </c>
      <c r="I93" s="433" t="s">
        <v>255</v>
      </c>
      <c r="J93" s="430"/>
      <c r="K93" s="485"/>
      <c r="L93" s="429" t="s">
        <v>252</v>
      </c>
      <c r="M93" s="429" t="s">
        <v>252</v>
      </c>
      <c r="N93" s="87" t="s">
        <v>71</v>
      </c>
      <c r="O93" s="391">
        <v>0</v>
      </c>
      <c r="P93" s="77">
        <f>0</f>
        <v>0</v>
      </c>
      <c r="Q93" s="77">
        <f>0</f>
        <v>0</v>
      </c>
      <c r="R93" s="77">
        <f>0</f>
        <v>0</v>
      </c>
      <c r="S93" s="77">
        <f>0</f>
        <v>0</v>
      </c>
      <c r="T93" s="77">
        <f>0</f>
        <v>0</v>
      </c>
      <c r="U93" s="77">
        <f>0</f>
        <v>0</v>
      </c>
      <c r="V93" s="77">
        <f>0</f>
        <v>0</v>
      </c>
      <c r="W93" s="77">
        <f>0</f>
        <v>0</v>
      </c>
      <c r="X93" s="77">
        <f>0</f>
        <v>0</v>
      </c>
      <c r="Y93" s="77">
        <f>0</f>
        <v>0</v>
      </c>
      <c r="Z93" s="392">
        <v>36</v>
      </c>
      <c r="AA93" s="131">
        <f t="shared" si="3"/>
        <v>36</v>
      </c>
      <c r="AB93" s="175">
        <f>0</f>
        <v>0</v>
      </c>
      <c r="AC93" s="434">
        <f t="shared" si="4"/>
        <v>36</v>
      </c>
      <c r="AD93" s="435"/>
      <c r="AE93" s="177" t="s">
        <v>239</v>
      </c>
      <c r="AF93" s="77" t="s">
        <v>736</v>
      </c>
      <c r="AG93" s="138"/>
      <c r="AH93" s="150"/>
      <c r="AI93" s="88" t="s">
        <v>1438</v>
      </c>
      <c r="AJ93" s="89" t="s">
        <v>1545</v>
      </c>
      <c r="AK93" s="436" t="e">
        <f t="shared" si="5"/>
        <v>#VALUE!</v>
      </c>
      <c r="AL93" s="88" t="s">
        <v>1546</v>
      </c>
      <c r="AM93" s="83"/>
      <c r="AN93" s="90"/>
      <c r="AO93" s="437"/>
    </row>
    <row r="94" spans="1:41" s="107" customFormat="1" ht="30.75" customHeight="1">
      <c r="A94" s="233">
        <v>89</v>
      </c>
      <c r="B94" s="277">
        <v>44900</v>
      </c>
      <c r="C94" s="278" t="s">
        <v>306</v>
      </c>
      <c r="D94" s="279"/>
      <c r="E94" s="377"/>
      <c r="F94" s="271" t="s">
        <v>303</v>
      </c>
      <c r="G94" s="192" t="s">
        <v>304</v>
      </c>
      <c r="H94" s="272" t="s">
        <v>304</v>
      </c>
      <c r="I94" s="273" t="s">
        <v>305</v>
      </c>
      <c r="J94" s="280"/>
      <c r="K94" s="281"/>
      <c r="L94" s="282"/>
      <c r="M94" s="84" t="s">
        <v>311</v>
      </c>
      <c r="N94" s="216" t="s">
        <v>71</v>
      </c>
      <c r="O94" s="323">
        <v>0</v>
      </c>
      <c r="P94" s="151">
        <f>0</f>
        <v>0</v>
      </c>
      <c r="Q94" s="151">
        <f>0</f>
        <v>0</v>
      </c>
      <c r="R94" s="151">
        <f>0</f>
        <v>0</v>
      </c>
      <c r="S94" s="151">
        <f>0</f>
        <v>0</v>
      </c>
      <c r="T94" s="151">
        <f>0</f>
        <v>0</v>
      </c>
      <c r="U94" s="151">
        <f>0</f>
        <v>0</v>
      </c>
      <c r="V94" s="151">
        <f>0</f>
        <v>0</v>
      </c>
      <c r="W94" s="151">
        <f>0</f>
        <v>0</v>
      </c>
      <c r="X94" s="151">
        <f>0</f>
        <v>0</v>
      </c>
      <c r="Y94" s="151">
        <f>0</f>
        <v>0</v>
      </c>
      <c r="Z94" s="200">
        <v>6</v>
      </c>
      <c r="AA94" s="113">
        <f t="shared" si="3"/>
        <v>6</v>
      </c>
      <c r="AB94" s="123">
        <v>6</v>
      </c>
      <c r="AC94" s="119">
        <f t="shared" si="4"/>
        <v>0</v>
      </c>
      <c r="AD94" s="114"/>
      <c r="AE94" s="124" t="s">
        <v>282</v>
      </c>
      <c r="AF94" s="84" t="s">
        <v>292</v>
      </c>
      <c r="AG94" s="188"/>
      <c r="AH94" s="177"/>
      <c r="AI94" s="85"/>
      <c r="AJ94" s="125" t="s">
        <v>500</v>
      </c>
      <c r="AK94" s="183" t="e">
        <f t="shared" si="5"/>
        <v>#VALUE!</v>
      </c>
      <c r="AL94" s="139" t="s">
        <v>498</v>
      </c>
      <c r="AM94" s="151"/>
      <c r="AN94" s="153"/>
      <c r="AO94" s="390"/>
    </row>
    <row r="95" spans="1:41" s="107" customFormat="1" ht="30.75" customHeight="1">
      <c r="A95" s="225">
        <v>90</v>
      </c>
      <c r="B95" s="277">
        <v>44900</v>
      </c>
      <c r="C95" s="278" t="s">
        <v>306</v>
      </c>
      <c r="D95" s="279"/>
      <c r="E95" s="217"/>
      <c r="F95" s="167" t="s">
        <v>308</v>
      </c>
      <c r="G95" s="178" t="s">
        <v>307</v>
      </c>
      <c r="H95" s="228" t="s">
        <v>307</v>
      </c>
      <c r="I95" s="229" t="s">
        <v>309</v>
      </c>
      <c r="J95" s="225"/>
      <c r="K95" s="283"/>
      <c r="L95" s="282"/>
      <c r="M95" s="84" t="s">
        <v>311</v>
      </c>
      <c r="N95" s="216" t="s">
        <v>71</v>
      </c>
      <c r="O95" s="323">
        <v>0</v>
      </c>
      <c r="P95" s="151">
        <f>0</f>
        <v>0</v>
      </c>
      <c r="Q95" s="151">
        <f>0</f>
        <v>0</v>
      </c>
      <c r="R95" s="151">
        <f>0</f>
        <v>0</v>
      </c>
      <c r="S95" s="151">
        <f>0</f>
        <v>0</v>
      </c>
      <c r="T95" s="151">
        <f>0</f>
        <v>0</v>
      </c>
      <c r="U95" s="151">
        <f>0</f>
        <v>0</v>
      </c>
      <c r="V95" s="151">
        <f>0</f>
        <v>0</v>
      </c>
      <c r="W95" s="151">
        <f>0</f>
        <v>0</v>
      </c>
      <c r="X95" s="151">
        <f>0</f>
        <v>0</v>
      </c>
      <c r="Y95" s="151">
        <f>0</f>
        <v>0</v>
      </c>
      <c r="Z95" s="200">
        <v>10</v>
      </c>
      <c r="AA95" s="113">
        <f t="shared" si="3"/>
        <v>10</v>
      </c>
      <c r="AB95" s="199">
        <f>0</f>
        <v>0</v>
      </c>
      <c r="AC95" s="120">
        <f t="shared" si="4"/>
        <v>10</v>
      </c>
      <c r="AD95" s="170">
        <v>44907</v>
      </c>
      <c r="AE95" s="187" t="s">
        <v>282</v>
      </c>
      <c r="AF95" s="284"/>
      <c r="AG95" s="188"/>
      <c r="AH95" s="187" t="s">
        <v>504</v>
      </c>
      <c r="AI95" s="88"/>
      <c r="AJ95" s="89">
        <v>10</v>
      </c>
      <c r="AK95" s="189">
        <f t="shared" si="5"/>
        <v>0</v>
      </c>
      <c r="AL95" s="88" t="s">
        <v>1454</v>
      </c>
      <c r="AM95" s="83"/>
      <c r="AN95" s="90"/>
      <c r="AO95" s="180"/>
    </row>
    <row r="96" spans="1:41" s="107" customFormat="1" ht="30.75" customHeight="1">
      <c r="A96" s="225">
        <v>91</v>
      </c>
      <c r="B96" s="277">
        <v>44903</v>
      </c>
      <c r="C96" s="278" t="s">
        <v>372</v>
      </c>
      <c r="D96" s="285" t="s">
        <v>1354</v>
      </c>
      <c r="E96" s="267" t="s">
        <v>312</v>
      </c>
      <c r="F96" s="222" t="s">
        <v>313</v>
      </c>
      <c r="G96" s="188" t="s">
        <v>1354</v>
      </c>
      <c r="H96" s="231" t="s">
        <v>1354</v>
      </c>
      <c r="I96" s="232" t="s">
        <v>314</v>
      </c>
      <c r="J96" s="233" t="s">
        <v>251</v>
      </c>
      <c r="K96" s="277" t="s">
        <v>252</v>
      </c>
      <c r="L96" s="286" t="s">
        <v>252</v>
      </c>
      <c r="M96" s="171"/>
      <c r="N96" s="216" t="s">
        <v>71</v>
      </c>
      <c r="O96" s="323">
        <v>0</v>
      </c>
      <c r="P96" s="151">
        <f>0</f>
        <v>0</v>
      </c>
      <c r="Q96" s="151">
        <f>0</f>
        <v>0</v>
      </c>
      <c r="R96" s="151">
        <f>0</f>
        <v>0</v>
      </c>
      <c r="S96" s="151">
        <v>24</v>
      </c>
      <c r="T96" s="151">
        <f>0</f>
        <v>0</v>
      </c>
      <c r="U96" s="151">
        <f>0</f>
        <v>0</v>
      </c>
      <c r="V96" s="151">
        <f>0</f>
        <v>0</v>
      </c>
      <c r="W96" s="151">
        <f>0</f>
        <v>0</v>
      </c>
      <c r="X96" s="151">
        <f>0</f>
        <v>0</v>
      </c>
      <c r="Y96" s="151">
        <f>0</f>
        <v>0</v>
      </c>
      <c r="Z96" s="200">
        <f>0</f>
        <v>0</v>
      </c>
      <c r="AA96" s="113">
        <f t="shared" si="3"/>
        <v>24</v>
      </c>
      <c r="AB96" s="199">
        <f>0</f>
        <v>0</v>
      </c>
      <c r="AC96" s="120">
        <f t="shared" si="4"/>
        <v>24</v>
      </c>
      <c r="AD96" s="170"/>
      <c r="AE96" s="101" t="s">
        <v>282</v>
      </c>
      <c r="AF96" s="84" t="s">
        <v>292</v>
      </c>
      <c r="AG96" s="188"/>
      <c r="AH96" s="187"/>
      <c r="AI96" s="88"/>
      <c r="AJ96" s="94" t="s">
        <v>499</v>
      </c>
      <c r="AK96" s="185" t="e">
        <f t="shared" si="5"/>
        <v>#VALUE!</v>
      </c>
      <c r="AL96" s="93"/>
      <c r="AM96" s="50"/>
      <c r="AN96" s="95"/>
      <c r="AO96" s="390"/>
    </row>
    <row r="97" spans="1:41" s="107" customFormat="1" ht="30.75" customHeight="1">
      <c r="A97" s="225">
        <v>92</v>
      </c>
      <c r="B97" s="277">
        <v>44903</v>
      </c>
      <c r="C97" s="278" t="s">
        <v>372</v>
      </c>
      <c r="D97" s="279" t="s">
        <v>315</v>
      </c>
      <c r="E97" s="217" t="s">
        <v>316</v>
      </c>
      <c r="F97" s="167" t="s">
        <v>317</v>
      </c>
      <c r="G97" s="178" t="s">
        <v>315</v>
      </c>
      <c r="H97" s="228" t="s">
        <v>315</v>
      </c>
      <c r="I97" s="229" t="s">
        <v>318</v>
      </c>
      <c r="J97" s="225" t="s">
        <v>251</v>
      </c>
      <c r="K97" s="283" t="s">
        <v>252</v>
      </c>
      <c r="L97" s="282" t="s">
        <v>252</v>
      </c>
      <c r="M97" s="84"/>
      <c r="N97" s="216" t="s">
        <v>71</v>
      </c>
      <c r="O97" s="323">
        <v>0</v>
      </c>
      <c r="P97" s="151">
        <f>0</f>
        <v>0</v>
      </c>
      <c r="Q97" s="151">
        <f>0</f>
        <v>0</v>
      </c>
      <c r="R97" s="151">
        <f>0</f>
        <v>0</v>
      </c>
      <c r="S97" s="151">
        <v>10</v>
      </c>
      <c r="T97" s="151">
        <f>0</f>
        <v>0</v>
      </c>
      <c r="U97" s="151">
        <f>0</f>
        <v>0</v>
      </c>
      <c r="V97" s="151">
        <f>0</f>
        <v>0</v>
      </c>
      <c r="W97" s="151">
        <f>0</f>
        <v>0</v>
      </c>
      <c r="X97" s="151">
        <f>0</f>
        <v>0</v>
      </c>
      <c r="Y97" s="151">
        <f>0</f>
        <v>0</v>
      </c>
      <c r="Z97" s="200">
        <f>0</f>
        <v>0</v>
      </c>
      <c r="AA97" s="113">
        <f t="shared" si="3"/>
        <v>10</v>
      </c>
      <c r="AB97" s="199">
        <f>0</f>
        <v>0</v>
      </c>
      <c r="AC97" s="120">
        <f t="shared" si="4"/>
        <v>10</v>
      </c>
      <c r="AD97" s="170">
        <v>44911</v>
      </c>
      <c r="AE97" s="187" t="s">
        <v>282</v>
      </c>
      <c r="AF97" s="201"/>
      <c r="AG97" s="188"/>
      <c r="AH97" s="187" t="s">
        <v>504</v>
      </c>
      <c r="AI97" s="88"/>
      <c r="AJ97" s="89">
        <v>10</v>
      </c>
      <c r="AK97" s="189">
        <f t="shared" si="5"/>
        <v>0</v>
      </c>
      <c r="AL97" s="88"/>
      <c r="AM97" s="83"/>
      <c r="AN97" s="90"/>
      <c r="AO97" s="180"/>
    </row>
    <row r="98" spans="1:41" s="107" customFormat="1" ht="30.75" customHeight="1">
      <c r="A98" s="233">
        <v>93</v>
      </c>
      <c r="B98" s="277">
        <v>44903</v>
      </c>
      <c r="C98" s="278" t="s">
        <v>372</v>
      </c>
      <c r="D98" s="285" t="s">
        <v>1355</v>
      </c>
      <c r="E98" s="214" t="s">
        <v>319</v>
      </c>
      <c r="F98" s="222" t="s">
        <v>320</v>
      </c>
      <c r="G98" s="188" t="s">
        <v>1355</v>
      </c>
      <c r="H98" s="231" t="s">
        <v>1355</v>
      </c>
      <c r="I98" s="232" t="s">
        <v>318</v>
      </c>
      <c r="J98" s="233" t="s">
        <v>251</v>
      </c>
      <c r="K98" s="277" t="s">
        <v>252</v>
      </c>
      <c r="L98" s="286" t="s">
        <v>252</v>
      </c>
      <c r="M98" s="171"/>
      <c r="N98" s="216" t="s">
        <v>71</v>
      </c>
      <c r="O98" s="323">
        <v>0</v>
      </c>
      <c r="P98" s="151">
        <f>0</f>
        <v>0</v>
      </c>
      <c r="Q98" s="151">
        <f>0</f>
        <v>0</v>
      </c>
      <c r="R98" s="151">
        <f>0</f>
        <v>0</v>
      </c>
      <c r="S98" s="151">
        <v>4</v>
      </c>
      <c r="T98" s="151">
        <f>0</f>
        <v>0</v>
      </c>
      <c r="U98" s="151">
        <f>0</f>
        <v>0</v>
      </c>
      <c r="V98" s="151">
        <f>0</f>
        <v>0</v>
      </c>
      <c r="W98" s="151">
        <f>0</f>
        <v>0</v>
      </c>
      <c r="X98" s="151">
        <f>0</f>
        <v>0</v>
      </c>
      <c r="Y98" s="151">
        <f>0</f>
        <v>0</v>
      </c>
      <c r="Z98" s="200">
        <f>0</f>
        <v>0</v>
      </c>
      <c r="AA98" s="113">
        <f t="shared" si="3"/>
        <v>4</v>
      </c>
      <c r="AB98" s="199">
        <f>0</f>
        <v>0</v>
      </c>
      <c r="AC98" s="120">
        <f t="shared" si="4"/>
        <v>4</v>
      </c>
      <c r="AD98" s="114">
        <v>44911</v>
      </c>
      <c r="AE98" s="177" t="s">
        <v>282</v>
      </c>
      <c r="AF98" s="201" t="s">
        <v>535</v>
      </c>
      <c r="AG98" s="188"/>
      <c r="AH98" s="187" t="s">
        <v>504</v>
      </c>
      <c r="AI98" s="88"/>
      <c r="AJ98" s="89">
        <v>4</v>
      </c>
      <c r="AK98" s="189">
        <f t="shared" si="5"/>
        <v>0</v>
      </c>
      <c r="AL98" s="88"/>
      <c r="AM98" s="83"/>
      <c r="AN98" s="90"/>
      <c r="AO98" s="180"/>
    </row>
    <row r="99" spans="1:41" s="107" customFormat="1" ht="30.75" customHeight="1">
      <c r="A99" s="225">
        <v>94</v>
      </c>
      <c r="B99" s="277">
        <v>44903</v>
      </c>
      <c r="C99" s="278" t="s">
        <v>372</v>
      </c>
      <c r="D99" s="285" t="s">
        <v>1356</v>
      </c>
      <c r="E99" s="214" t="s">
        <v>319</v>
      </c>
      <c r="F99" s="222" t="s">
        <v>320</v>
      </c>
      <c r="G99" s="188" t="s">
        <v>1356</v>
      </c>
      <c r="H99" s="231" t="s">
        <v>1356</v>
      </c>
      <c r="I99" s="232" t="s">
        <v>318</v>
      </c>
      <c r="J99" s="233" t="s">
        <v>251</v>
      </c>
      <c r="K99" s="277" t="s">
        <v>252</v>
      </c>
      <c r="L99" s="286" t="s">
        <v>252</v>
      </c>
      <c r="M99" s="171"/>
      <c r="N99" s="216" t="s">
        <v>71</v>
      </c>
      <c r="O99" s="323">
        <v>0</v>
      </c>
      <c r="P99" s="151">
        <f>0</f>
        <v>0</v>
      </c>
      <c r="Q99" s="151">
        <f>0</f>
        <v>0</v>
      </c>
      <c r="R99" s="151">
        <f>0</f>
        <v>0</v>
      </c>
      <c r="S99" s="151">
        <v>2</v>
      </c>
      <c r="T99" s="151">
        <f>0</f>
        <v>0</v>
      </c>
      <c r="U99" s="151">
        <f>0</f>
        <v>0</v>
      </c>
      <c r="V99" s="151">
        <f>0</f>
        <v>0</v>
      </c>
      <c r="W99" s="151">
        <f>0</f>
        <v>0</v>
      </c>
      <c r="X99" s="151">
        <f>0</f>
        <v>0</v>
      </c>
      <c r="Y99" s="151">
        <f>0</f>
        <v>0</v>
      </c>
      <c r="Z99" s="200">
        <f>0</f>
        <v>0</v>
      </c>
      <c r="AA99" s="113">
        <f t="shared" si="3"/>
        <v>2</v>
      </c>
      <c r="AB99" s="199">
        <f>0</f>
        <v>0</v>
      </c>
      <c r="AC99" s="120">
        <f t="shared" si="4"/>
        <v>2</v>
      </c>
      <c r="AD99" s="114">
        <v>44911</v>
      </c>
      <c r="AE99" s="177" t="s">
        <v>282</v>
      </c>
      <c r="AF99" s="201"/>
      <c r="AG99" s="188"/>
      <c r="AH99" s="187" t="s">
        <v>504</v>
      </c>
      <c r="AI99" s="88"/>
      <c r="AJ99" s="89">
        <v>2</v>
      </c>
      <c r="AK99" s="189">
        <f t="shared" si="5"/>
        <v>0</v>
      </c>
      <c r="AL99" s="88"/>
      <c r="AM99" s="83"/>
      <c r="AN99" s="90"/>
      <c r="AO99" s="180"/>
    </row>
    <row r="100" spans="1:41" s="107" customFormat="1" ht="30.75" customHeight="1">
      <c r="A100" s="225">
        <v>95</v>
      </c>
      <c r="B100" s="277">
        <v>44903</v>
      </c>
      <c r="C100" s="278" t="s">
        <v>372</v>
      </c>
      <c r="D100" s="285" t="s">
        <v>321</v>
      </c>
      <c r="E100" s="214" t="s">
        <v>322</v>
      </c>
      <c r="F100" s="222" t="s">
        <v>323</v>
      </c>
      <c r="G100" s="188" t="s">
        <v>321</v>
      </c>
      <c r="H100" s="231" t="s">
        <v>321</v>
      </c>
      <c r="I100" s="232" t="s">
        <v>309</v>
      </c>
      <c r="J100" s="233" t="s">
        <v>251</v>
      </c>
      <c r="K100" s="277" t="s">
        <v>252</v>
      </c>
      <c r="L100" s="286" t="s">
        <v>252</v>
      </c>
      <c r="M100" s="171"/>
      <c r="N100" s="216" t="s">
        <v>71</v>
      </c>
      <c r="O100" s="323">
        <v>0</v>
      </c>
      <c r="P100" s="151">
        <f>0</f>
        <v>0</v>
      </c>
      <c r="Q100" s="151">
        <f>0</f>
        <v>0</v>
      </c>
      <c r="R100" s="151">
        <f>0</f>
        <v>0</v>
      </c>
      <c r="S100" s="151">
        <v>4</v>
      </c>
      <c r="T100" s="151">
        <f>0</f>
        <v>0</v>
      </c>
      <c r="U100" s="151">
        <f>0</f>
        <v>0</v>
      </c>
      <c r="V100" s="151">
        <f>0</f>
        <v>0</v>
      </c>
      <c r="W100" s="151">
        <f>0</f>
        <v>0</v>
      </c>
      <c r="X100" s="151">
        <f>0</f>
        <v>0</v>
      </c>
      <c r="Y100" s="151">
        <f>0</f>
        <v>0</v>
      </c>
      <c r="Z100" s="200">
        <f>0</f>
        <v>0</v>
      </c>
      <c r="AA100" s="113">
        <f t="shared" si="3"/>
        <v>4</v>
      </c>
      <c r="AB100" s="199">
        <f>0</f>
        <v>0</v>
      </c>
      <c r="AC100" s="120">
        <f t="shared" si="4"/>
        <v>4</v>
      </c>
      <c r="AD100" s="114">
        <v>44907</v>
      </c>
      <c r="AE100" s="177" t="s">
        <v>282</v>
      </c>
      <c r="AF100" s="284" t="s">
        <v>503</v>
      </c>
      <c r="AG100" s="188"/>
      <c r="AH100" s="187" t="s">
        <v>504</v>
      </c>
      <c r="AI100" s="88"/>
      <c r="AJ100" s="89">
        <v>4</v>
      </c>
      <c r="AK100" s="189">
        <f t="shared" si="5"/>
        <v>0</v>
      </c>
      <c r="AL100" s="88" t="s">
        <v>1454</v>
      </c>
      <c r="AM100" s="83"/>
      <c r="AN100" s="90"/>
      <c r="AO100" s="180"/>
    </row>
    <row r="101" spans="1:41" s="107" customFormat="1" ht="30.75" customHeight="1">
      <c r="A101" s="225">
        <v>96</v>
      </c>
      <c r="B101" s="277">
        <v>44903</v>
      </c>
      <c r="C101" s="278" t="s">
        <v>372</v>
      </c>
      <c r="D101" s="285" t="s">
        <v>324</v>
      </c>
      <c r="E101" s="267" t="s">
        <v>322</v>
      </c>
      <c r="F101" s="222" t="s">
        <v>325</v>
      </c>
      <c r="G101" s="188" t="s">
        <v>324</v>
      </c>
      <c r="H101" s="231" t="s">
        <v>324</v>
      </c>
      <c r="I101" s="232" t="s">
        <v>352</v>
      </c>
      <c r="J101" s="233" t="s">
        <v>251</v>
      </c>
      <c r="K101" s="277" t="s">
        <v>326</v>
      </c>
      <c r="L101" s="286" t="s">
        <v>326</v>
      </c>
      <c r="M101" s="171"/>
      <c r="N101" s="216" t="s">
        <v>71</v>
      </c>
      <c r="O101" s="323">
        <v>0</v>
      </c>
      <c r="P101" s="151">
        <f>0</f>
        <v>0</v>
      </c>
      <c r="Q101" s="151">
        <f>0</f>
        <v>0</v>
      </c>
      <c r="R101" s="151">
        <f>0</f>
        <v>0</v>
      </c>
      <c r="S101" s="151">
        <v>2</v>
      </c>
      <c r="T101" s="151">
        <f>0</f>
        <v>0</v>
      </c>
      <c r="U101" s="151">
        <f>0</f>
        <v>0</v>
      </c>
      <c r="V101" s="151">
        <f>0</f>
        <v>0</v>
      </c>
      <c r="W101" s="151">
        <f>0</f>
        <v>0</v>
      </c>
      <c r="X101" s="151">
        <f>0</f>
        <v>0</v>
      </c>
      <c r="Y101" s="151">
        <f>0</f>
        <v>0</v>
      </c>
      <c r="Z101" s="200">
        <f>0</f>
        <v>0</v>
      </c>
      <c r="AA101" s="113">
        <f t="shared" si="3"/>
        <v>2</v>
      </c>
      <c r="AB101" s="199">
        <v>2</v>
      </c>
      <c r="AC101" s="120">
        <f t="shared" si="4"/>
        <v>0</v>
      </c>
      <c r="AD101" s="114"/>
      <c r="AE101" s="124" t="s">
        <v>282</v>
      </c>
      <c r="AF101" s="84" t="s">
        <v>292</v>
      </c>
      <c r="AG101" s="188"/>
      <c r="AH101" s="187"/>
      <c r="AI101" s="88"/>
      <c r="AJ101" s="94" t="s">
        <v>295</v>
      </c>
      <c r="AK101" s="185" t="e">
        <f t="shared" si="5"/>
        <v>#VALUE!</v>
      </c>
      <c r="AL101" s="93" t="s">
        <v>1288</v>
      </c>
      <c r="AM101" s="50"/>
      <c r="AN101" s="95"/>
      <c r="AO101" s="390"/>
    </row>
    <row r="102" spans="1:41" s="288" customFormat="1" ht="30.75" customHeight="1">
      <c r="A102" s="233">
        <v>97</v>
      </c>
      <c r="B102" s="277">
        <v>44903</v>
      </c>
      <c r="C102" s="278" t="s">
        <v>372</v>
      </c>
      <c r="D102" s="285" t="s">
        <v>327</v>
      </c>
      <c r="E102" s="214" t="s">
        <v>328</v>
      </c>
      <c r="F102" s="222" t="s">
        <v>1357</v>
      </c>
      <c r="G102" s="188" t="s">
        <v>327</v>
      </c>
      <c r="H102" s="231" t="s">
        <v>327</v>
      </c>
      <c r="I102" s="232" t="s">
        <v>329</v>
      </c>
      <c r="J102" s="233" t="s">
        <v>251</v>
      </c>
      <c r="K102" s="277" t="s">
        <v>252</v>
      </c>
      <c r="L102" s="286" t="s">
        <v>252</v>
      </c>
      <c r="M102" s="171"/>
      <c r="N102" s="216" t="s">
        <v>71</v>
      </c>
      <c r="O102" s="323">
        <v>0</v>
      </c>
      <c r="P102" s="151">
        <f>0</f>
        <v>0</v>
      </c>
      <c r="Q102" s="151">
        <f>0</f>
        <v>0</v>
      </c>
      <c r="R102" s="151">
        <f>0</f>
        <v>0</v>
      </c>
      <c r="S102" s="151">
        <v>4</v>
      </c>
      <c r="T102" s="151">
        <f>0</f>
        <v>0</v>
      </c>
      <c r="U102" s="151">
        <f>0</f>
        <v>0</v>
      </c>
      <c r="V102" s="151">
        <f>0</f>
        <v>0</v>
      </c>
      <c r="W102" s="151">
        <f>0</f>
        <v>0</v>
      </c>
      <c r="X102" s="151">
        <f>0</f>
        <v>0</v>
      </c>
      <c r="Y102" s="151">
        <f>0</f>
        <v>0</v>
      </c>
      <c r="Z102" s="200">
        <f>0</f>
        <v>0</v>
      </c>
      <c r="AA102" s="131">
        <f t="shared" si="3"/>
        <v>4</v>
      </c>
      <c r="AB102" s="158">
        <v>2</v>
      </c>
      <c r="AC102" s="145">
        <f t="shared" si="4"/>
        <v>2</v>
      </c>
      <c r="AD102" s="114">
        <v>44965</v>
      </c>
      <c r="AE102" s="177" t="s">
        <v>282</v>
      </c>
      <c r="AF102" s="84" t="s">
        <v>1337</v>
      </c>
      <c r="AG102" s="188"/>
      <c r="AH102" s="186" t="s">
        <v>1499</v>
      </c>
      <c r="AI102" s="88"/>
      <c r="AJ102" s="89">
        <v>2</v>
      </c>
      <c r="AK102" s="189">
        <f t="shared" si="5"/>
        <v>0</v>
      </c>
      <c r="AL102" s="88" t="s">
        <v>1579</v>
      </c>
      <c r="AM102" s="83"/>
      <c r="AN102" s="90"/>
      <c r="AO102" s="180"/>
    </row>
    <row r="103" spans="1:41" s="107" customFormat="1" ht="30.75" customHeight="1">
      <c r="A103" s="225">
        <v>98</v>
      </c>
      <c r="B103" s="277">
        <v>44903</v>
      </c>
      <c r="C103" s="278" t="s">
        <v>372</v>
      </c>
      <c r="D103" s="285" t="s">
        <v>357</v>
      </c>
      <c r="E103" s="267" t="s">
        <v>328</v>
      </c>
      <c r="F103" s="222" t="s">
        <v>353</v>
      </c>
      <c r="G103" s="188" t="s">
        <v>357</v>
      </c>
      <c r="H103" s="231" t="s">
        <v>357</v>
      </c>
      <c r="I103" s="232" t="s">
        <v>330</v>
      </c>
      <c r="J103" s="233" t="s">
        <v>330</v>
      </c>
      <c r="K103" s="277" t="s">
        <v>1358</v>
      </c>
      <c r="L103" s="286"/>
      <c r="M103" s="287" t="s">
        <v>292</v>
      </c>
      <c r="N103" s="216" t="s">
        <v>71</v>
      </c>
      <c r="O103" s="323">
        <v>0</v>
      </c>
      <c r="P103" s="151">
        <f>0</f>
        <v>0</v>
      </c>
      <c r="Q103" s="151">
        <f>0</f>
        <v>0</v>
      </c>
      <c r="R103" s="151">
        <f>0</f>
        <v>0</v>
      </c>
      <c r="S103" s="151">
        <v>2</v>
      </c>
      <c r="T103" s="151">
        <f>0</f>
        <v>0</v>
      </c>
      <c r="U103" s="151">
        <f>0</f>
        <v>0</v>
      </c>
      <c r="V103" s="151">
        <f>0</f>
        <v>0</v>
      </c>
      <c r="W103" s="151">
        <f>0</f>
        <v>0</v>
      </c>
      <c r="X103" s="151">
        <f>0</f>
        <v>0</v>
      </c>
      <c r="Y103" s="151">
        <f>0</f>
        <v>0</v>
      </c>
      <c r="Z103" s="200">
        <f>0</f>
        <v>0</v>
      </c>
      <c r="AA103" s="113">
        <f t="shared" si="3"/>
        <v>2</v>
      </c>
      <c r="AB103" s="199">
        <f>0</f>
        <v>0</v>
      </c>
      <c r="AC103" s="120">
        <f t="shared" si="4"/>
        <v>2</v>
      </c>
      <c r="AD103" s="114"/>
      <c r="AE103" s="124" t="s">
        <v>282</v>
      </c>
      <c r="AF103" s="379" t="s">
        <v>1613</v>
      </c>
      <c r="AG103" s="188"/>
      <c r="AH103" s="187"/>
      <c r="AI103" s="88"/>
      <c r="AJ103" s="94"/>
      <c r="AK103" s="185">
        <f t="shared" si="5"/>
        <v>2</v>
      </c>
      <c r="AL103" s="93"/>
      <c r="AM103" s="50"/>
      <c r="AN103" s="95"/>
      <c r="AO103" s="390"/>
    </row>
    <row r="104" spans="1:41" s="288" customFormat="1" ht="30.75" customHeight="1">
      <c r="A104" s="225">
        <v>99</v>
      </c>
      <c r="B104" s="277">
        <v>44903</v>
      </c>
      <c r="C104" s="278" t="s">
        <v>372</v>
      </c>
      <c r="D104" s="285" t="s">
        <v>1359</v>
      </c>
      <c r="E104" s="214">
        <v>0</v>
      </c>
      <c r="F104" s="222" t="s">
        <v>332</v>
      </c>
      <c r="G104" s="171" t="s">
        <v>1359</v>
      </c>
      <c r="H104" s="231" t="s">
        <v>1359</v>
      </c>
      <c r="I104" s="232" t="s">
        <v>333</v>
      </c>
      <c r="J104" s="233" t="s">
        <v>251</v>
      </c>
      <c r="K104" s="277" t="s">
        <v>252</v>
      </c>
      <c r="L104" s="286" t="s">
        <v>252</v>
      </c>
      <c r="M104" s="287"/>
      <c r="N104" s="216" t="s">
        <v>71</v>
      </c>
      <c r="O104" s="323">
        <v>0</v>
      </c>
      <c r="P104" s="151">
        <f>0</f>
        <v>0</v>
      </c>
      <c r="Q104" s="151">
        <f>0</f>
        <v>0</v>
      </c>
      <c r="R104" s="151">
        <f>0</f>
        <v>0</v>
      </c>
      <c r="S104" s="151">
        <v>2</v>
      </c>
      <c r="T104" s="151">
        <f>0</f>
        <v>0</v>
      </c>
      <c r="U104" s="151">
        <f>0</f>
        <v>0</v>
      </c>
      <c r="V104" s="151">
        <f>0</f>
        <v>0</v>
      </c>
      <c r="W104" s="151">
        <f>0</f>
        <v>0</v>
      </c>
      <c r="X104" s="151">
        <f>0</f>
        <v>0</v>
      </c>
      <c r="Y104" s="151">
        <f>0</f>
        <v>0</v>
      </c>
      <c r="Z104" s="200">
        <f>0</f>
        <v>0</v>
      </c>
      <c r="AA104" s="113">
        <f t="shared" si="3"/>
        <v>2</v>
      </c>
      <c r="AB104" s="199">
        <f>0</f>
        <v>0</v>
      </c>
      <c r="AC104" s="120">
        <f t="shared" si="4"/>
        <v>2</v>
      </c>
      <c r="AD104" s="114">
        <v>44935</v>
      </c>
      <c r="AE104" s="177" t="s">
        <v>282</v>
      </c>
      <c r="AF104" s="84" t="s">
        <v>739</v>
      </c>
      <c r="AG104" s="188"/>
      <c r="AH104" s="187"/>
      <c r="AI104" s="88"/>
      <c r="AJ104" s="89">
        <v>2</v>
      </c>
      <c r="AK104" s="189">
        <f t="shared" si="5"/>
        <v>0</v>
      </c>
      <c r="AL104" s="88" t="s">
        <v>1320</v>
      </c>
      <c r="AM104" s="83"/>
      <c r="AN104" s="90"/>
      <c r="AO104" s="180"/>
    </row>
    <row r="105" spans="1:41" s="107" customFormat="1" ht="30.75" customHeight="1">
      <c r="A105" s="225">
        <v>100</v>
      </c>
      <c r="B105" s="277">
        <v>44903</v>
      </c>
      <c r="C105" s="278" t="s">
        <v>372</v>
      </c>
      <c r="D105" s="285" t="s">
        <v>334</v>
      </c>
      <c r="E105" s="267" t="s">
        <v>328</v>
      </c>
      <c r="F105" s="222" t="s">
        <v>1357</v>
      </c>
      <c r="G105" s="188" t="s">
        <v>334</v>
      </c>
      <c r="H105" s="231" t="s">
        <v>334</v>
      </c>
      <c r="I105" s="232" t="s">
        <v>329</v>
      </c>
      <c r="J105" s="233" t="s">
        <v>251</v>
      </c>
      <c r="K105" s="277" t="s">
        <v>252</v>
      </c>
      <c r="L105" s="286" t="s">
        <v>252</v>
      </c>
      <c r="M105" s="287"/>
      <c r="N105" s="216" t="s">
        <v>71</v>
      </c>
      <c r="O105" s="323">
        <v>0</v>
      </c>
      <c r="P105" s="151">
        <f>0</f>
        <v>0</v>
      </c>
      <c r="Q105" s="151">
        <f>0</f>
        <v>0</v>
      </c>
      <c r="R105" s="151">
        <f>0</f>
        <v>0</v>
      </c>
      <c r="S105" s="151">
        <v>4</v>
      </c>
      <c r="T105" s="151">
        <f>0</f>
        <v>0</v>
      </c>
      <c r="U105" s="151">
        <f>0</f>
        <v>0</v>
      </c>
      <c r="V105" s="151">
        <f>0</f>
        <v>0</v>
      </c>
      <c r="W105" s="151">
        <f>0</f>
        <v>0</v>
      </c>
      <c r="X105" s="151">
        <f>0</f>
        <v>0</v>
      </c>
      <c r="Y105" s="151">
        <f>0</f>
        <v>0</v>
      </c>
      <c r="Z105" s="200">
        <f>0</f>
        <v>0</v>
      </c>
      <c r="AA105" s="113">
        <f t="shared" si="3"/>
        <v>4</v>
      </c>
      <c r="AB105" s="199">
        <v>4</v>
      </c>
      <c r="AC105" s="120">
        <f t="shared" si="4"/>
        <v>0</v>
      </c>
      <c r="AD105" s="114"/>
      <c r="AE105" s="177" t="s">
        <v>239</v>
      </c>
      <c r="AF105" s="84" t="s">
        <v>292</v>
      </c>
      <c r="AG105" s="188"/>
      <c r="AH105" s="187"/>
      <c r="AI105" s="88"/>
      <c r="AJ105" s="89" t="s">
        <v>293</v>
      </c>
      <c r="AK105" s="189" t="e">
        <f t="shared" si="5"/>
        <v>#VALUE!</v>
      </c>
      <c r="AL105" s="88" t="s">
        <v>498</v>
      </c>
      <c r="AM105" s="83"/>
      <c r="AN105" s="90"/>
      <c r="AO105" s="180"/>
    </row>
    <row r="106" spans="1:41" s="107" customFormat="1" ht="30.75" customHeight="1">
      <c r="A106" s="233">
        <v>101</v>
      </c>
      <c r="B106" s="277">
        <v>44903</v>
      </c>
      <c r="C106" s="278" t="s">
        <v>372</v>
      </c>
      <c r="D106" s="285" t="s">
        <v>1360</v>
      </c>
      <c r="E106" s="214" t="s">
        <v>322</v>
      </c>
      <c r="F106" s="222" t="s">
        <v>1361</v>
      </c>
      <c r="G106" s="171" t="s">
        <v>1360</v>
      </c>
      <c r="H106" s="231" t="s">
        <v>1360</v>
      </c>
      <c r="I106" s="232" t="s">
        <v>354</v>
      </c>
      <c r="J106" s="233" t="s">
        <v>251</v>
      </c>
      <c r="K106" s="277" t="s">
        <v>252</v>
      </c>
      <c r="L106" s="286" t="s">
        <v>252</v>
      </c>
      <c r="M106" s="287" t="s">
        <v>356</v>
      </c>
      <c r="N106" s="216" t="s">
        <v>71</v>
      </c>
      <c r="O106" s="323">
        <v>0</v>
      </c>
      <c r="P106" s="151">
        <f>0</f>
        <v>0</v>
      </c>
      <c r="Q106" s="151">
        <f>0</f>
        <v>0</v>
      </c>
      <c r="R106" s="151">
        <f>0</f>
        <v>0</v>
      </c>
      <c r="S106" s="151">
        <v>12</v>
      </c>
      <c r="T106" s="151">
        <f>0</f>
        <v>0</v>
      </c>
      <c r="U106" s="151">
        <f>0</f>
        <v>0</v>
      </c>
      <c r="V106" s="151">
        <f>0</f>
        <v>0</v>
      </c>
      <c r="W106" s="151">
        <f>0</f>
        <v>0</v>
      </c>
      <c r="X106" s="151">
        <f>0</f>
        <v>0</v>
      </c>
      <c r="Y106" s="151">
        <f>0</f>
        <v>0</v>
      </c>
      <c r="Z106" s="200">
        <f>0</f>
        <v>0</v>
      </c>
      <c r="AA106" s="113">
        <f t="shared" si="3"/>
        <v>12</v>
      </c>
      <c r="AB106" s="199">
        <v>12</v>
      </c>
      <c r="AC106" s="120">
        <f t="shared" si="4"/>
        <v>0</v>
      </c>
      <c r="AD106" s="114"/>
      <c r="AE106" s="177" t="s">
        <v>239</v>
      </c>
      <c r="AF106" s="84" t="s">
        <v>587</v>
      </c>
      <c r="AG106" s="188"/>
      <c r="AH106" s="187"/>
      <c r="AI106" s="88"/>
      <c r="AJ106" s="89">
        <v>12</v>
      </c>
      <c r="AK106" s="189">
        <f t="shared" si="5"/>
        <v>-12</v>
      </c>
      <c r="AL106" s="88" t="s">
        <v>588</v>
      </c>
      <c r="AM106" s="83"/>
      <c r="AN106" s="90"/>
      <c r="AO106" s="180"/>
    </row>
    <row r="107" spans="1:41" s="107" customFormat="1" ht="30.75" customHeight="1">
      <c r="A107" s="225">
        <v>102</v>
      </c>
      <c r="B107" s="277">
        <v>44903</v>
      </c>
      <c r="C107" s="278" t="s">
        <v>372</v>
      </c>
      <c r="D107" s="285" t="s">
        <v>1362</v>
      </c>
      <c r="E107" s="267">
        <v>0</v>
      </c>
      <c r="F107" s="222" t="s">
        <v>1363</v>
      </c>
      <c r="G107" s="171" t="s">
        <v>1362</v>
      </c>
      <c r="H107" s="231" t="s">
        <v>1362</v>
      </c>
      <c r="I107" s="232" t="s">
        <v>354</v>
      </c>
      <c r="J107" s="233" t="s">
        <v>251</v>
      </c>
      <c r="K107" s="277" t="s">
        <v>252</v>
      </c>
      <c r="L107" s="286" t="s">
        <v>252</v>
      </c>
      <c r="M107" s="287" t="s">
        <v>356</v>
      </c>
      <c r="N107" s="216" t="s">
        <v>71</v>
      </c>
      <c r="O107" s="323">
        <v>0</v>
      </c>
      <c r="P107" s="151">
        <f>0</f>
        <v>0</v>
      </c>
      <c r="Q107" s="151">
        <f>0</f>
        <v>0</v>
      </c>
      <c r="R107" s="151">
        <f>0</f>
        <v>0</v>
      </c>
      <c r="S107" s="151">
        <v>2</v>
      </c>
      <c r="T107" s="151">
        <f>0</f>
        <v>0</v>
      </c>
      <c r="U107" s="151">
        <f>0</f>
        <v>0</v>
      </c>
      <c r="V107" s="151">
        <f>0</f>
        <v>0</v>
      </c>
      <c r="W107" s="151">
        <f>0</f>
        <v>0</v>
      </c>
      <c r="X107" s="151">
        <f>0</f>
        <v>0</v>
      </c>
      <c r="Y107" s="151">
        <f>0</f>
        <v>0</v>
      </c>
      <c r="Z107" s="200">
        <f>0</f>
        <v>0</v>
      </c>
      <c r="AA107" s="113">
        <f t="shared" si="3"/>
        <v>2</v>
      </c>
      <c r="AB107" s="199">
        <v>2</v>
      </c>
      <c r="AC107" s="120">
        <f t="shared" si="4"/>
        <v>0</v>
      </c>
      <c r="AD107" s="114"/>
      <c r="AE107" s="177" t="s">
        <v>239</v>
      </c>
      <c r="AF107" s="84" t="s">
        <v>587</v>
      </c>
      <c r="AG107" s="188"/>
      <c r="AH107" s="187"/>
      <c r="AI107" s="88"/>
      <c r="AJ107" s="89">
        <v>2</v>
      </c>
      <c r="AK107" s="189">
        <f t="shared" si="5"/>
        <v>-2</v>
      </c>
      <c r="AL107" s="88" t="s">
        <v>590</v>
      </c>
      <c r="AM107" s="83"/>
      <c r="AN107" s="90"/>
      <c r="AO107" s="180"/>
    </row>
    <row r="108" spans="1:41" s="288" customFormat="1" ht="30.75" customHeight="1">
      <c r="A108" s="225">
        <v>103</v>
      </c>
      <c r="B108" s="277">
        <v>44903</v>
      </c>
      <c r="C108" s="278" t="s">
        <v>372</v>
      </c>
      <c r="D108" s="285" t="s">
        <v>335</v>
      </c>
      <c r="E108" s="267">
        <v>0</v>
      </c>
      <c r="F108" s="222" t="s">
        <v>1364</v>
      </c>
      <c r="G108" s="188" t="s">
        <v>335</v>
      </c>
      <c r="H108" s="231" t="s">
        <v>335</v>
      </c>
      <c r="I108" s="232" t="s">
        <v>227</v>
      </c>
      <c r="J108" s="233" t="s">
        <v>251</v>
      </c>
      <c r="K108" s="277"/>
      <c r="L108" s="286"/>
      <c r="M108" s="287"/>
      <c r="N108" s="216" t="s">
        <v>71</v>
      </c>
      <c r="O108" s="391">
        <v>0</v>
      </c>
      <c r="P108" s="77">
        <f>0</f>
        <v>0</v>
      </c>
      <c r="Q108" s="77">
        <f>0</f>
        <v>0</v>
      </c>
      <c r="R108" s="77">
        <f>0</f>
        <v>0</v>
      </c>
      <c r="S108" s="77">
        <v>2</v>
      </c>
      <c r="T108" s="77">
        <f>0</f>
        <v>0</v>
      </c>
      <c r="U108" s="77">
        <f>0</f>
        <v>0</v>
      </c>
      <c r="V108" s="77">
        <f>0</f>
        <v>0</v>
      </c>
      <c r="W108" s="77">
        <f>0</f>
        <v>0</v>
      </c>
      <c r="X108" s="77">
        <f>0</f>
        <v>0</v>
      </c>
      <c r="Y108" s="77">
        <f>0</f>
        <v>0</v>
      </c>
      <c r="Z108" s="392">
        <f>0</f>
        <v>0</v>
      </c>
      <c r="AA108" s="131">
        <f t="shared" si="3"/>
        <v>2</v>
      </c>
      <c r="AB108" s="158">
        <f>0</f>
        <v>0</v>
      </c>
      <c r="AC108" s="145">
        <f t="shared" si="4"/>
        <v>2</v>
      </c>
      <c r="AD108" s="114" t="s">
        <v>1430</v>
      </c>
      <c r="AE108" s="177" t="s">
        <v>239</v>
      </c>
      <c r="AF108" s="84" t="s">
        <v>1431</v>
      </c>
      <c r="AG108" s="188"/>
      <c r="AH108" s="187"/>
      <c r="AI108" s="88"/>
      <c r="AJ108" s="89">
        <v>2</v>
      </c>
      <c r="AK108" s="189">
        <f t="shared" si="5"/>
        <v>0</v>
      </c>
      <c r="AL108" s="88" t="s">
        <v>1528</v>
      </c>
      <c r="AM108" s="83"/>
      <c r="AN108" s="90"/>
      <c r="AO108" s="180"/>
    </row>
    <row r="109" spans="1:41" s="288" customFormat="1" ht="30.75" customHeight="1">
      <c r="A109" s="225">
        <v>104</v>
      </c>
      <c r="B109" s="277">
        <v>44903</v>
      </c>
      <c r="C109" s="278" t="s">
        <v>372</v>
      </c>
      <c r="D109" s="285" t="s">
        <v>336</v>
      </c>
      <c r="E109" s="267">
        <v>0</v>
      </c>
      <c r="F109" s="222" t="s">
        <v>1365</v>
      </c>
      <c r="G109" s="188" t="s">
        <v>336</v>
      </c>
      <c r="H109" s="231" t="s">
        <v>336</v>
      </c>
      <c r="I109" s="232" t="s">
        <v>227</v>
      </c>
      <c r="J109" s="233" t="s">
        <v>251</v>
      </c>
      <c r="K109" s="277" t="s">
        <v>252</v>
      </c>
      <c r="L109" s="286" t="s">
        <v>252</v>
      </c>
      <c r="M109" s="287"/>
      <c r="N109" s="216" t="s">
        <v>71</v>
      </c>
      <c r="O109" s="391">
        <v>0</v>
      </c>
      <c r="P109" s="77">
        <f>0</f>
        <v>0</v>
      </c>
      <c r="Q109" s="77">
        <f>0</f>
        <v>0</v>
      </c>
      <c r="R109" s="77">
        <f>0</f>
        <v>0</v>
      </c>
      <c r="S109" s="77">
        <v>2</v>
      </c>
      <c r="T109" s="77">
        <f>0</f>
        <v>0</v>
      </c>
      <c r="U109" s="77">
        <f>0</f>
        <v>0</v>
      </c>
      <c r="V109" s="77">
        <f>0</f>
        <v>0</v>
      </c>
      <c r="W109" s="77">
        <f>0</f>
        <v>0</v>
      </c>
      <c r="X109" s="77">
        <f>0</f>
        <v>0</v>
      </c>
      <c r="Y109" s="77">
        <f>0</f>
        <v>0</v>
      </c>
      <c r="Z109" s="392">
        <f>0</f>
        <v>0</v>
      </c>
      <c r="AA109" s="131">
        <f t="shared" si="3"/>
        <v>2</v>
      </c>
      <c r="AB109" s="158">
        <f>0</f>
        <v>0</v>
      </c>
      <c r="AC109" s="145">
        <f t="shared" si="4"/>
        <v>2</v>
      </c>
      <c r="AD109" s="114" t="s">
        <v>1430</v>
      </c>
      <c r="AE109" s="177" t="s">
        <v>239</v>
      </c>
      <c r="AF109" s="84" t="s">
        <v>1431</v>
      </c>
      <c r="AG109" s="188"/>
      <c r="AH109" s="187"/>
      <c r="AI109" s="88"/>
      <c r="AJ109" s="89">
        <v>2</v>
      </c>
      <c r="AK109" s="189">
        <f t="shared" si="5"/>
        <v>0</v>
      </c>
      <c r="AL109" s="88" t="s">
        <v>1528</v>
      </c>
      <c r="AM109" s="83"/>
      <c r="AN109" s="90"/>
      <c r="AO109" s="180"/>
    </row>
    <row r="110" spans="1:41" s="288" customFormat="1" ht="30.75" customHeight="1">
      <c r="A110" s="233">
        <v>105</v>
      </c>
      <c r="B110" s="277">
        <v>44903</v>
      </c>
      <c r="C110" s="278" t="s">
        <v>372</v>
      </c>
      <c r="D110" s="285" t="s">
        <v>337</v>
      </c>
      <c r="E110" s="267" t="s">
        <v>338</v>
      </c>
      <c r="F110" s="222" t="s">
        <v>339</v>
      </c>
      <c r="G110" s="188" t="s">
        <v>337</v>
      </c>
      <c r="H110" s="231" t="s">
        <v>337</v>
      </c>
      <c r="I110" s="232" t="s">
        <v>227</v>
      </c>
      <c r="J110" s="233" t="s">
        <v>251</v>
      </c>
      <c r="K110" s="277" t="s">
        <v>252</v>
      </c>
      <c r="L110" s="286" t="s">
        <v>252</v>
      </c>
      <c r="M110" s="287"/>
      <c r="N110" s="216" t="s">
        <v>71</v>
      </c>
      <c r="O110" s="391">
        <v>0</v>
      </c>
      <c r="P110" s="77">
        <f>0</f>
        <v>0</v>
      </c>
      <c r="Q110" s="77">
        <f>0</f>
        <v>0</v>
      </c>
      <c r="R110" s="77">
        <f>0</f>
        <v>0</v>
      </c>
      <c r="S110" s="77">
        <v>2</v>
      </c>
      <c r="T110" s="77">
        <f>0</f>
        <v>0</v>
      </c>
      <c r="U110" s="77">
        <f>0</f>
        <v>0</v>
      </c>
      <c r="V110" s="77">
        <f>0</f>
        <v>0</v>
      </c>
      <c r="W110" s="77">
        <f>0</f>
        <v>0</v>
      </c>
      <c r="X110" s="77">
        <f>0</f>
        <v>0</v>
      </c>
      <c r="Y110" s="77">
        <f>0</f>
        <v>0</v>
      </c>
      <c r="Z110" s="392">
        <f>0</f>
        <v>0</v>
      </c>
      <c r="AA110" s="131">
        <f t="shared" si="3"/>
        <v>2</v>
      </c>
      <c r="AB110" s="158">
        <f>0</f>
        <v>0</v>
      </c>
      <c r="AC110" s="145">
        <f t="shared" si="4"/>
        <v>2</v>
      </c>
      <c r="AD110" s="114" t="s">
        <v>1430</v>
      </c>
      <c r="AE110" s="177" t="s">
        <v>239</v>
      </c>
      <c r="AF110" s="84" t="s">
        <v>1431</v>
      </c>
      <c r="AG110" s="188"/>
      <c r="AH110" s="187"/>
      <c r="AI110" s="88"/>
      <c r="AJ110" s="89">
        <v>2</v>
      </c>
      <c r="AK110" s="189">
        <f t="shared" si="5"/>
        <v>0</v>
      </c>
      <c r="AL110" s="88" t="s">
        <v>1528</v>
      </c>
      <c r="AM110" s="83"/>
      <c r="AN110" s="90"/>
      <c r="AO110" s="180"/>
    </row>
    <row r="111" spans="1:41" s="107" customFormat="1" ht="30.75" customHeight="1">
      <c r="A111" s="225">
        <v>106</v>
      </c>
      <c r="B111" s="277">
        <v>44903</v>
      </c>
      <c r="C111" s="278" t="s">
        <v>372</v>
      </c>
      <c r="D111" s="285" t="s">
        <v>340</v>
      </c>
      <c r="E111" s="267" t="s">
        <v>328</v>
      </c>
      <c r="F111" s="222" t="s">
        <v>339</v>
      </c>
      <c r="G111" s="188" t="s">
        <v>340</v>
      </c>
      <c r="H111" s="231" t="s">
        <v>340</v>
      </c>
      <c r="I111" s="232" t="s">
        <v>227</v>
      </c>
      <c r="J111" s="233" t="s">
        <v>251</v>
      </c>
      <c r="K111" s="277" t="s">
        <v>252</v>
      </c>
      <c r="L111" s="286" t="s">
        <v>252</v>
      </c>
      <c r="M111" s="287"/>
      <c r="N111" s="216" t="s">
        <v>71</v>
      </c>
      <c r="O111" s="323">
        <v>0</v>
      </c>
      <c r="P111" s="151">
        <f>0</f>
        <v>0</v>
      </c>
      <c r="Q111" s="151">
        <f>0</f>
        <v>0</v>
      </c>
      <c r="R111" s="151">
        <f>0</f>
        <v>0</v>
      </c>
      <c r="S111" s="151">
        <v>4</v>
      </c>
      <c r="T111" s="151">
        <f>0</f>
        <v>0</v>
      </c>
      <c r="U111" s="151">
        <f>0</f>
        <v>0</v>
      </c>
      <c r="V111" s="151">
        <f>0</f>
        <v>0</v>
      </c>
      <c r="W111" s="151">
        <f>0</f>
        <v>0</v>
      </c>
      <c r="X111" s="151">
        <f>0</f>
        <v>0</v>
      </c>
      <c r="Y111" s="151">
        <f>0</f>
        <v>0</v>
      </c>
      <c r="Z111" s="200">
        <f>0</f>
        <v>0</v>
      </c>
      <c r="AA111" s="113">
        <f t="shared" si="3"/>
        <v>4</v>
      </c>
      <c r="AB111" s="199">
        <v>7</v>
      </c>
      <c r="AC111" s="120">
        <f t="shared" si="4"/>
        <v>-3</v>
      </c>
      <c r="AD111" s="114"/>
      <c r="AE111" s="177"/>
      <c r="AF111" s="84" t="s">
        <v>587</v>
      </c>
      <c r="AG111" s="188"/>
      <c r="AH111" s="187"/>
      <c r="AI111" s="88"/>
      <c r="AJ111" s="89">
        <v>7</v>
      </c>
      <c r="AK111" s="189">
        <f t="shared" si="5"/>
        <v>-10</v>
      </c>
      <c r="AL111" s="88" t="s">
        <v>580</v>
      </c>
      <c r="AM111" s="83"/>
      <c r="AN111" s="90"/>
      <c r="AO111" s="180"/>
    </row>
    <row r="112" spans="1:41" s="288" customFormat="1" ht="30.75" customHeight="1">
      <c r="A112" s="225">
        <v>107</v>
      </c>
      <c r="B112" s="277">
        <v>44903</v>
      </c>
      <c r="C112" s="278" t="s">
        <v>372</v>
      </c>
      <c r="D112" s="285" t="s">
        <v>341</v>
      </c>
      <c r="E112" s="267" t="s">
        <v>322</v>
      </c>
      <c r="F112" s="222" t="s">
        <v>342</v>
      </c>
      <c r="G112" s="188" t="s">
        <v>341</v>
      </c>
      <c r="H112" s="231" t="s">
        <v>341</v>
      </c>
      <c r="I112" s="232" t="s">
        <v>227</v>
      </c>
      <c r="J112" s="233" t="s">
        <v>251</v>
      </c>
      <c r="K112" s="277" t="s">
        <v>252</v>
      </c>
      <c r="L112" s="286" t="s">
        <v>252</v>
      </c>
      <c r="M112" s="287"/>
      <c r="N112" s="216" t="s">
        <v>71</v>
      </c>
      <c r="O112" s="391">
        <v>0</v>
      </c>
      <c r="P112" s="77">
        <f>0</f>
        <v>0</v>
      </c>
      <c r="Q112" s="77">
        <f>0</f>
        <v>0</v>
      </c>
      <c r="R112" s="77">
        <f>0</f>
        <v>0</v>
      </c>
      <c r="S112" s="77">
        <v>2</v>
      </c>
      <c r="T112" s="77">
        <f>0</f>
        <v>0</v>
      </c>
      <c r="U112" s="77">
        <f>0</f>
        <v>0</v>
      </c>
      <c r="V112" s="77">
        <f>0</f>
        <v>0</v>
      </c>
      <c r="W112" s="77">
        <f>0</f>
        <v>0</v>
      </c>
      <c r="X112" s="77">
        <f>0</f>
        <v>0</v>
      </c>
      <c r="Y112" s="77">
        <f>0</f>
        <v>0</v>
      </c>
      <c r="Z112" s="392">
        <f>0</f>
        <v>0</v>
      </c>
      <c r="AA112" s="131">
        <f t="shared" si="3"/>
        <v>2</v>
      </c>
      <c r="AB112" s="158">
        <f>0</f>
        <v>0</v>
      </c>
      <c r="AC112" s="145">
        <f t="shared" si="4"/>
        <v>2</v>
      </c>
      <c r="AD112" s="114" t="s">
        <v>1430</v>
      </c>
      <c r="AE112" s="177" t="s">
        <v>239</v>
      </c>
      <c r="AF112" s="84" t="s">
        <v>1431</v>
      </c>
      <c r="AG112" s="188"/>
      <c r="AH112" s="187"/>
      <c r="AI112" s="88"/>
      <c r="AJ112" s="89">
        <v>2</v>
      </c>
      <c r="AK112" s="189">
        <f t="shared" si="5"/>
        <v>0</v>
      </c>
      <c r="AL112" s="88" t="s">
        <v>1534</v>
      </c>
      <c r="AM112" s="83"/>
      <c r="AN112" s="90"/>
      <c r="AO112" s="180"/>
    </row>
    <row r="113" spans="1:42" s="288" customFormat="1" ht="30.75" customHeight="1">
      <c r="A113" s="225">
        <v>108</v>
      </c>
      <c r="B113" s="277">
        <v>44903</v>
      </c>
      <c r="C113" s="278" t="s">
        <v>372</v>
      </c>
      <c r="D113" s="285" t="s">
        <v>343</v>
      </c>
      <c r="E113" s="267" t="s">
        <v>322</v>
      </c>
      <c r="F113" s="222" t="s">
        <v>355</v>
      </c>
      <c r="G113" s="188" t="s">
        <v>343</v>
      </c>
      <c r="H113" s="231" t="s">
        <v>343</v>
      </c>
      <c r="I113" s="232" t="s">
        <v>227</v>
      </c>
      <c r="J113" s="233" t="s">
        <v>251</v>
      </c>
      <c r="K113" s="277" t="s">
        <v>252</v>
      </c>
      <c r="L113" s="286" t="s">
        <v>252</v>
      </c>
      <c r="M113" s="287"/>
      <c r="N113" s="216" t="s">
        <v>71</v>
      </c>
      <c r="O113" s="391">
        <v>0</v>
      </c>
      <c r="P113" s="77">
        <f>0</f>
        <v>0</v>
      </c>
      <c r="Q113" s="77">
        <f>0</f>
        <v>0</v>
      </c>
      <c r="R113" s="77">
        <f>0</f>
        <v>0</v>
      </c>
      <c r="S113" s="77">
        <v>4</v>
      </c>
      <c r="T113" s="77">
        <f>0</f>
        <v>0</v>
      </c>
      <c r="U113" s="77">
        <f>0</f>
        <v>0</v>
      </c>
      <c r="V113" s="77">
        <f>0</f>
        <v>0</v>
      </c>
      <c r="W113" s="77">
        <f>0</f>
        <v>0</v>
      </c>
      <c r="X113" s="77">
        <f>0</f>
        <v>0</v>
      </c>
      <c r="Y113" s="77">
        <f>0</f>
        <v>0</v>
      </c>
      <c r="Z113" s="392">
        <f>0</f>
        <v>0</v>
      </c>
      <c r="AA113" s="131">
        <f t="shared" si="3"/>
        <v>4</v>
      </c>
      <c r="AB113" s="158">
        <f>0</f>
        <v>0</v>
      </c>
      <c r="AC113" s="145">
        <f t="shared" si="4"/>
        <v>4</v>
      </c>
      <c r="AD113" s="114" t="s">
        <v>1430</v>
      </c>
      <c r="AE113" s="177" t="s">
        <v>239</v>
      </c>
      <c r="AF113" s="84" t="s">
        <v>1431</v>
      </c>
      <c r="AG113" s="188"/>
      <c r="AH113" s="187"/>
      <c r="AI113" s="88"/>
      <c r="AJ113" s="89">
        <v>4</v>
      </c>
      <c r="AK113" s="189">
        <f t="shared" si="5"/>
        <v>0</v>
      </c>
      <c r="AL113" s="88" t="s">
        <v>1528</v>
      </c>
      <c r="AM113" s="83"/>
      <c r="AN113" s="90"/>
      <c r="AO113" s="180"/>
    </row>
    <row r="114" spans="1:42" s="288" customFormat="1" ht="30.75" customHeight="1">
      <c r="A114" s="233">
        <v>109</v>
      </c>
      <c r="B114" s="277">
        <v>44903</v>
      </c>
      <c r="C114" s="278" t="s">
        <v>372</v>
      </c>
      <c r="D114" s="285" t="s">
        <v>344</v>
      </c>
      <c r="E114" s="267" t="s">
        <v>338</v>
      </c>
      <c r="F114" s="222" t="s">
        <v>347</v>
      </c>
      <c r="G114" s="188" t="s">
        <v>344</v>
      </c>
      <c r="H114" s="231" t="s">
        <v>344</v>
      </c>
      <c r="I114" s="232" t="s">
        <v>227</v>
      </c>
      <c r="J114" s="233" t="s">
        <v>251</v>
      </c>
      <c r="K114" s="277" t="s">
        <v>252</v>
      </c>
      <c r="L114" s="286" t="s">
        <v>252</v>
      </c>
      <c r="M114" s="287"/>
      <c r="N114" s="216" t="s">
        <v>71</v>
      </c>
      <c r="O114" s="391">
        <v>0</v>
      </c>
      <c r="P114" s="77">
        <f>0</f>
        <v>0</v>
      </c>
      <c r="Q114" s="77">
        <f>0</f>
        <v>0</v>
      </c>
      <c r="R114" s="77">
        <f>0</f>
        <v>0</v>
      </c>
      <c r="S114" s="77">
        <v>2</v>
      </c>
      <c r="T114" s="77">
        <f>0</f>
        <v>0</v>
      </c>
      <c r="U114" s="77">
        <f>0</f>
        <v>0</v>
      </c>
      <c r="V114" s="77">
        <f>0</f>
        <v>0</v>
      </c>
      <c r="W114" s="77">
        <f>0</f>
        <v>0</v>
      </c>
      <c r="X114" s="77">
        <f>0</f>
        <v>0</v>
      </c>
      <c r="Y114" s="77">
        <f>0</f>
        <v>0</v>
      </c>
      <c r="Z114" s="392">
        <f>0</f>
        <v>0</v>
      </c>
      <c r="AA114" s="131">
        <f t="shared" si="3"/>
        <v>2</v>
      </c>
      <c r="AB114" s="158">
        <f>0</f>
        <v>0</v>
      </c>
      <c r="AC114" s="145">
        <f t="shared" si="4"/>
        <v>2</v>
      </c>
      <c r="AD114" s="114" t="s">
        <v>1430</v>
      </c>
      <c r="AE114" s="177" t="s">
        <v>239</v>
      </c>
      <c r="AF114" s="84" t="s">
        <v>1431</v>
      </c>
      <c r="AG114" s="188"/>
      <c r="AH114" s="187"/>
      <c r="AI114" s="88"/>
      <c r="AJ114" s="89">
        <v>2</v>
      </c>
      <c r="AK114" s="189">
        <f t="shared" si="5"/>
        <v>0</v>
      </c>
      <c r="AL114" s="88" t="s">
        <v>1528</v>
      </c>
      <c r="AM114" s="83"/>
      <c r="AN114" s="90"/>
      <c r="AO114" s="180"/>
    </row>
    <row r="115" spans="1:42" s="288" customFormat="1" ht="30.75" customHeight="1">
      <c r="A115" s="225">
        <v>110</v>
      </c>
      <c r="B115" s="277">
        <v>44903</v>
      </c>
      <c r="C115" s="278" t="s">
        <v>372</v>
      </c>
      <c r="D115" s="285" t="s">
        <v>346</v>
      </c>
      <c r="E115" s="267" t="s">
        <v>322</v>
      </c>
      <c r="F115" s="222" t="s">
        <v>347</v>
      </c>
      <c r="G115" s="188" t="s">
        <v>346</v>
      </c>
      <c r="H115" s="231" t="s">
        <v>346</v>
      </c>
      <c r="I115" s="232" t="s">
        <v>227</v>
      </c>
      <c r="J115" s="233" t="s">
        <v>251</v>
      </c>
      <c r="K115" s="277" t="s">
        <v>252</v>
      </c>
      <c r="L115" s="286" t="s">
        <v>252</v>
      </c>
      <c r="M115" s="287"/>
      <c r="N115" s="216" t="s">
        <v>71</v>
      </c>
      <c r="O115" s="391">
        <v>0</v>
      </c>
      <c r="P115" s="77">
        <f>0</f>
        <v>0</v>
      </c>
      <c r="Q115" s="77">
        <f>0</f>
        <v>0</v>
      </c>
      <c r="R115" s="77">
        <f>0</f>
        <v>0</v>
      </c>
      <c r="S115" s="77">
        <v>2</v>
      </c>
      <c r="T115" s="77">
        <f>0</f>
        <v>0</v>
      </c>
      <c r="U115" s="77">
        <f>0</f>
        <v>0</v>
      </c>
      <c r="V115" s="77">
        <f>0</f>
        <v>0</v>
      </c>
      <c r="W115" s="77">
        <f>0</f>
        <v>0</v>
      </c>
      <c r="X115" s="77">
        <f>0</f>
        <v>0</v>
      </c>
      <c r="Y115" s="77">
        <f>0</f>
        <v>0</v>
      </c>
      <c r="Z115" s="392">
        <f>0</f>
        <v>0</v>
      </c>
      <c r="AA115" s="131">
        <f t="shared" si="3"/>
        <v>2</v>
      </c>
      <c r="AB115" s="158">
        <f>0</f>
        <v>0</v>
      </c>
      <c r="AC115" s="145">
        <f t="shared" si="4"/>
        <v>2</v>
      </c>
      <c r="AD115" s="114" t="s">
        <v>1430</v>
      </c>
      <c r="AE115" s="177" t="s">
        <v>239</v>
      </c>
      <c r="AF115" s="84" t="s">
        <v>1431</v>
      </c>
      <c r="AG115" s="188"/>
      <c r="AH115" s="187"/>
      <c r="AI115" s="88"/>
      <c r="AJ115" s="89">
        <v>2</v>
      </c>
      <c r="AK115" s="189">
        <f t="shared" si="5"/>
        <v>0</v>
      </c>
      <c r="AL115" s="88" t="s">
        <v>1528</v>
      </c>
      <c r="AM115" s="83"/>
      <c r="AN115" s="90"/>
      <c r="AO115" s="180"/>
    </row>
    <row r="116" spans="1:42" s="288" customFormat="1" ht="30.75" customHeight="1">
      <c r="A116" s="225">
        <v>111</v>
      </c>
      <c r="B116" s="277">
        <v>44903</v>
      </c>
      <c r="C116" s="278" t="s">
        <v>372</v>
      </c>
      <c r="D116" s="285" t="s">
        <v>348</v>
      </c>
      <c r="E116" s="267" t="s">
        <v>328</v>
      </c>
      <c r="F116" s="222" t="s">
        <v>349</v>
      </c>
      <c r="G116" s="188" t="s">
        <v>348</v>
      </c>
      <c r="H116" s="231" t="s">
        <v>348</v>
      </c>
      <c r="I116" s="232" t="s">
        <v>227</v>
      </c>
      <c r="J116" s="233" t="s">
        <v>251</v>
      </c>
      <c r="K116" s="277" t="s">
        <v>252</v>
      </c>
      <c r="L116" s="286" t="s">
        <v>252</v>
      </c>
      <c r="M116" s="287"/>
      <c r="N116" s="216" t="s">
        <v>71</v>
      </c>
      <c r="O116" s="391">
        <v>0</v>
      </c>
      <c r="P116" s="77">
        <f>0</f>
        <v>0</v>
      </c>
      <c r="Q116" s="77">
        <f>0</f>
        <v>0</v>
      </c>
      <c r="R116" s="77">
        <f>0</f>
        <v>0</v>
      </c>
      <c r="S116" s="77">
        <v>4</v>
      </c>
      <c r="T116" s="77">
        <f>0</f>
        <v>0</v>
      </c>
      <c r="U116" s="77">
        <f>0</f>
        <v>0</v>
      </c>
      <c r="V116" s="77">
        <f>0</f>
        <v>0</v>
      </c>
      <c r="W116" s="77">
        <f>0</f>
        <v>0</v>
      </c>
      <c r="X116" s="77">
        <f>0</f>
        <v>0</v>
      </c>
      <c r="Y116" s="77">
        <f>0</f>
        <v>0</v>
      </c>
      <c r="Z116" s="392">
        <f>0</f>
        <v>0</v>
      </c>
      <c r="AA116" s="131">
        <f t="shared" si="3"/>
        <v>4</v>
      </c>
      <c r="AB116" s="158">
        <f>0</f>
        <v>0</v>
      </c>
      <c r="AC116" s="145">
        <f t="shared" si="4"/>
        <v>4</v>
      </c>
      <c r="AD116" s="114" t="s">
        <v>1430</v>
      </c>
      <c r="AE116" s="177" t="s">
        <v>239</v>
      </c>
      <c r="AF116" s="84" t="s">
        <v>1431</v>
      </c>
      <c r="AG116" s="188"/>
      <c r="AH116" s="187"/>
      <c r="AI116" s="88"/>
      <c r="AJ116" s="89">
        <v>4</v>
      </c>
      <c r="AK116" s="189">
        <f t="shared" si="5"/>
        <v>0</v>
      </c>
      <c r="AL116" s="88" t="s">
        <v>1528</v>
      </c>
      <c r="AM116" s="83"/>
      <c r="AN116" s="90"/>
      <c r="AO116" s="180"/>
    </row>
    <row r="117" spans="1:42" s="288" customFormat="1" ht="30.75" customHeight="1">
      <c r="A117" s="225">
        <v>112</v>
      </c>
      <c r="B117" s="277">
        <v>44903</v>
      </c>
      <c r="C117" s="278" t="s">
        <v>372</v>
      </c>
      <c r="D117" s="285" t="s">
        <v>350</v>
      </c>
      <c r="E117" s="267" t="s">
        <v>322</v>
      </c>
      <c r="F117" s="222" t="s">
        <v>349</v>
      </c>
      <c r="G117" s="188" t="s">
        <v>350</v>
      </c>
      <c r="H117" s="231" t="s">
        <v>350</v>
      </c>
      <c r="I117" s="232" t="s">
        <v>227</v>
      </c>
      <c r="J117" s="233" t="s">
        <v>251</v>
      </c>
      <c r="K117" s="277" t="s">
        <v>252</v>
      </c>
      <c r="L117" s="286" t="s">
        <v>252</v>
      </c>
      <c r="M117" s="287"/>
      <c r="N117" s="216" t="s">
        <v>71</v>
      </c>
      <c r="O117" s="391">
        <v>0</v>
      </c>
      <c r="P117" s="77">
        <f>0</f>
        <v>0</v>
      </c>
      <c r="Q117" s="77">
        <f>0</f>
        <v>0</v>
      </c>
      <c r="R117" s="77">
        <f>0</f>
        <v>0</v>
      </c>
      <c r="S117" s="77">
        <v>2</v>
      </c>
      <c r="T117" s="77">
        <f>0</f>
        <v>0</v>
      </c>
      <c r="U117" s="77">
        <f>0</f>
        <v>0</v>
      </c>
      <c r="V117" s="77">
        <f>0</f>
        <v>0</v>
      </c>
      <c r="W117" s="77">
        <f>0</f>
        <v>0</v>
      </c>
      <c r="X117" s="77">
        <f>0</f>
        <v>0</v>
      </c>
      <c r="Y117" s="77">
        <f>0</f>
        <v>0</v>
      </c>
      <c r="Z117" s="392">
        <f>0</f>
        <v>0</v>
      </c>
      <c r="AA117" s="131">
        <f t="shared" si="3"/>
        <v>2</v>
      </c>
      <c r="AB117" s="158">
        <f>0</f>
        <v>0</v>
      </c>
      <c r="AC117" s="145">
        <f t="shared" si="4"/>
        <v>2</v>
      </c>
      <c r="AD117" s="114" t="s">
        <v>1430</v>
      </c>
      <c r="AE117" s="177" t="s">
        <v>239</v>
      </c>
      <c r="AF117" s="84" t="s">
        <v>1431</v>
      </c>
      <c r="AG117" s="188"/>
      <c r="AH117" s="187"/>
      <c r="AI117" s="88"/>
      <c r="AJ117" s="89">
        <v>2</v>
      </c>
      <c r="AK117" s="189">
        <f t="shared" si="5"/>
        <v>0</v>
      </c>
      <c r="AL117" s="88" t="s">
        <v>1528</v>
      </c>
      <c r="AM117" s="83"/>
      <c r="AN117" s="90"/>
      <c r="AO117" s="180"/>
    </row>
    <row r="118" spans="1:42" s="288" customFormat="1" ht="30.75" customHeight="1">
      <c r="A118" s="233">
        <v>113</v>
      </c>
      <c r="B118" s="277">
        <v>44903</v>
      </c>
      <c r="C118" s="278" t="s">
        <v>372</v>
      </c>
      <c r="D118" s="285" t="s">
        <v>351</v>
      </c>
      <c r="E118" s="267" t="s">
        <v>328</v>
      </c>
      <c r="F118" s="222" t="s">
        <v>349</v>
      </c>
      <c r="G118" s="188" t="s">
        <v>351</v>
      </c>
      <c r="H118" s="231" t="s">
        <v>351</v>
      </c>
      <c r="I118" s="232" t="s">
        <v>227</v>
      </c>
      <c r="J118" s="233" t="s">
        <v>251</v>
      </c>
      <c r="K118" s="277" t="s">
        <v>252</v>
      </c>
      <c r="L118" s="286" t="s">
        <v>252</v>
      </c>
      <c r="M118" s="287"/>
      <c r="N118" s="216" t="s">
        <v>71</v>
      </c>
      <c r="O118" s="391">
        <v>0</v>
      </c>
      <c r="P118" s="77">
        <f>0</f>
        <v>0</v>
      </c>
      <c r="Q118" s="77">
        <f>0</f>
        <v>0</v>
      </c>
      <c r="R118" s="77">
        <f>0</f>
        <v>0</v>
      </c>
      <c r="S118" s="77">
        <v>2</v>
      </c>
      <c r="T118" s="77">
        <f>0</f>
        <v>0</v>
      </c>
      <c r="U118" s="77">
        <f>0</f>
        <v>0</v>
      </c>
      <c r="V118" s="77">
        <f>0</f>
        <v>0</v>
      </c>
      <c r="W118" s="77">
        <f>0</f>
        <v>0</v>
      </c>
      <c r="X118" s="77">
        <f>0</f>
        <v>0</v>
      </c>
      <c r="Y118" s="77">
        <f>0</f>
        <v>0</v>
      </c>
      <c r="Z118" s="392">
        <f>0</f>
        <v>0</v>
      </c>
      <c r="AA118" s="131">
        <f t="shared" si="3"/>
        <v>2</v>
      </c>
      <c r="AB118" s="158">
        <f>0</f>
        <v>0</v>
      </c>
      <c r="AC118" s="145">
        <f t="shared" si="4"/>
        <v>2</v>
      </c>
      <c r="AD118" s="114" t="s">
        <v>1430</v>
      </c>
      <c r="AE118" s="177" t="s">
        <v>239</v>
      </c>
      <c r="AF118" s="84" t="s">
        <v>1431</v>
      </c>
      <c r="AG118" s="188"/>
      <c r="AH118" s="187"/>
      <c r="AI118" s="88"/>
      <c r="AJ118" s="89">
        <v>2</v>
      </c>
      <c r="AK118" s="189">
        <f t="shared" si="5"/>
        <v>0</v>
      </c>
      <c r="AL118" s="88" t="s">
        <v>1528</v>
      </c>
      <c r="AM118" s="83"/>
      <c r="AN118" s="90"/>
      <c r="AO118" s="180"/>
    </row>
    <row r="119" spans="1:42" s="107" customFormat="1" ht="30.75" customHeight="1">
      <c r="A119" s="225">
        <v>114</v>
      </c>
      <c r="B119" s="277">
        <v>44903</v>
      </c>
      <c r="C119" s="278" t="s">
        <v>372</v>
      </c>
      <c r="D119" s="279" t="s">
        <v>358</v>
      </c>
      <c r="E119" s="377" t="s">
        <v>328</v>
      </c>
      <c r="F119" s="271" t="s">
        <v>359</v>
      </c>
      <c r="G119" s="192" t="s">
        <v>358</v>
      </c>
      <c r="H119" s="272" t="s">
        <v>358</v>
      </c>
      <c r="I119" s="273" t="s">
        <v>330</v>
      </c>
      <c r="J119" s="280" t="s">
        <v>330</v>
      </c>
      <c r="K119" s="281" t="s">
        <v>252</v>
      </c>
      <c r="L119" s="282" t="s">
        <v>331</v>
      </c>
      <c r="M119" s="290"/>
      <c r="N119" s="216" t="s">
        <v>71</v>
      </c>
      <c r="O119" s="323">
        <v>0</v>
      </c>
      <c r="P119" s="151">
        <f>0</f>
        <v>0</v>
      </c>
      <c r="Q119" s="151">
        <f>0</f>
        <v>0</v>
      </c>
      <c r="R119" s="151">
        <f>0</f>
        <v>0</v>
      </c>
      <c r="S119" s="151">
        <v>2</v>
      </c>
      <c r="T119" s="151">
        <f>0</f>
        <v>0</v>
      </c>
      <c r="U119" s="151">
        <f>0</f>
        <v>0</v>
      </c>
      <c r="V119" s="151">
        <f>0</f>
        <v>0</v>
      </c>
      <c r="W119" s="151">
        <f>0</f>
        <v>0</v>
      </c>
      <c r="X119" s="151">
        <f>0</f>
        <v>0</v>
      </c>
      <c r="Y119" s="151">
        <f>0</f>
        <v>0</v>
      </c>
      <c r="Z119" s="200">
        <f>0</f>
        <v>0</v>
      </c>
      <c r="AA119" s="113">
        <f t="shared" si="3"/>
        <v>2</v>
      </c>
      <c r="AB119" s="123">
        <f>0</f>
        <v>0</v>
      </c>
      <c r="AC119" s="119">
        <f t="shared" si="4"/>
        <v>2</v>
      </c>
      <c r="AD119" s="114"/>
      <c r="AE119" s="124" t="s">
        <v>282</v>
      </c>
      <c r="AF119" s="379" t="s">
        <v>1613</v>
      </c>
      <c r="AG119" s="188"/>
      <c r="AH119" s="177"/>
      <c r="AI119" s="85"/>
      <c r="AJ119" s="125">
        <v>2</v>
      </c>
      <c r="AK119" s="388">
        <f t="shared" si="5"/>
        <v>0</v>
      </c>
      <c r="AL119" s="139"/>
      <c r="AM119" s="151"/>
      <c r="AN119" s="153"/>
      <c r="AO119" s="390"/>
      <c r="AP119" s="288"/>
    </row>
    <row r="120" spans="1:42" s="289" customFormat="1" ht="30.75" customHeight="1">
      <c r="A120" s="225">
        <v>115</v>
      </c>
      <c r="B120" s="277">
        <v>44903</v>
      </c>
      <c r="C120" s="286" t="s">
        <v>372</v>
      </c>
      <c r="D120" s="285" t="s">
        <v>360</v>
      </c>
      <c r="E120" s="377" t="s">
        <v>361</v>
      </c>
      <c r="F120" s="222" t="s">
        <v>313</v>
      </c>
      <c r="G120" s="188" t="s">
        <v>360</v>
      </c>
      <c r="H120" s="231" t="s">
        <v>360</v>
      </c>
      <c r="I120" s="232" t="s">
        <v>314</v>
      </c>
      <c r="J120" s="233" t="s">
        <v>251</v>
      </c>
      <c r="K120" s="277" t="s">
        <v>252</v>
      </c>
      <c r="L120" s="286" t="s">
        <v>252</v>
      </c>
      <c r="M120" s="287"/>
      <c r="N120" s="216" t="s">
        <v>71</v>
      </c>
      <c r="O120" s="323">
        <v>0</v>
      </c>
      <c r="P120" s="151">
        <f>0</f>
        <v>0</v>
      </c>
      <c r="Q120" s="151">
        <f>0</f>
        <v>0</v>
      </c>
      <c r="R120" s="151">
        <f>0</f>
        <v>0</v>
      </c>
      <c r="S120" s="151">
        <v>1</v>
      </c>
      <c r="T120" s="151">
        <f>0</f>
        <v>0</v>
      </c>
      <c r="U120" s="151">
        <f>0</f>
        <v>0</v>
      </c>
      <c r="V120" s="151">
        <f>0</f>
        <v>0</v>
      </c>
      <c r="W120" s="151">
        <f>0</f>
        <v>0</v>
      </c>
      <c r="X120" s="151">
        <f>0</f>
        <v>0</v>
      </c>
      <c r="Y120" s="151">
        <f>0</f>
        <v>0</v>
      </c>
      <c r="Z120" s="200">
        <f>0</f>
        <v>0</v>
      </c>
      <c r="AA120" s="113">
        <f t="shared" si="3"/>
        <v>1</v>
      </c>
      <c r="AB120" s="199">
        <f>0</f>
        <v>0</v>
      </c>
      <c r="AC120" s="120">
        <f t="shared" si="4"/>
        <v>1</v>
      </c>
      <c r="AD120" s="170"/>
      <c r="AE120" s="101" t="s">
        <v>282</v>
      </c>
      <c r="AF120" s="171"/>
      <c r="AG120" s="188"/>
      <c r="AH120" s="187"/>
      <c r="AI120" s="88"/>
      <c r="AJ120" s="94" t="s">
        <v>499</v>
      </c>
      <c r="AK120" s="185" t="e">
        <f t="shared" si="5"/>
        <v>#VALUE!</v>
      </c>
      <c r="AL120" s="93"/>
      <c r="AM120" s="50"/>
      <c r="AN120" s="95"/>
      <c r="AO120" s="390"/>
      <c r="AP120" s="288"/>
    </row>
    <row r="121" spans="1:42" s="289" customFormat="1" ht="30.75" customHeight="1">
      <c r="A121" s="225">
        <v>116</v>
      </c>
      <c r="B121" s="277">
        <v>44903</v>
      </c>
      <c r="C121" s="286" t="s">
        <v>372</v>
      </c>
      <c r="D121" s="285" t="s">
        <v>362</v>
      </c>
      <c r="E121" s="377" t="s">
        <v>361</v>
      </c>
      <c r="F121" s="222" t="s">
        <v>313</v>
      </c>
      <c r="G121" s="188" t="s">
        <v>362</v>
      </c>
      <c r="H121" s="231" t="s">
        <v>362</v>
      </c>
      <c r="I121" s="232" t="s">
        <v>314</v>
      </c>
      <c r="J121" s="233" t="s">
        <v>251</v>
      </c>
      <c r="K121" s="277" t="s">
        <v>252</v>
      </c>
      <c r="L121" s="286" t="s">
        <v>252</v>
      </c>
      <c r="M121" s="287"/>
      <c r="N121" s="216" t="s">
        <v>71</v>
      </c>
      <c r="O121" s="323">
        <v>0</v>
      </c>
      <c r="P121" s="151">
        <f>0</f>
        <v>0</v>
      </c>
      <c r="Q121" s="151">
        <f>0</f>
        <v>0</v>
      </c>
      <c r="R121" s="151">
        <f>0</f>
        <v>0</v>
      </c>
      <c r="S121" s="151">
        <v>1</v>
      </c>
      <c r="T121" s="151">
        <f>0</f>
        <v>0</v>
      </c>
      <c r="U121" s="151">
        <f>0</f>
        <v>0</v>
      </c>
      <c r="V121" s="151">
        <f>0</f>
        <v>0</v>
      </c>
      <c r="W121" s="151">
        <f>0</f>
        <v>0</v>
      </c>
      <c r="X121" s="151">
        <f>0</f>
        <v>0</v>
      </c>
      <c r="Y121" s="151">
        <f>0</f>
        <v>0</v>
      </c>
      <c r="Z121" s="200">
        <f>0</f>
        <v>0</v>
      </c>
      <c r="AA121" s="113">
        <f t="shared" si="3"/>
        <v>1</v>
      </c>
      <c r="AB121" s="199">
        <f>0</f>
        <v>0</v>
      </c>
      <c r="AC121" s="120">
        <f t="shared" si="4"/>
        <v>1</v>
      </c>
      <c r="AD121" s="170"/>
      <c r="AE121" s="101" t="s">
        <v>282</v>
      </c>
      <c r="AF121" s="171"/>
      <c r="AG121" s="188"/>
      <c r="AH121" s="187"/>
      <c r="AI121" s="88"/>
      <c r="AJ121" s="94" t="s">
        <v>499</v>
      </c>
      <c r="AK121" s="185" t="e">
        <f t="shared" si="5"/>
        <v>#VALUE!</v>
      </c>
      <c r="AL121" s="93"/>
      <c r="AM121" s="50"/>
      <c r="AN121" s="95"/>
      <c r="AO121" s="390"/>
      <c r="AP121" s="288"/>
    </row>
    <row r="122" spans="1:42" s="289" customFormat="1" ht="30.75" customHeight="1">
      <c r="A122" s="233">
        <v>117</v>
      </c>
      <c r="B122" s="277">
        <v>44903</v>
      </c>
      <c r="C122" s="286" t="s">
        <v>372</v>
      </c>
      <c r="D122" s="285" t="s">
        <v>1366</v>
      </c>
      <c r="E122" s="377" t="s">
        <v>312</v>
      </c>
      <c r="F122" s="222" t="s">
        <v>313</v>
      </c>
      <c r="G122" s="188" t="s">
        <v>1366</v>
      </c>
      <c r="H122" s="231" t="s">
        <v>1366</v>
      </c>
      <c r="I122" s="232" t="s">
        <v>314</v>
      </c>
      <c r="J122" s="233" t="s">
        <v>251</v>
      </c>
      <c r="K122" s="277" t="s">
        <v>252</v>
      </c>
      <c r="L122" s="286" t="s">
        <v>252</v>
      </c>
      <c r="M122" s="287"/>
      <c r="N122" s="216" t="s">
        <v>71</v>
      </c>
      <c r="O122" s="323">
        <v>0</v>
      </c>
      <c r="P122" s="151">
        <f>0</f>
        <v>0</v>
      </c>
      <c r="Q122" s="151">
        <f>0</f>
        <v>0</v>
      </c>
      <c r="R122" s="151">
        <f>0</f>
        <v>0</v>
      </c>
      <c r="S122" s="151">
        <v>2</v>
      </c>
      <c r="T122" s="151">
        <f>0</f>
        <v>0</v>
      </c>
      <c r="U122" s="151">
        <f>0</f>
        <v>0</v>
      </c>
      <c r="V122" s="151">
        <f>0</f>
        <v>0</v>
      </c>
      <c r="W122" s="151">
        <f>0</f>
        <v>0</v>
      </c>
      <c r="X122" s="151">
        <f>0</f>
        <v>0</v>
      </c>
      <c r="Y122" s="151">
        <f>0</f>
        <v>0</v>
      </c>
      <c r="Z122" s="200">
        <f>0</f>
        <v>0</v>
      </c>
      <c r="AA122" s="113">
        <f t="shared" si="3"/>
        <v>2</v>
      </c>
      <c r="AB122" s="199">
        <f>0</f>
        <v>0</v>
      </c>
      <c r="AC122" s="120">
        <f t="shared" si="4"/>
        <v>2</v>
      </c>
      <c r="AD122" s="170"/>
      <c r="AE122" s="101" t="s">
        <v>282</v>
      </c>
      <c r="AF122" s="171"/>
      <c r="AG122" s="188"/>
      <c r="AH122" s="187"/>
      <c r="AI122" s="88"/>
      <c r="AJ122" s="94" t="s">
        <v>499</v>
      </c>
      <c r="AK122" s="185" t="e">
        <f t="shared" si="5"/>
        <v>#VALUE!</v>
      </c>
      <c r="AL122" s="93"/>
      <c r="AM122" s="50"/>
      <c r="AN122" s="95"/>
      <c r="AO122" s="184"/>
    </row>
    <row r="123" spans="1:42" s="289" customFormat="1" ht="30.75" customHeight="1">
      <c r="A123" s="225">
        <v>118</v>
      </c>
      <c r="B123" s="277">
        <v>44903</v>
      </c>
      <c r="C123" s="286" t="s">
        <v>372</v>
      </c>
      <c r="D123" s="285">
        <v>9304702</v>
      </c>
      <c r="E123" s="377" t="s">
        <v>338</v>
      </c>
      <c r="F123" s="222" t="s">
        <v>363</v>
      </c>
      <c r="G123" s="188">
        <v>9304702</v>
      </c>
      <c r="H123" s="231">
        <v>9304702</v>
      </c>
      <c r="I123" s="232" t="s">
        <v>250</v>
      </c>
      <c r="J123" s="233" t="s">
        <v>251</v>
      </c>
      <c r="K123" s="277" t="s">
        <v>252</v>
      </c>
      <c r="L123" s="286" t="s">
        <v>252</v>
      </c>
      <c r="M123" s="287"/>
      <c r="N123" s="216" t="s">
        <v>71</v>
      </c>
      <c r="O123" s="323">
        <v>0</v>
      </c>
      <c r="P123" s="151">
        <f>0</f>
        <v>0</v>
      </c>
      <c r="Q123" s="151">
        <f>0</f>
        <v>0</v>
      </c>
      <c r="R123" s="151">
        <f>0</f>
        <v>0</v>
      </c>
      <c r="S123" s="151">
        <v>2</v>
      </c>
      <c r="T123" s="151">
        <f>0</f>
        <v>0</v>
      </c>
      <c r="U123" s="151">
        <f>0</f>
        <v>0</v>
      </c>
      <c r="V123" s="151">
        <f>0</f>
        <v>0</v>
      </c>
      <c r="W123" s="151">
        <f>0</f>
        <v>0</v>
      </c>
      <c r="X123" s="151">
        <f>0</f>
        <v>0</v>
      </c>
      <c r="Y123" s="151">
        <f>0</f>
        <v>0</v>
      </c>
      <c r="Z123" s="200">
        <f>0</f>
        <v>0</v>
      </c>
      <c r="AA123" s="113">
        <f t="shared" si="3"/>
        <v>2</v>
      </c>
      <c r="AB123" s="199">
        <f>0</f>
        <v>0</v>
      </c>
      <c r="AC123" s="120">
        <f t="shared" si="4"/>
        <v>2</v>
      </c>
      <c r="AD123" s="170"/>
      <c r="AE123" s="101" t="s">
        <v>282</v>
      </c>
      <c r="AF123" s="171"/>
      <c r="AG123" s="188"/>
      <c r="AH123" s="187"/>
      <c r="AI123" s="88"/>
      <c r="AJ123" s="94" t="s">
        <v>499</v>
      </c>
      <c r="AK123" s="185" t="e">
        <f t="shared" si="5"/>
        <v>#VALUE!</v>
      </c>
      <c r="AL123" s="93"/>
      <c r="AM123" s="50"/>
      <c r="AN123" s="95"/>
      <c r="AO123" s="390"/>
    </row>
    <row r="124" spans="1:42" s="291" customFormat="1" ht="30.75" customHeight="1">
      <c r="A124" s="225">
        <v>119</v>
      </c>
      <c r="B124" s="277">
        <v>44903</v>
      </c>
      <c r="C124" s="286" t="s">
        <v>372</v>
      </c>
      <c r="D124" s="285">
        <v>92001</v>
      </c>
      <c r="E124" s="377" t="s">
        <v>322</v>
      </c>
      <c r="F124" s="222" t="s">
        <v>364</v>
      </c>
      <c r="G124" s="188">
        <v>92001</v>
      </c>
      <c r="H124" s="231">
        <v>92001</v>
      </c>
      <c r="I124" s="232" t="s">
        <v>250</v>
      </c>
      <c r="J124" s="233" t="s">
        <v>251</v>
      </c>
      <c r="K124" s="277" t="s">
        <v>252</v>
      </c>
      <c r="L124" s="286" t="s">
        <v>252</v>
      </c>
      <c r="M124" s="287"/>
      <c r="N124" s="216" t="s">
        <v>71</v>
      </c>
      <c r="O124" s="323">
        <v>0</v>
      </c>
      <c r="P124" s="151">
        <f>0</f>
        <v>0</v>
      </c>
      <c r="Q124" s="151">
        <f>0</f>
        <v>0</v>
      </c>
      <c r="R124" s="151">
        <f>0</f>
        <v>0</v>
      </c>
      <c r="S124" s="151">
        <v>1</v>
      </c>
      <c r="T124" s="151">
        <f>0</f>
        <v>0</v>
      </c>
      <c r="U124" s="151">
        <f>0</f>
        <v>0</v>
      </c>
      <c r="V124" s="151">
        <f>0</f>
        <v>0</v>
      </c>
      <c r="W124" s="151">
        <f>0</f>
        <v>0</v>
      </c>
      <c r="X124" s="151">
        <f>0</f>
        <v>0</v>
      </c>
      <c r="Y124" s="151">
        <f>0</f>
        <v>0</v>
      </c>
      <c r="Z124" s="200">
        <f>0</f>
        <v>0</v>
      </c>
      <c r="AA124" s="113">
        <f t="shared" si="3"/>
        <v>1</v>
      </c>
      <c r="AB124" s="199">
        <f>0</f>
        <v>0</v>
      </c>
      <c r="AC124" s="120">
        <f t="shared" si="4"/>
        <v>1</v>
      </c>
      <c r="AD124" s="170"/>
      <c r="AE124" s="101" t="s">
        <v>282</v>
      </c>
      <c r="AF124" s="171" t="s">
        <v>292</v>
      </c>
      <c r="AG124" s="188"/>
      <c r="AH124" s="187"/>
      <c r="AI124" s="88"/>
      <c r="AJ124" s="94" t="s">
        <v>499</v>
      </c>
      <c r="AK124" s="185" t="e">
        <f t="shared" si="5"/>
        <v>#VALUE!</v>
      </c>
      <c r="AL124" s="93"/>
      <c r="AM124" s="50"/>
      <c r="AN124" s="95"/>
      <c r="AO124" s="390"/>
    </row>
    <row r="125" spans="1:42" s="291" customFormat="1" ht="30.75" customHeight="1">
      <c r="A125" s="225">
        <v>120</v>
      </c>
      <c r="B125" s="234">
        <v>44694</v>
      </c>
      <c r="C125" s="235" t="s">
        <v>450</v>
      </c>
      <c r="D125" s="214"/>
      <c r="E125" s="217"/>
      <c r="F125" s="292" t="s">
        <v>166</v>
      </c>
      <c r="G125" s="293"/>
      <c r="H125" s="294" t="s">
        <v>167</v>
      </c>
      <c r="I125" s="295" t="s">
        <v>168</v>
      </c>
      <c r="J125" s="210"/>
      <c r="K125" s="241"/>
      <c r="L125" s="171"/>
      <c r="M125" s="171" t="s">
        <v>451</v>
      </c>
      <c r="N125" s="216" t="s">
        <v>80</v>
      </c>
      <c r="O125" s="323">
        <v>1</v>
      </c>
      <c r="P125" s="151">
        <f>0</f>
        <v>0</v>
      </c>
      <c r="Q125" s="151">
        <f>0</f>
        <v>0</v>
      </c>
      <c r="R125" s="151">
        <f>0</f>
        <v>0</v>
      </c>
      <c r="S125" s="151">
        <f>0</f>
        <v>0</v>
      </c>
      <c r="T125" s="151">
        <f>0</f>
        <v>0</v>
      </c>
      <c r="U125" s="151">
        <f>0</f>
        <v>0</v>
      </c>
      <c r="V125" s="151">
        <f>0</f>
        <v>0</v>
      </c>
      <c r="W125" s="151">
        <f>0</f>
        <v>0</v>
      </c>
      <c r="X125" s="151">
        <f>0</f>
        <v>0</v>
      </c>
      <c r="Y125" s="151">
        <f>0</f>
        <v>0</v>
      </c>
      <c r="Z125" s="200">
        <f>0</f>
        <v>0</v>
      </c>
      <c r="AA125" s="113">
        <f t="shared" si="3"/>
        <v>1</v>
      </c>
      <c r="AB125" s="199">
        <f>0</f>
        <v>0</v>
      </c>
      <c r="AC125" s="120">
        <f t="shared" si="4"/>
        <v>1</v>
      </c>
      <c r="AD125" s="170">
        <v>44694</v>
      </c>
      <c r="AE125" s="187" t="s">
        <v>239</v>
      </c>
      <c r="AF125" s="171"/>
      <c r="AG125" s="102" t="s">
        <v>432</v>
      </c>
      <c r="AH125" s="186"/>
      <c r="AI125" s="88"/>
      <c r="AJ125" s="89">
        <v>3</v>
      </c>
      <c r="AK125" s="189">
        <f t="shared" si="5"/>
        <v>-2</v>
      </c>
      <c r="AL125" s="91" t="s">
        <v>449</v>
      </c>
      <c r="AM125" s="565"/>
      <c r="AN125" s="567"/>
      <c r="AO125" s="92"/>
    </row>
    <row r="126" spans="1:42" s="107" customFormat="1" ht="30.75" customHeight="1">
      <c r="A126" s="233">
        <v>121</v>
      </c>
      <c r="B126" s="277">
        <v>44903</v>
      </c>
      <c r="C126" s="286" t="s">
        <v>372</v>
      </c>
      <c r="D126" s="285" t="s">
        <v>365</v>
      </c>
      <c r="E126" s="377" t="s">
        <v>328</v>
      </c>
      <c r="F126" s="222" t="s">
        <v>366</v>
      </c>
      <c r="G126" s="188" t="s">
        <v>365</v>
      </c>
      <c r="H126" s="231" t="s">
        <v>365</v>
      </c>
      <c r="I126" s="232" t="s">
        <v>250</v>
      </c>
      <c r="J126" s="225" t="s">
        <v>251</v>
      </c>
      <c r="K126" s="277" t="s">
        <v>252</v>
      </c>
      <c r="L126" s="286" t="s">
        <v>252</v>
      </c>
      <c r="M126" s="287"/>
      <c r="N126" s="216" t="s">
        <v>71</v>
      </c>
      <c r="O126" s="323">
        <v>0</v>
      </c>
      <c r="P126" s="151">
        <f>0</f>
        <v>0</v>
      </c>
      <c r="Q126" s="151">
        <f>0</f>
        <v>0</v>
      </c>
      <c r="R126" s="151">
        <f>0</f>
        <v>0</v>
      </c>
      <c r="S126" s="151">
        <v>2</v>
      </c>
      <c r="T126" s="151">
        <f>0</f>
        <v>0</v>
      </c>
      <c r="U126" s="151">
        <f>0</f>
        <v>0</v>
      </c>
      <c r="V126" s="151">
        <f>0</f>
        <v>0</v>
      </c>
      <c r="W126" s="151">
        <f>0</f>
        <v>0</v>
      </c>
      <c r="X126" s="151">
        <f>0</f>
        <v>0</v>
      </c>
      <c r="Y126" s="151">
        <f>0</f>
        <v>0</v>
      </c>
      <c r="Z126" s="200">
        <f>0</f>
        <v>0</v>
      </c>
      <c r="AA126" s="113">
        <f t="shared" si="3"/>
        <v>2</v>
      </c>
      <c r="AB126" s="199">
        <f>0</f>
        <v>0</v>
      </c>
      <c r="AC126" s="120">
        <f t="shared" si="4"/>
        <v>2</v>
      </c>
      <c r="AD126" s="170"/>
      <c r="AE126" s="101" t="s">
        <v>282</v>
      </c>
      <c r="AF126" s="171"/>
      <c r="AG126" s="188"/>
      <c r="AH126" s="187"/>
      <c r="AI126" s="88"/>
      <c r="AJ126" s="94" t="s">
        <v>499</v>
      </c>
      <c r="AK126" s="185" t="e">
        <f t="shared" si="5"/>
        <v>#VALUE!</v>
      </c>
      <c r="AL126" s="93"/>
      <c r="AM126" s="50"/>
      <c r="AN126" s="95"/>
      <c r="AO126" s="390"/>
    </row>
    <row r="127" spans="1:42" s="107" customFormat="1" ht="30.75" customHeight="1">
      <c r="A127" s="225">
        <v>122</v>
      </c>
      <c r="B127" s="277">
        <v>44903</v>
      </c>
      <c r="C127" s="286" t="s">
        <v>372</v>
      </c>
      <c r="D127" s="285">
        <v>91046</v>
      </c>
      <c r="E127" s="218" t="s">
        <v>328</v>
      </c>
      <c r="F127" s="222" t="s">
        <v>367</v>
      </c>
      <c r="G127" s="188">
        <v>91046</v>
      </c>
      <c r="H127" s="231">
        <v>91046</v>
      </c>
      <c r="I127" s="232" t="s">
        <v>250</v>
      </c>
      <c r="J127" s="225" t="s">
        <v>251</v>
      </c>
      <c r="K127" s="277" t="s">
        <v>252</v>
      </c>
      <c r="L127" s="286" t="s">
        <v>252</v>
      </c>
      <c r="M127" s="287"/>
      <c r="N127" s="216" t="s">
        <v>71</v>
      </c>
      <c r="O127" s="323">
        <v>0</v>
      </c>
      <c r="P127" s="151">
        <f>0</f>
        <v>0</v>
      </c>
      <c r="Q127" s="151">
        <f>0</f>
        <v>0</v>
      </c>
      <c r="R127" s="151">
        <f>0</f>
        <v>0</v>
      </c>
      <c r="S127" s="151">
        <v>2</v>
      </c>
      <c r="T127" s="151">
        <f>0</f>
        <v>0</v>
      </c>
      <c r="U127" s="151">
        <f>0</f>
        <v>0</v>
      </c>
      <c r="V127" s="151">
        <f>0</f>
        <v>0</v>
      </c>
      <c r="W127" s="151">
        <f>0</f>
        <v>0</v>
      </c>
      <c r="X127" s="151">
        <f>0</f>
        <v>0</v>
      </c>
      <c r="Y127" s="151">
        <f>0</f>
        <v>0</v>
      </c>
      <c r="Z127" s="200">
        <f>0</f>
        <v>0</v>
      </c>
      <c r="AA127" s="113">
        <f t="shared" si="3"/>
        <v>2</v>
      </c>
      <c r="AB127" s="199">
        <f>0</f>
        <v>0</v>
      </c>
      <c r="AC127" s="120">
        <f t="shared" si="4"/>
        <v>2</v>
      </c>
      <c r="AD127" s="170"/>
      <c r="AE127" s="101" t="s">
        <v>282</v>
      </c>
      <c r="AF127" s="130" t="s">
        <v>292</v>
      </c>
      <c r="AG127" s="188"/>
      <c r="AH127" s="187"/>
      <c r="AI127" s="88"/>
      <c r="AJ127" s="94" t="s">
        <v>499</v>
      </c>
      <c r="AK127" s="185" t="e">
        <f t="shared" si="5"/>
        <v>#VALUE!</v>
      </c>
      <c r="AL127" s="93"/>
      <c r="AM127" s="50"/>
      <c r="AN127" s="95"/>
      <c r="AO127" s="390"/>
    </row>
    <row r="128" spans="1:42" s="288" customFormat="1" ht="30.75" customHeight="1">
      <c r="A128" s="225">
        <v>123</v>
      </c>
      <c r="B128" s="277">
        <v>44903</v>
      </c>
      <c r="C128" s="286" t="s">
        <v>372</v>
      </c>
      <c r="D128" s="285">
        <v>3842530231</v>
      </c>
      <c r="E128" s="217">
        <v>0</v>
      </c>
      <c r="F128" s="222" t="s">
        <v>370</v>
      </c>
      <c r="G128" s="188">
        <v>3842530231</v>
      </c>
      <c r="H128" s="231">
        <v>3842530231</v>
      </c>
      <c r="I128" s="232" t="s">
        <v>494</v>
      </c>
      <c r="J128" s="225" t="s">
        <v>251</v>
      </c>
      <c r="K128" s="277" t="s">
        <v>252</v>
      </c>
      <c r="L128" s="286" t="s">
        <v>252</v>
      </c>
      <c r="M128" s="287"/>
      <c r="N128" s="216" t="s">
        <v>71</v>
      </c>
      <c r="O128" s="391">
        <v>0</v>
      </c>
      <c r="P128" s="77">
        <f>0</f>
        <v>0</v>
      </c>
      <c r="Q128" s="77">
        <f>0</f>
        <v>0</v>
      </c>
      <c r="R128" s="77">
        <f>0</f>
        <v>0</v>
      </c>
      <c r="S128" s="77">
        <v>2</v>
      </c>
      <c r="T128" s="77">
        <f>0</f>
        <v>0</v>
      </c>
      <c r="U128" s="77">
        <f>0</f>
        <v>0</v>
      </c>
      <c r="V128" s="77">
        <f>0</f>
        <v>0</v>
      </c>
      <c r="W128" s="77">
        <f>0</f>
        <v>0</v>
      </c>
      <c r="X128" s="77">
        <f>0</f>
        <v>0</v>
      </c>
      <c r="Y128" s="77">
        <f>0</f>
        <v>0</v>
      </c>
      <c r="Z128" s="392">
        <f>0</f>
        <v>0</v>
      </c>
      <c r="AA128" s="131">
        <f t="shared" si="3"/>
        <v>2</v>
      </c>
      <c r="AB128" s="158">
        <f>0</f>
        <v>0</v>
      </c>
      <c r="AC128" s="145">
        <f t="shared" si="4"/>
        <v>2</v>
      </c>
      <c r="AD128" s="170"/>
      <c r="AE128" s="187" t="s">
        <v>282</v>
      </c>
      <c r="AF128" s="171" t="s">
        <v>292</v>
      </c>
      <c r="AG128" s="188"/>
      <c r="AH128" s="187"/>
      <c r="AI128" s="88"/>
      <c r="AJ128" s="89" t="s">
        <v>499</v>
      </c>
      <c r="AK128" s="189" t="e">
        <f t="shared" si="5"/>
        <v>#VALUE!</v>
      </c>
      <c r="AL128" s="88"/>
      <c r="AM128" s="83"/>
      <c r="AN128" s="90"/>
      <c r="AO128" s="180"/>
    </row>
    <row r="129" spans="1:41" s="107" customFormat="1" ht="30.75" customHeight="1">
      <c r="A129" s="225">
        <v>124</v>
      </c>
      <c r="B129" s="277">
        <v>44903</v>
      </c>
      <c r="C129" s="286" t="s">
        <v>372</v>
      </c>
      <c r="D129" s="285" t="s">
        <v>374</v>
      </c>
      <c r="E129" s="377" t="s">
        <v>312</v>
      </c>
      <c r="F129" s="222" t="s">
        <v>1367</v>
      </c>
      <c r="G129" s="188" t="s">
        <v>374</v>
      </c>
      <c r="H129" s="231" t="s">
        <v>374</v>
      </c>
      <c r="I129" s="232" t="s">
        <v>314</v>
      </c>
      <c r="J129" s="225" t="s">
        <v>251</v>
      </c>
      <c r="K129" s="277" t="s">
        <v>252</v>
      </c>
      <c r="L129" s="286" t="s">
        <v>252</v>
      </c>
      <c r="M129" s="287"/>
      <c r="N129" s="216" t="s">
        <v>71</v>
      </c>
      <c r="O129" s="323">
        <v>0</v>
      </c>
      <c r="P129" s="151">
        <f>0</f>
        <v>0</v>
      </c>
      <c r="Q129" s="151">
        <f>0</f>
        <v>0</v>
      </c>
      <c r="R129" s="151">
        <f>0</f>
        <v>0</v>
      </c>
      <c r="S129" s="151">
        <v>1</v>
      </c>
      <c r="T129" s="151">
        <f>0</f>
        <v>0</v>
      </c>
      <c r="U129" s="151">
        <f>0</f>
        <v>0</v>
      </c>
      <c r="V129" s="151">
        <f>0</f>
        <v>0</v>
      </c>
      <c r="W129" s="151">
        <f>0</f>
        <v>0</v>
      </c>
      <c r="X129" s="151">
        <f>0</f>
        <v>0</v>
      </c>
      <c r="Y129" s="151">
        <f>0</f>
        <v>0</v>
      </c>
      <c r="Z129" s="200">
        <f>0</f>
        <v>0</v>
      </c>
      <c r="AA129" s="113">
        <f t="shared" si="3"/>
        <v>1</v>
      </c>
      <c r="AB129" s="199">
        <f>0</f>
        <v>0</v>
      </c>
      <c r="AC129" s="120">
        <f t="shared" si="4"/>
        <v>1</v>
      </c>
      <c r="AD129" s="170"/>
      <c r="AE129" s="101" t="s">
        <v>282</v>
      </c>
      <c r="AF129" s="130" t="s">
        <v>501</v>
      </c>
      <c r="AG129" s="188"/>
      <c r="AH129" s="187"/>
      <c r="AI129" s="88"/>
      <c r="AJ129" s="94"/>
      <c r="AK129" s="185">
        <f t="shared" si="5"/>
        <v>1</v>
      </c>
      <c r="AL129" s="93"/>
      <c r="AM129" s="50"/>
      <c r="AN129" s="95"/>
      <c r="AO129" s="390"/>
    </row>
    <row r="130" spans="1:41" s="107" customFormat="1" ht="30.75" customHeight="1">
      <c r="A130" s="233">
        <v>125</v>
      </c>
      <c r="B130" s="277">
        <v>44903</v>
      </c>
      <c r="C130" s="286" t="s">
        <v>372</v>
      </c>
      <c r="D130" s="285" t="s">
        <v>375</v>
      </c>
      <c r="E130" s="217" t="s">
        <v>322</v>
      </c>
      <c r="F130" s="222" t="s">
        <v>320</v>
      </c>
      <c r="G130" s="188" t="s">
        <v>375</v>
      </c>
      <c r="H130" s="231" t="s">
        <v>375</v>
      </c>
      <c r="I130" s="232" t="s">
        <v>318</v>
      </c>
      <c r="J130" s="225" t="s">
        <v>251</v>
      </c>
      <c r="K130" s="277" t="s">
        <v>252</v>
      </c>
      <c r="L130" s="286" t="s">
        <v>252</v>
      </c>
      <c r="M130" s="287"/>
      <c r="N130" s="216" t="s">
        <v>71</v>
      </c>
      <c r="O130" s="323">
        <v>0</v>
      </c>
      <c r="P130" s="151">
        <f>0</f>
        <v>0</v>
      </c>
      <c r="Q130" s="151">
        <f>0</f>
        <v>0</v>
      </c>
      <c r="R130" s="151">
        <f>0</f>
        <v>0</v>
      </c>
      <c r="S130" s="151">
        <v>1</v>
      </c>
      <c r="T130" s="151">
        <f>0</f>
        <v>0</v>
      </c>
      <c r="U130" s="151">
        <f>0</f>
        <v>0</v>
      </c>
      <c r="V130" s="151">
        <f>0</f>
        <v>0</v>
      </c>
      <c r="W130" s="151">
        <f>0</f>
        <v>0</v>
      </c>
      <c r="X130" s="151">
        <f>0</f>
        <v>0</v>
      </c>
      <c r="Y130" s="151">
        <f>0</f>
        <v>0</v>
      </c>
      <c r="Z130" s="200">
        <f>0</f>
        <v>0</v>
      </c>
      <c r="AA130" s="113">
        <f t="shared" si="3"/>
        <v>1</v>
      </c>
      <c r="AB130" s="199">
        <v>2</v>
      </c>
      <c r="AC130" s="120">
        <f t="shared" si="4"/>
        <v>-1</v>
      </c>
      <c r="AD130" s="170">
        <v>44911</v>
      </c>
      <c r="AE130" s="187" t="s">
        <v>282</v>
      </c>
      <c r="AF130" s="553" t="s">
        <v>1339</v>
      </c>
      <c r="AG130" s="188"/>
      <c r="AH130" s="187"/>
      <c r="AI130" s="88"/>
      <c r="AJ130" s="89">
        <v>1</v>
      </c>
      <c r="AK130" s="189">
        <f t="shared" si="5"/>
        <v>-2</v>
      </c>
      <c r="AL130" s="88" t="s">
        <v>580</v>
      </c>
      <c r="AM130" s="83"/>
      <c r="AN130" s="90"/>
      <c r="AO130" s="180"/>
    </row>
    <row r="131" spans="1:41" s="107" customFormat="1" ht="30.75" customHeight="1">
      <c r="A131" s="225">
        <v>126</v>
      </c>
      <c r="B131" s="277">
        <v>44903</v>
      </c>
      <c r="C131" s="286" t="s">
        <v>372</v>
      </c>
      <c r="D131" s="285" t="s">
        <v>376</v>
      </c>
      <c r="E131" s="217" t="s">
        <v>322</v>
      </c>
      <c r="F131" s="222" t="s">
        <v>377</v>
      </c>
      <c r="G131" s="188" t="s">
        <v>376</v>
      </c>
      <c r="H131" s="231" t="s">
        <v>376</v>
      </c>
      <c r="I131" s="232" t="s">
        <v>318</v>
      </c>
      <c r="J131" s="225" t="s">
        <v>251</v>
      </c>
      <c r="K131" s="277" t="s">
        <v>252</v>
      </c>
      <c r="L131" s="286" t="s">
        <v>252</v>
      </c>
      <c r="M131" s="287"/>
      <c r="N131" s="216" t="s">
        <v>71</v>
      </c>
      <c r="O131" s="323">
        <v>0</v>
      </c>
      <c r="P131" s="151">
        <f>0</f>
        <v>0</v>
      </c>
      <c r="Q131" s="151">
        <f>0</f>
        <v>0</v>
      </c>
      <c r="R131" s="151">
        <f>0</f>
        <v>0</v>
      </c>
      <c r="S131" s="151">
        <v>1</v>
      </c>
      <c r="T131" s="151">
        <f>0</f>
        <v>0</v>
      </c>
      <c r="U131" s="151">
        <f>0</f>
        <v>0</v>
      </c>
      <c r="V131" s="151">
        <f>0</f>
        <v>0</v>
      </c>
      <c r="W131" s="151">
        <f>0</f>
        <v>0</v>
      </c>
      <c r="X131" s="151">
        <f>0</f>
        <v>0</v>
      </c>
      <c r="Y131" s="151">
        <f>0</f>
        <v>0</v>
      </c>
      <c r="Z131" s="200">
        <f>0</f>
        <v>0</v>
      </c>
      <c r="AA131" s="113">
        <f t="shared" si="3"/>
        <v>1</v>
      </c>
      <c r="AB131" s="199">
        <v>2</v>
      </c>
      <c r="AC131" s="120">
        <f t="shared" si="4"/>
        <v>-1</v>
      </c>
      <c r="AD131" s="170">
        <v>44911</v>
      </c>
      <c r="AE131" s="187" t="s">
        <v>282</v>
      </c>
      <c r="AF131" s="553" t="s">
        <v>1339</v>
      </c>
      <c r="AG131" s="188"/>
      <c r="AH131" s="187"/>
      <c r="AI131" s="88"/>
      <c r="AJ131" s="89"/>
      <c r="AK131" s="189">
        <f t="shared" si="5"/>
        <v>-1</v>
      </c>
      <c r="AL131" s="88" t="s">
        <v>580</v>
      </c>
      <c r="AM131" s="83"/>
      <c r="AN131" s="90"/>
      <c r="AO131" s="180"/>
    </row>
    <row r="132" spans="1:41" s="107" customFormat="1" ht="30.75" customHeight="1">
      <c r="A132" s="225">
        <v>127</v>
      </c>
      <c r="B132" s="277">
        <v>44903</v>
      </c>
      <c r="C132" s="286" t="s">
        <v>372</v>
      </c>
      <c r="D132" s="285" t="s">
        <v>378</v>
      </c>
      <c r="E132" s="217" t="s">
        <v>328</v>
      </c>
      <c r="F132" s="222" t="s">
        <v>1361</v>
      </c>
      <c r="G132" s="188" t="s">
        <v>378</v>
      </c>
      <c r="H132" s="231" t="s">
        <v>378</v>
      </c>
      <c r="I132" s="232" t="s">
        <v>354</v>
      </c>
      <c r="J132" s="225" t="s">
        <v>251</v>
      </c>
      <c r="K132" s="277"/>
      <c r="L132" s="286"/>
      <c r="M132" s="287" t="s">
        <v>356</v>
      </c>
      <c r="N132" s="216" t="s">
        <v>71</v>
      </c>
      <c r="O132" s="323">
        <v>0</v>
      </c>
      <c r="P132" s="151">
        <f>0</f>
        <v>0</v>
      </c>
      <c r="Q132" s="151">
        <f>0</f>
        <v>0</v>
      </c>
      <c r="R132" s="151">
        <f>0</f>
        <v>0</v>
      </c>
      <c r="S132" s="151">
        <v>2</v>
      </c>
      <c r="T132" s="151">
        <f>0</f>
        <v>0</v>
      </c>
      <c r="U132" s="151">
        <f>0</f>
        <v>0</v>
      </c>
      <c r="V132" s="151">
        <f>0</f>
        <v>0</v>
      </c>
      <c r="W132" s="151">
        <f>0</f>
        <v>0</v>
      </c>
      <c r="X132" s="151">
        <f>0</f>
        <v>0</v>
      </c>
      <c r="Y132" s="151">
        <f>0</f>
        <v>0</v>
      </c>
      <c r="Z132" s="200">
        <f>0</f>
        <v>0</v>
      </c>
      <c r="AA132" s="113">
        <f t="shared" si="3"/>
        <v>2</v>
      </c>
      <c r="AB132" s="199">
        <v>2</v>
      </c>
      <c r="AC132" s="120">
        <f t="shared" si="4"/>
        <v>0</v>
      </c>
      <c r="AD132" s="170"/>
      <c r="AE132" s="187" t="s">
        <v>239</v>
      </c>
      <c r="AF132" s="130" t="s">
        <v>292</v>
      </c>
      <c r="AG132" s="188"/>
      <c r="AH132" s="187"/>
      <c r="AI132" s="88"/>
      <c r="AJ132" s="89" t="s">
        <v>295</v>
      </c>
      <c r="AK132" s="189" t="e">
        <f t="shared" si="5"/>
        <v>#VALUE!</v>
      </c>
      <c r="AL132" s="88" t="s">
        <v>498</v>
      </c>
      <c r="AM132" s="83"/>
      <c r="AN132" s="90"/>
      <c r="AO132" s="180"/>
    </row>
    <row r="133" spans="1:41" s="107" customFormat="1" ht="30.75" customHeight="1">
      <c r="A133" s="225">
        <v>128</v>
      </c>
      <c r="B133" s="277">
        <v>44903</v>
      </c>
      <c r="C133" s="286" t="s">
        <v>372</v>
      </c>
      <c r="D133" s="285" t="s">
        <v>379</v>
      </c>
      <c r="E133" s="217" t="s">
        <v>380</v>
      </c>
      <c r="F133" s="222" t="s">
        <v>381</v>
      </c>
      <c r="G133" s="188" t="s">
        <v>379</v>
      </c>
      <c r="H133" s="231" t="s">
        <v>379</v>
      </c>
      <c r="I133" s="232" t="s">
        <v>314</v>
      </c>
      <c r="J133" s="225" t="s">
        <v>251</v>
      </c>
      <c r="K133" s="277"/>
      <c r="L133" s="286"/>
      <c r="M133" s="287"/>
      <c r="N133" s="216" t="s">
        <v>71</v>
      </c>
      <c r="O133" s="323">
        <v>0</v>
      </c>
      <c r="P133" s="151">
        <f>0</f>
        <v>0</v>
      </c>
      <c r="Q133" s="151">
        <f>0</f>
        <v>0</v>
      </c>
      <c r="R133" s="151">
        <f>0</f>
        <v>0</v>
      </c>
      <c r="S133" s="151">
        <v>1</v>
      </c>
      <c r="T133" s="151">
        <f>0</f>
        <v>0</v>
      </c>
      <c r="U133" s="151">
        <f>0</f>
        <v>0</v>
      </c>
      <c r="V133" s="151">
        <f>0</f>
        <v>0</v>
      </c>
      <c r="W133" s="151">
        <f>0</f>
        <v>0</v>
      </c>
      <c r="X133" s="151">
        <f>0</f>
        <v>0</v>
      </c>
      <c r="Y133" s="151">
        <f>0</f>
        <v>0</v>
      </c>
      <c r="Z133" s="200">
        <f>0</f>
        <v>0</v>
      </c>
      <c r="AA133" s="113">
        <f t="shared" si="3"/>
        <v>1</v>
      </c>
      <c r="AB133" s="199">
        <f>0</f>
        <v>0</v>
      </c>
      <c r="AC133" s="120">
        <f t="shared" si="4"/>
        <v>1</v>
      </c>
      <c r="AD133" s="170"/>
      <c r="AE133" s="101" t="s">
        <v>282</v>
      </c>
      <c r="AF133" s="171" t="s">
        <v>292</v>
      </c>
      <c r="AG133" s="188"/>
      <c r="AH133" s="187"/>
      <c r="AI133" s="88"/>
      <c r="AJ133" s="94" t="s">
        <v>499</v>
      </c>
      <c r="AK133" s="185" t="e">
        <f t="shared" si="5"/>
        <v>#VALUE!</v>
      </c>
      <c r="AL133" s="93"/>
      <c r="AM133" s="50"/>
      <c r="AN133" s="95"/>
      <c r="AO133" s="390"/>
    </row>
    <row r="134" spans="1:41" s="107" customFormat="1" ht="30.75" customHeight="1">
      <c r="A134" s="233">
        <v>129</v>
      </c>
      <c r="B134" s="277">
        <v>44903</v>
      </c>
      <c r="C134" s="286" t="s">
        <v>372</v>
      </c>
      <c r="D134" s="285" t="s">
        <v>382</v>
      </c>
      <c r="E134" s="377" t="s">
        <v>338</v>
      </c>
      <c r="F134" s="222" t="s">
        <v>383</v>
      </c>
      <c r="G134" s="188" t="s">
        <v>382</v>
      </c>
      <c r="H134" s="231" t="s">
        <v>382</v>
      </c>
      <c r="I134" s="232" t="s">
        <v>314</v>
      </c>
      <c r="J134" s="225" t="s">
        <v>251</v>
      </c>
      <c r="K134" s="277"/>
      <c r="L134" s="286"/>
      <c r="M134" s="287"/>
      <c r="N134" s="216" t="s">
        <v>71</v>
      </c>
      <c r="O134" s="323">
        <v>0</v>
      </c>
      <c r="P134" s="151">
        <f>0</f>
        <v>0</v>
      </c>
      <c r="Q134" s="151">
        <f>0</f>
        <v>0</v>
      </c>
      <c r="R134" s="151">
        <f>0</f>
        <v>0</v>
      </c>
      <c r="S134" s="151">
        <v>2</v>
      </c>
      <c r="T134" s="151">
        <f>0</f>
        <v>0</v>
      </c>
      <c r="U134" s="151">
        <f>0</f>
        <v>0</v>
      </c>
      <c r="V134" s="151">
        <f>0</f>
        <v>0</v>
      </c>
      <c r="W134" s="151">
        <f>0</f>
        <v>0</v>
      </c>
      <c r="X134" s="151">
        <f>0</f>
        <v>0</v>
      </c>
      <c r="Y134" s="151">
        <f>0</f>
        <v>0</v>
      </c>
      <c r="Z134" s="200">
        <f>0</f>
        <v>0</v>
      </c>
      <c r="AA134" s="113">
        <f t="shared" ref="AA134:AA197" si="6">SUM(O134:Z134)</f>
        <v>2</v>
      </c>
      <c r="AB134" s="199">
        <f>0</f>
        <v>0</v>
      </c>
      <c r="AC134" s="120">
        <f t="shared" ref="AC134:AC197" si="7">AA134-AB134</f>
        <v>2</v>
      </c>
      <c r="AD134" s="170"/>
      <c r="AE134" s="101" t="s">
        <v>282</v>
      </c>
      <c r="AF134" s="171" t="s">
        <v>292</v>
      </c>
      <c r="AG134" s="188"/>
      <c r="AH134" s="187"/>
      <c r="AI134" s="88"/>
      <c r="AJ134" s="94" t="s">
        <v>499</v>
      </c>
      <c r="AK134" s="185" t="e">
        <f t="shared" ref="AK134:AK197" si="8">AC134-AJ134</f>
        <v>#VALUE!</v>
      </c>
      <c r="AL134" s="93"/>
      <c r="AM134" s="50"/>
      <c r="AN134" s="95"/>
      <c r="AO134" s="390"/>
    </row>
    <row r="135" spans="1:41" s="288" customFormat="1" ht="30.75" customHeight="1">
      <c r="A135" s="225">
        <v>130</v>
      </c>
      <c r="B135" s="277">
        <v>44903</v>
      </c>
      <c r="C135" s="286" t="s">
        <v>372</v>
      </c>
      <c r="D135" s="285" t="s">
        <v>384</v>
      </c>
      <c r="E135" s="377" t="s">
        <v>312</v>
      </c>
      <c r="F135" s="222" t="s">
        <v>313</v>
      </c>
      <c r="G135" s="188" t="s">
        <v>384</v>
      </c>
      <c r="H135" s="231" t="s">
        <v>384</v>
      </c>
      <c r="I135" s="232" t="s">
        <v>314</v>
      </c>
      <c r="J135" s="225" t="s">
        <v>251</v>
      </c>
      <c r="K135" s="277"/>
      <c r="L135" s="286"/>
      <c r="M135" s="287"/>
      <c r="N135" s="216" t="s">
        <v>71</v>
      </c>
      <c r="O135" s="323">
        <v>0</v>
      </c>
      <c r="P135" s="151">
        <f>0</f>
        <v>0</v>
      </c>
      <c r="Q135" s="151">
        <f>0</f>
        <v>0</v>
      </c>
      <c r="R135" s="151">
        <f>0</f>
        <v>0</v>
      </c>
      <c r="S135" s="151">
        <v>2</v>
      </c>
      <c r="T135" s="151">
        <f>0</f>
        <v>0</v>
      </c>
      <c r="U135" s="151">
        <f>0</f>
        <v>0</v>
      </c>
      <c r="V135" s="151">
        <f>0</f>
        <v>0</v>
      </c>
      <c r="W135" s="151">
        <f>0</f>
        <v>0</v>
      </c>
      <c r="X135" s="151">
        <f>0</f>
        <v>0</v>
      </c>
      <c r="Y135" s="151">
        <f>0</f>
        <v>0</v>
      </c>
      <c r="Z135" s="200">
        <f>0</f>
        <v>0</v>
      </c>
      <c r="AA135" s="113">
        <f t="shared" si="6"/>
        <v>2</v>
      </c>
      <c r="AB135" s="199">
        <f>0</f>
        <v>0</v>
      </c>
      <c r="AC135" s="120">
        <f t="shared" si="7"/>
        <v>2</v>
      </c>
      <c r="AD135" s="170"/>
      <c r="AE135" s="101" t="s">
        <v>282</v>
      </c>
      <c r="AF135" s="171" t="s">
        <v>292</v>
      </c>
      <c r="AG135" s="188"/>
      <c r="AH135" s="187"/>
      <c r="AI135" s="88"/>
      <c r="AJ135" s="94" t="s">
        <v>499</v>
      </c>
      <c r="AK135" s="185" t="e">
        <f t="shared" si="8"/>
        <v>#VALUE!</v>
      </c>
      <c r="AL135" s="93"/>
      <c r="AM135" s="50"/>
      <c r="AN135" s="95"/>
      <c r="AO135" s="390"/>
    </row>
    <row r="136" spans="1:41" s="107" customFormat="1" ht="30.75" customHeight="1">
      <c r="A136" s="225">
        <v>131</v>
      </c>
      <c r="B136" s="277">
        <v>44903</v>
      </c>
      <c r="C136" s="286" t="s">
        <v>372</v>
      </c>
      <c r="D136" s="285" t="s">
        <v>385</v>
      </c>
      <c r="E136" s="217" t="s">
        <v>322</v>
      </c>
      <c r="F136" s="222" t="s">
        <v>345</v>
      </c>
      <c r="G136" s="188" t="s">
        <v>385</v>
      </c>
      <c r="H136" s="231" t="s">
        <v>385</v>
      </c>
      <c r="I136" s="232" t="s">
        <v>227</v>
      </c>
      <c r="J136" s="225" t="s">
        <v>251</v>
      </c>
      <c r="K136" s="277"/>
      <c r="L136" s="286"/>
      <c r="M136" s="287"/>
      <c r="N136" s="216" t="s">
        <v>71</v>
      </c>
      <c r="O136" s="323">
        <v>0</v>
      </c>
      <c r="P136" s="151">
        <f>0</f>
        <v>0</v>
      </c>
      <c r="Q136" s="151">
        <f>0</f>
        <v>0</v>
      </c>
      <c r="R136" s="151">
        <f>0</f>
        <v>0</v>
      </c>
      <c r="S136" s="151">
        <v>1</v>
      </c>
      <c r="T136" s="151">
        <f>0</f>
        <v>0</v>
      </c>
      <c r="U136" s="151">
        <f>0</f>
        <v>0</v>
      </c>
      <c r="V136" s="151">
        <f>0</f>
        <v>0</v>
      </c>
      <c r="W136" s="151">
        <f>0</f>
        <v>0</v>
      </c>
      <c r="X136" s="151">
        <f>0</f>
        <v>0</v>
      </c>
      <c r="Y136" s="151">
        <f>0</f>
        <v>0</v>
      </c>
      <c r="Z136" s="200">
        <f>0</f>
        <v>0</v>
      </c>
      <c r="AA136" s="113">
        <f t="shared" si="6"/>
        <v>1</v>
      </c>
      <c r="AB136" s="199">
        <v>1</v>
      </c>
      <c r="AC136" s="120">
        <f t="shared" si="7"/>
        <v>0</v>
      </c>
      <c r="AD136" s="170"/>
      <c r="AE136" s="187"/>
      <c r="AF136" s="171" t="s">
        <v>587</v>
      </c>
      <c r="AG136" s="188"/>
      <c r="AH136" s="187"/>
      <c r="AI136" s="88"/>
      <c r="AJ136" s="89">
        <v>1</v>
      </c>
      <c r="AK136" s="189">
        <f t="shared" si="8"/>
        <v>-1</v>
      </c>
      <c r="AL136" s="88" t="s">
        <v>580</v>
      </c>
      <c r="AM136" s="83"/>
      <c r="AN136" s="90"/>
      <c r="AO136" s="180"/>
    </row>
    <row r="137" spans="1:41" s="288" customFormat="1" ht="30.75" customHeight="1">
      <c r="A137" s="225">
        <v>132</v>
      </c>
      <c r="B137" s="277">
        <v>44903</v>
      </c>
      <c r="C137" s="286" t="s">
        <v>372</v>
      </c>
      <c r="D137" s="285" t="s">
        <v>386</v>
      </c>
      <c r="E137" s="217">
        <v>0</v>
      </c>
      <c r="F137" s="222" t="s">
        <v>349</v>
      </c>
      <c r="G137" s="188" t="s">
        <v>386</v>
      </c>
      <c r="H137" s="231" t="s">
        <v>386</v>
      </c>
      <c r="I137" s="232" t="s">
        <v>227</v>
      </c>
      <c r="J137" s="225" t="s">
        <v>251</v>
      </c>
      <c r="K137" s="277"/>
      <c r="L137" s="286"/>
      <c r="M137" s="287"/>
      <c r="N137" s="216" t="s">
        <v>71</v>
      </c>
      <c r="O137" s="323">
        <v>0</v>
      </c>
      <c r="P137" s="151">
        <f>0</f>
        <v>0</v>
      </c>
      <c r="Q137" s="151">
        <f>0</f>
        <v>0</v>
      </c>
      <c r="R137" s="151">
        <f>0</f>
        <v>0</v>
      </c>
      <c r="S137" s="151">
        <v>1</v>
      </c>
      <c r="T137" s="151">
        <f>0</f>
        <v>0</v>
      </c>
      <c r="U137" s="151">
        <f>0</f>
        <v>0</v>
      </c>
      <c r="V137" s="151">
        <f>0</f>
        <v>0</v>
      </c>
      <c r="W137" s="151">
        <f>0</f>
        <v>0</v>
      </c>
      <c r="X137" s="151">
        <f>0</f>
        <v>0</v>
      </c>
      <c r="Y137" s="151">
        <f>0</f>
        <v>0</v>
      </c>
      <c r="Z137" s="200">
        <f>0</f>
        <v>0</v>
      </c>
      <c r="AA137" s="113">
        <f t="shared" si="6"/>
        <v>1</v>
      </c>
      <c r="AB137" s="199">
        <v>3</v>
      </c>
      <c r="AC137" s="120">
        <f t="shared" si="7"/>
        <v>-2</v>
      </c>
      <c r="AD137" s="170"/>
      <c r="AE137" s="187"/>
      <c r="AF137" s="171" t="s">
        <v>587</v>
      </c>
      <c r="AG137" s="188"/>
      <c r="AH137" s="187"/>
      <c r="AI137" s="88"/>
      <c r="AJ137" s="89">
        <v>3</v>
      </c>
      <c r="AK137" s="189">
        <f t="shared" si="8"/>
        <v>-5</v>
      </c>
      <c r="AL137" s="88" t="s">
        <v>580</v>
      </c>
      <c r="AM137" s="83"/>
      <c r="AN137" s="90"/>
      <c r="AO137" s="180"/>
    </row>
    <row r="138" spans="1:41" s="288" customFormat="1" ht="30.75" customHeight="1">
      <c r="A138" s="233">
        <v>133</v>
      </c>
      <c r="B138" s="277">
        <v>44903</v>
      </c>
      <c r="C138" s="286" t="s">
        <v>372</v>
      </c>
      <c r="D138" s="285" t="s">
        <v>387</v>
      </c>
      <c r="E138" s="217" t="s">
        <v>328</v>
      </c>
      <c r="F138" s="222" t="s">
        <v>339</v>
      </c>
      <c r="G138" s="188" t="s">
        <v>387</v>
      </c>
      <c r="H138" s="231" t="s">
        <v>387</v>
      </c>
      <c r="I138" s="232" t="s">
        <v>227</v>
      </c>
      <c r="J138" s="225" t="s">
        <v>251</v>
      </c>
      <c r="K138" s="277"/>
      <c r="L138" s="286"/>
      <c r="M138" s="287"/>
      <c r="N138" s="216" t="s">
        <v>71</v>
      </c>
      <c r="O138" s="323">
        <v>0</v>
      </c>
      <c r="P138" s="151">
        <f>0</f>
        <v>0</v>
      </c>
      <c r="Q138" s="151">
        <f>0</f>
        <v>0</v>
      </c>
      <c r="R138" s="151">
        <f>0</f>
        <v>0</v>
      </c>
      <c r="S138" s="151">
        <v>2</v>
      </c>
      <c r="T138" s="151">
        <f>0</f>
        <v>0</v>
      </c>
      <c r="U138" s="151">
        <f>0</f>
        <v>0</v>
      </c>
      <c r="V138" s="151">
        <f>0</f>
        <v>0</v>
      </c>
      <c r="W138" s="151">
        <f>0</f>
        <v>0</v>
      </c>
      <c r="X138" s="151">
        <f>0</f>
        <v>0</v>
      </c>
      <c r="Y138" s="151">
        <f>0</f>
        <v>0</v>
      </c>
      <c r="Z138" s="200">
        <f>0</f>
        <v>0</v>
      </c>
      <c r="AA138" s="113">
        <f t="shared" si="6"/>
        <v>2</v>
      </c>
      <c r="AB138" s="199">
        <v>2</v>
      </c>
      <c r="AC138" s="120">
        <f t="shared" si="7"/>
        <v>0</v>
      </c>
      <c r="AD138" s="170"/>
      <c r="AE138" s="187"/>
      <c r="AF138" s="171"/>
      <c r="AG138" s="188"/>
      <c r="AH138" s="187"/>
      <c r="AI138" s="88"/>
      <c r="AJ138" s="89">
        <v>2</v>
      </c>
      <c r="AK138" s="189">
        <f t="shared" si="8"/>
        <v>-2</v>
      </c>
      <c r="AL138" s="88" t="s">
        <v>580</v>
      </c>
      <c r="AM138" s="83"/>
      <c r="AN138" s="90"/>
      <c r="AO138" s="180"/>
    </row>
    <row r="139" spans="1:41" s="288" customFormat="1" ht="30.75" customHeight="1">
      <c r="A139" s="225">
        <v>134</v>
      </c>
      <c r="B139" s="277">
        <v>44903</v>
      </c>
      <c r="C139" s="286" t="s">
        <v>372</v>
      </c>
      <c r="D139" s="285" t="s">
        <v>1368</v>
      </c>
      <c r="E139" s="217" t="s">
        <v>322</v>
      </c>
      <c r="F139" s="222" t="s">
        <v>391</v>
      </c>
      <c r="G139" s="188" t="s">
        <v>1368</v>
      </c>
      <c r="H139" s="231" t="s">
        <v>1432</v>
      </c>
      <c r="I139" s="232" t="s">
        <v>329</v>
      </c>
      <c r="J139" s="225" t="s">
        <v>251</v>
      </c>
      <c r="K139" s="277"/>
      <c r="L139" s="286"/>
      <c r="M139" s="287"/>
      <c r="N139" s="216" t="s">
        <v>71</v>
      </c>
      <c r="O139" s="391">
        <v>0</v>
      </c>
      <c r="P139" s="77">
        <f>0</f>
        <v>0</v>
      </c>
      <c r="Q139" s="77">
        <f>0</f>
        <v>0</v>
      </c>
      <c r="R139" s="77">
        <f>0</f>
        <v>0</v>
      </c>
      <c r="S139" s="77">
        <v>2</v>
      </c>
      <c r="T139" s="77">
        <f>0</f>
        <v>0</v>
      </c>
      <c r="U139" s="77">
        <f>0</f>
        <v>0</v>
      </c>
      <c r="V139" s="77">
        <f>0</f>
        <v>0</v>
      </c>
      <c r="W139" s="77">
        <f>0</f>
        <v>0</v>
      </c>
      <c r="X139" s="77">
        <f>0</f>
        <v>0</v>
      </c>
      <c r="Y139" s="77">
        <f>0</f>
        <v>0</v>
      </c>
      <c r="Z139" s="392">
        <f>0</f>
        <v>0</v>
      </c>
      <c r="AA139" s="131">
        <f t="shared" si="6"/>
        <v>2</v>
      </c>
      <c r="AB139" s="158">
        <v>0</v>
      </c>
      <c r="AC139" s="145">
        <f t="shared" si="7"/>
        <v>2</v>
      </c>
      <c r="AD139" s="170"/>
      <c r="AE139" s="187" t="s">
        <v>282</v>
      </c>
      <c r="AF139" s="171"/>
      <c r="AG139" s="188"/>
      <c r="AH139" s="187"/>
      <c r="AI139" s="88" t="s">
        <v>1438</v>
      </c>
      <c r="AJ139" s="89" t="s">
        <v>295</v>
      </c>
      <c r="AK139" s="189" t="e">
        <f t="shared" si="8"/>
        <v>#VALUE!</v>
      </c>
      <c r="AL139" s="88" t="s">
        <v>1482</v>
      </c>
      <c r="AM139" s="83"/>
      <c r="AN139" s="90"/>
      <c r="AO139" s="180"/>
    </row>
    <row r="140" spans="1:41" s="107" customFormat="1" ht="30.75" customHeight="1">
      <c r="A140" s="225">
        <v>135</v>
      </c>
      <c r="B140" s="277">
        <v>44903</v>
      </c>
      <c r="C140" s="286" t="s">
        <v>372</v>
      </c>
      <c r="D140" s="285" t="s">
        <v>382</v>
      </c>
      <c r="E140" s="377" t="s">
        <v>338</v>
      </c>
      <c r="F140" s="222" t="s">
        <v>383</v>
      </c>
      <c r="G140" s="188" t="s">
        <v>382</v>
      </c>
      <c r="H140" s="231" t="s">
        <v>382</v>
      </c>
      <c r="I140" s="232" t="s">
        <v>314</v>
      </c>
      <c r="J140" s="225" t="s">
        <v>251</v>
      </c>
      <c r="K140" s="277"/>
      <c r="L140" s="286"/>
      <c r="M140" s="287"/>
      <c r="N140" s="216" t="s">
        <v>71</v>
      </c>
      <c r="O140" s="323">
        <v>0</v>
      </c>
      <c r="P140" s="151">
        <f>0</f>
        <v>0</v>
      </c>
      <c r="Q140" s="151">
        <f>0</f>
        <v>0</v>
      </c>
      <c r="R140" s="151">
        <f>0</f>
        <v>0</v>
      </c>
      <c r="S140" s="151">
        <v>2</v>
      </c>
      <c r="T140" s="151">
        <f>0</f>
        <v>0</v>
      </c>
      <c r="U140" s="151">
        <f>0</f>
        <v>0</v>
      </c>
      <c r="V140" s="151">
        <f>0</f>
        <v>0</v>
      </c>
      <c r="W140" s="151">
        <f>0</f>
        <v>0</v>
      </c>
      <c r="X140" s="151">
        <f>0</f>
        <v>0</v>
      </c>
      <c r="Y140" s="151">
        <f>0</f>
        <v>0</v>
      </c>
      <c r="Z140" s="200">
        <f>0</f>
        <v>0</v>
      </c>
      <c r="AA140" s="113">
        <f t="shared" si="6"/>
        <v>2</v>
      </c>
      <c r="AB140" s="199">
        <f>0</f>
        <v>0</v>
      </c>
      <c r="AC140" s="120">
        <f t="shared" si="7"/>
        <v>2</v>
      </c>
      <c r="AD140" s="170"/>
      <c r="AE140" s="101" t="s">
        <v>282</v>
      </c>
      <c r="AF140" s="171"/>
      <c r="AG140" s="188"/>
      <c r="AH140" s="187"/>
      <c r="AI140" s="88"/>
      <c r="AJ140" s="94" t="s">
        <v>499</v>
      </c>
      <c r="AK140" s="185" t="e">
        <f t="shared" si="8"/>
        <v>#VALUE!</v>
      </c>
      <c r="AL140" s="93"/>
      <c r="AM140" s="50"/>
      <c r="AN140" s="95"/>
      <c r="AO140" s="390"/>
    </row>
    <row r="141" spans="1:41" s="107" customFormat="1" ht="30.75" customHeight="1">
      <c r="A141" s="225">
        <v>136</v>
      </c>
      <c r="B141" s="277">
        <v>44903</v>
      </c>
      <c r="C141" s="286" t="s">
        <v>372</v>
      </c>
      <c r="D141" s="285" t="s">
        <v>1369</v>
      </c>
      <c r="E141" s="377" t="s">
        <v>312</v>
      </c>
      <c r="F141" s="222" t="s">
        <v>313</v>
      </c>
      <c r="G141" s="188" t="s">
        <v>1369</v>
      </c>
      <c r="H141" s="231" t="s">
        <v>1369</v>
      </c>
      <c r="I141" s="232" t="s">
        <v>314</v>
      </c>
      <c r="J141" s="225" t="s">
        <v>251</v>
      </c>
      <c r="K141" s="277"/>
      <c r="L141" s="286"/>
      <c r="M141" s="290"/>
      <c r="N141" s="216" t="s">
        <v>71</v>
      </c>
      <c r="O141" s="323">
        <v>0</v>
      </c>
      <c r="P141" s="151">
        <f>0</f>
        <v>0</v>
      </c>
      <c r="Q141" s="151">
        <f>0</f>
        <v>0</v>
      </c>
      <c r="R141" s="151">
        <f>0</f>
        <v>0</v>
      </c>
      <c r="S141" s="151">
        <v>2</v>
      </c>
      <c r="T141" s="151">
        <f>0</f>
        <v>0</v>
      </c>
      <c r="U141" s="151">
        <f>0</f>
        <v>0</v>
      </c>
      <c r="V141" s="151">
        <f>0</f>
        <v>0</v>
      </c>
      <c r="W141" s="151">
        <f>0</f>
        <v>0</v>
      </c>
      <c r="X141" s="151">
        <f>0</f>
        <v>0</v>
      </c>
      <c r="Y141" s="151">
        <f>0</f>
        <v>0</v>
      </c>
      <c r="Z141" s="200">
        <f>0</f>
        <v>0</v>
      </c>
      <c r="AA141" s="113">
        <f t="shared" si="6"/>
        <v>2</v>
      </c>
      <c r="AB141" s="199">
        <f>0</f>
        <v>0</v>
      </c>
      <c r="AC141" s="120">
        <f t="shared" si="7"/>
        <v>2</v>
      </c>
      <c r="AD141" s="170"/>
      <c r="AE141" s="101" t="s">
        <v>282</v>
      </c>
      <c r="AF141" s="171"/>
      <c r="AG141" s="188"/>
      <c r="AH141" s="187"/>
      <c r="AI141" s="88"/>
      <c r="AJ141" s="94" t="s">
        <v>499</v>
      </c>
      <c r="AK141" s="185" t="e">
        <f t="shared" si="8"/>
        <v>#VALUE!</v>
      </c>
      <c r="AL141" s="93"/>
      <c r="AM141" s="50"/>
      <c r="AN141" s="95"/>
      <c r="AO141" s="390"/>
    </row>
    <row r="142" spans="1:41" s="107" customFormat="1" ht="30.75" customHeight="1">
      <c r="A142" s="233">
        <v>137</v>
      </c>
      <c r="B142" s="277">
        <v>44903</v>
      </c>
      <c r="C142" s="286" t="s">
        <v>372</v>
      </c>
      <c r="D142" s="285" t="s">
        <v>376</v>
      </c>
      <c r="E142" s="217" t="s">
        <v>322</v>
      </c>
      <c r="F142" s="222" t="s">
        <v>377</v>
      </c>
      <c r="G142" s="188" t="s">
        <v>376</v>
      </c>
      <c r="H142" s="231" t="s">
        <v>376</v>
      </c>
      <c r="I142" s="232" t="s">
        <v>318</v>
      </c>
      <c r="J142" s="225" t="s">
        <v>251</v>
      </c>
      <c r="K142" s="277"/>
      <c r="L142" s="286"/>
      <c r="M142" s="290"/>
      <c r="N142" s="216" t="s">
        <v>71</v>
      </c>
      <c r="O142" s="323">
        <v>0</v>
      </c>
      <c r="P142" s="151">
        <f>0</f>
        <v>0</v>
      </c>
      <c r="Q142" s="151">
        <f>0</f>
        <v>0</v>
      </c>
      <c r="R142" s="151">
        <f>0</f>
        <v>0</v>
      </c>
      <c r="S142" s="151">
        <v>1</v>
      </c>
      <c r="T142" s="151">
        <f>0</f>
        <v>0</v>
      </c>
      <c r="U142" s="151">
        <f>0</f>
        <v>0</v>
      </c>
      <c r="V142" s="151">
        <f>0</f>
        <v>0</v>
      </c>
      <c r="W142" s="151">
        <f>0</f>
        <v>0</v>
      </c>
      <c r="X142" s="151">
        <f>0</f>
        <v>0</v>
      </c>
      <c r="Y142" s="151">
        <f>0</f>
        <v>0</v>
      </c>
      <c r="Z142" s="200">
        <f>0</f>
        <v>0</v>
      </c>
      <c r="AA142" s="113">
        <f t="shared" si="6"/>
        <v>1</v>
      </c>
      <c r="AB142" s="199">
        <v>2</v>
      </c>
      <c r="AC142" s="120">
        <f t="shared" si="7"/>
        <v>-1</v>
      </c>
      <c r="AD142" s="170">
        <v>44911</v>
      </c>
      <c r="AE142" s="187" t="s">
        <v>282</v>
      </c>
      <c r="AF142" s="202"/>
      <c r="AG142" s="188"/>
      <c r="AH142" s="187"/>
      <c r="AI142" s="88"/>
      <c r="AJ142" s="89"/>
      <c r="AK142" s="189">
        <f t="shared" si="8"/>
        <v>-1</v>
      </c>
      <c r="AL142" s="88" t="s">
        <v>580</v>
      </c>
      <c r="AM142" s="83"/>
      <c r="AN142" s="90"/>
      <c r="AO142" s="180"/>
    </row>
    <row r="143" spans="1:41" s="107" customFormat="1" ht="30.75" customHeight="1">
      <c r="A143" s="225">
        <v>138</v>
      </c>
      <c r="B143" s="277">
        <v>44903</v>
      </c>
      <c r="C143" s="286" t="s">
        <v>372</v>
      </c>
      <c r="D143" s="285" t="s">
        <v>1370</v>
      </c>
      <c r="E143" s="217" t="s">
        <v>322</v>
      </c>
      <c r="F143" s="222" t="s">
        <v>320</v>
      </c>
      <c r="G143" s="188" t="s">
        <v>1370</v>
      </c>
      <c r="H143" s="231" t="s">
        <v>1370</v>
      </c>
      <c r="I143" s="232" t="s">
        <v>318</v>
      </c>
      <c r="J143" s="225" t="s">
        <v>251</v>
      </c>
      <c r="K143" s="277"/>
      <c r="L143" s="286"/>
      <c r="M143" s="290"/>
      <c r="N143" s="216" t="s">
        <v>71</v>
      </c>
      <c r="O143" s="323">
        <v>0</v>
      </c>
      <c r="P143" s="151">
        <f>0</f>
        <v>0</v>
      </c>
      <c r="Q143" s="151">
        <f>0</f>
        <v>0</v>
      </c>
      <c r="R143" s="151">
        <f>0</f>
        <v>0</v>
      </c>
      <c r="S143" s="151">
        <v>1</v>
      </c>
      <c r="T143" s="151">
        <f>0</f>
        <v>0</v>
      </c>
      <c r="U143" s="151">
        <f>0</f>
        <v>0</v>
      </c>
      <c r="V143" s="151">
        <f>0</f>
        <v>0</v>
      </c>
      <c r="W143" s="151">
        <f>0</f>
        <v>0</v>
      </c>
      <c r="X143" s="151">
        <f>0</f>
        <v>0</v>
      </c>
      <c r="Y143" s="151">
        <f>0</f>
        <v>0</v>
      </c>
      <c r="Z143" s="200">
        <f>0</f>
        <v>0</v>
      </c>
      <c r="AA143" s="113">
        <f t="shared" si="6"/>
        <v>1</v>
      </c>
      <c r="AB143" s="199">
        <v>2</v>
      </c>
      <c r="AC143" s="120">
        <f t="shared" si="7"/>
        <v>-1</v>
      </c>
      <c r="AD143" s="170">
        <v>44911</v>
      </c>
      <c r="AE143" s="187" t="s">
        <v>282</v>
      </c>
      <c r="AF143" s="202"/>
      <c r="AG143" s="188"/>
      <c r="AH143" s="187"/>
      <c r="AI143" s="88"/>
      <c r="AJ143" s="89">
        <v>1</v>
      </c>
      <c r="AK143" s="189">
        <f t="shared" si="8"/>
        <v>-2</v>
      </c>
      <c r="AL143" s="88" t="s">
        <v>580</v>
      </c>
      <c r="AM143" s="83"/>
      <c r="AN143" s="90"/>
      <c r="AO143" s="180"/>
    </row>
    <row r="144" spans="1:41" s="107" customFormat="1" ht="30.75" customHeight="1">
      <c r="A144" s="225">
        <v>139</v>
      </c>
      <c r="B144" s="277">
        <v>44903</v>
      </c>
      <c r="C144" s="286" t="s">
        <v>372</v>
      </c>
      <c r="D144" s="285" t="s">
        <v>1371</v>
      </c>
      <c r="E144" s="217" t="s">
        <v>328</v>
      </c>
      <c r="F144" s="222" t="s">
        <v>1361</v>
      </c>
      <c r="G144" s="188" t="s">
        <v>1371</v>
      </c>
      <c r="H144" s="231" t="s">
        <v>1371</v>
      </c>
      <c r="I144" s="232" t="s">
        <v>390</v>
      </c>
      <c r="J144" s="225" t="s">
        <v>251</v>
      </c>
      <c r="K144" s="277"/>
      <c r="L144" s="286"/>
      <c r="M144" s="290" t="s">
        <v>356</v>
      </c>
      <c r="N144" s="216" t="s">
        <v>71</v>
      </c>
      <c r="O144" s="323">
        <v>0</v>
      </c>
      <c r="P144" s="151">
        <f>0</f>
        <v>0</v>
      </c>
      <c r="Q144" s="151">
        <f>0</f>
        <v>0</v>
      </c>
      <c r="R144" s="151">
        <f>0</f>
        <v>0</v>
      </c>
      <c r="S144" s="151">
        <v>4</v>
      </c>
      <c r="T144" s="151">
        <f>0</f>
        <v>0</v>
      </c>
      <c r="U144" s="151">
        <f>0</f>
        <v>0</v>
      </c>
      <c r="V144" s="151">
        <f>0</f>
        <v>0</v>
      </c>
      <c r="W144" s="151">
        <f>0</f>
        <v>0</v>
      </c>
      <c r="X144" s="151">
        <f>0</f>
        <v>0</v>
      </c>
      <c r="Y144" s="151">
        <f>0</f>
        <v>0</v>
      </c>
      <c r="Z144" s="200">
        <f>0</f>
        <v>0</v>
      </c>
      <c r="AA144" s="113">
        <f t="shared" si="6"/>
        <v>4</v>
      </c>
      <c r="AB144" s="199">
        <v>4</v>
      </c>
      <c r="AC144" s="120">
        <f t="shared" si="7"/>
        <v>0</v>
      </c>
      <c r="AD144" s="170"/>
      <c r="AE144" s="187" t="s">
        <v>239</v>
      </c>
      <c r="AF144" s="171"/>
      <c r="AG144" s="188"/>
      <c r="AH144" s="187"/>
      <c r="AI144" s="88"/>
      <c r="AJ144" s="89">
        <v>4</v>
      </c>
      <c r="AK144" s="189">
        <f t="shared" si="8"/>
        <v>-4</v>
      </c>
      <c r="AL144" s="88" t="s">
        <v>580</v>
      </c>
      <c r="AM144" s="83"/>
      <c r="AN144" s="90"/>
      <c r="AO144" s="180"/>
    </row>
    <row r="145" spans="1:41" s="107" customFormat="1" ht="30.75" customHeight="1">
      <c r="A145" s="225">
        <v>140</v>
      </c>
      <c r="B145" s="277">
        <v>44903</v>
      </c>
      <c r="C145" s="286" t="s">
        <v>372</v>
      </c>
      <c r="D145" s="285" t="s">
        <v>387</v>
      </c>
      <c r="E145" s="217" t="s">
        <v>328</v>
      </c>
      <c r="F145" s="222" t="s">
        <v>339</v>
      </c>
      <c r="G145" s="188" t="s">
        <v>387</v>
      </c>
      <c r="H145" s="231" t="s">
        <v>387</v>
      </c>
      <c r="I145" s="232" t="s">
        <v>227</v>
      </c>
      <c r="J145" s="225" t="s">
        <v>251</v>
      </c>
      <c r="K145" s="277"/>
      <c r="L145" s="286"/>
      <c r="M145" s="290"/>
      <c r="N145" s="216" t="s">
        <v>71</v>
      </c>
      <c r="O145" s="323">
        <v>0</v>
      </c>
      <c r="P145" s="151">
        <f>0</f>
        <v>0</v>
      </c>
      <c r="Q145" s="151">
        <f>0</f>
        <v>0</v>
      </c>
      <c r="R145" s="151">
        <f>0</f>
        <v>0</v>
      </c>
      <c r="S145" s="151">
        <v>2</v>
      </c>
      <c r="T145" s="151">
        <f>0</f>
        <v>0</v>
      </c>
      <c r="U145" s="151">
        <f>0</f>
        <v>0</v>
      </c>
      <c r="V145" s="151">
        <f>0</f>
        <v>0</v>
      </c>
      <c r="W145" s="151">
        <f>0</f>
        <v>0</v>
      </c>
      <c r="X145" s="151">
        <f>0</f>
        <v>0</v>
      </c>
      <c r="Y145" s="151">
        <f>0</f>
        <v>0</v>
      </c>
      <c r="Z145" s="200">
        <f>0</f>
        <v>0</v>
      </c>
      <c r="AA145" s="113">
        <f t="shared" si="6"/>
        <v>2</v>
      </c>
      <c r="AB145" s="199">
        <v>2</v>
      </c>
      <c r="AC145" s="120">
        <f t="shared" si="7"/>
        <v>0</v>
      </c>
      <c r="AD145" s="170"/>
      <c r="AE145" s="187"/>
      <c r="AF145" s="171"/>
      <c r="AG145" s="188"/>
      <c r="AH145" s="187"/>
      <c r="AI145" s="88"/>
      <c r="AJ145" s="89">
        <v>2</v>
      </c>
      <c r="AK145" s="189">
        <f t="shared" si="8"/>
        <v>-2</v>
      </c>
      <c r="AL145" s="88" t="s">
        <v>580</v>
      </c>
      <c r="AM145" s="83"/>
      <c r="AN145" s="90"/>
      <c r="AO145" s="180"/>
    </row>
    <row r="146" spans="1:41" s="107" customFormat="1" ht="30.75" customHeight="1">
      <c r="A146" s="233">
        <v>141</v>
      </c>
      <c r="B146" s="277">
        <v>44903</v>
      </c>
      <c r="C146" s="286" t="s">
        <v>372</v>
      </c>
      <c r="D146" s="285" t="s">
        <v>385</v>
      </c>
      <c r="E146" s="217" t="s">
        <v>322</v>
      </c>
      <c r="F146" s="222" t="s">
        <v>345</v>
      </c>
      <c r="G146" s="188" t="s">
        <v>385</v>
      </c>
      <c r="H146" s="231" t="s">
        <v>385</v>
      </c>
      <c r="I146" s="232" t="s">
        <v>227</v>
      </c>
      <c r="J146" s="225" t="s">
        <v>251</v>
      </c>
      <c r="K146" s="277"/>
      <c r="L146" s="286"/>
      <c r="M146" s="287"/>
      <c r="N146" s="216" t="s">
        <v>71</v>
      </c>
      <c r="O146" s="323">
        <v>0</v>
      </c>
      <c r="P146" s="151">
        <f>0</f>
        <v>0</v>
      </c>
      <c r="Q146" s="151">
        <f>0</f>
        <v>0</v>
      </c>
      <c r="R146" s="151">
        <f>0</f>
        <v>0</v>
      </c>
      <c r="S146" s="151">
        <v>2</v>
      </c>
      <c r="T146" s="151">
        <f>0</f>
        <v>0</v>
      </c>
      <c r="U146" s="151">
        <f>0</f>
        <v>0</v>
      </c>
      <c r="V146" s="151">
        <f>0</f>
        <v>0</v>
      </c>
      <c r="W146" s="151">
        <f>0</f>
        <v>0</v>
      </c>
      <c r="X146" s="151">
        <f>0</f>
        <v>0</v>
      </c>
      <c r="Y146" s="151">
        <f>0</f>
        <v>0</v>
      </c>
      <c r="Z146" s="200">
        <f>0</f>
        <v>0</v>
      </c>
      <c r="AA146" s="113">
        <f t="shared" si="6"/>
        <v>2</v>
      </c>
      <c r="AB146" s="199">
        <v>2</v>
      </c>
      <c r="AC146" s="120">
        <f t="shared" si="7"/>
        <v>0</v>
      </c>
      <c r="AD146" s="170"/>
      <c r="AE146" s="187"/>
      <c r="AF146" s="171"/>
      <c r="AG146" s="188"/>
      <c r="AH146" s="187"/>
      <c r="AI146" s="88"/>
      <c r="AJ146" s="89">
        <v>2</v>
      </c>
      <c r="AK146" s="189">
        <f t="shared" si="8"/>
        <v>-2</v>
      </c>
      <c r="AL146" s="88" t="s">
        <v>580</v>
      </c>
      <c r="AM146" s="83"/>
      <c r="AN146" s="90"/>
      <c r="AO146" s="180"/>
    </row>
    <row r="147" spans="1:41" s="107" customFormat="1" ht="30.75" customHeight="1">
      <c r="A147" s="225">
        <v>142</v>
      </c>
      <c r="B147" s="277">
        <v>44903</v>
      </c>
      <c r="C147" s="286" t="s">
        <v>372</v>
      </c>
      <c r="D147" s="285" t="s">
        <v>386</v>
      </c>
      <c r="E147" s="217">
        <v>0</v>
      </c>
      <c r="F147" s="222" t="s">
        <v>349</v>
      </c>
      <c r="G147" s="188" t="s">
        <v>386</v>
      </c>
      <c r="H147" s="231" t="s">
        <v>386</v>
      </c>
      <c r="I147" s="232" t="s">
        <v>227</v>
      </c>
      <c r="J147" s="225" t="s">
        <v>251</v>
      </c>
      <c r="K147" s="277"/>
      <c r="L147" s="286"/>
      <c r="M147" s="287"/>
      <c r="N147" s="216" t="s">
        <v>71</v>
      </c>
      <c r="O147" s="323">
        <v>0</v>
      </c>
      <c r="P147" s="151">
        <f>0</f>
        <v>0</v>
      </c>
      <c r="Q147" s="151">
        <f>0</f>
        <v>0</v>
      </c>
      <c r="R147" s="151">
        <f>0</f>
        <v>0</v>
      </c>
      <c r="S147" s="151">
        <v>2</v>
      </c>
      <c r="T147" s="151">
        <f>0</f>
        <v>0</v>
      </c>
      <c r="U147" s="151">
        <f>0</f>
        <v>0</v>
      </c>
      <c r="V147" s="151">
        <f>0</f>
        <v>0</v>
      </c>
      <c r="W147" s="151">
        <f>0</f>
        <v>0</v>
      </c>
      <c r="X147" s="151">
        <f>0</f>
        <v>0</v>
      </c>
      <c r="Y147" s="151">
        <f>0</f>
        <v>0</v>
      </c>
      <c r="Z147" s="200">
        <f>0</f>
        <v>0</v>
      </c>
      <c r="AA147" s="113">
        <f t="shared" si="6"/>
        <v>2</v>
      </c>
      <c r="AB147" s="199">
        <v>3</v>
      </c>
      <c r="AC147" s="120">
        <f t="shared" si="7"/>
        <v>-1</v>
      </c>
      <c r="AD147" s="170"/>
      <c r="AE147" s="187"/>
      <c r="AF147" s="171"/>
      <c r="AG147" s="188"/>
      <c r="AH147" s="187"/>
      <c r="AI147" s="88"/>
      <c r="AJ147" s="89">
        <v>3</v>
      </c>
      <c r="AK147" s="189">
        <f t="shared" si="8"/>
        <v>-4</v>
      </c>
      <c r="AL147" s="88" t="s">
        <v>580</v>
      </c>
      <c r="AM147" s="83"/>
      <c r="AN147" s="90"/>
      <c r="AO147" s="180"/>
    </row>
    <row r="148" spans="1:41" s="107" customFormat="1" ht="30.75" customHeight="1">
      <c r="A148" s="225">
        <v>143</v>
      </c>
      <c r="B148" s="277">
        <v>44903</v>
      </c>
      <c r="C148" s="286" t="s">
        <v>372</v>
      </c>
      <c r="D148" s="285" t="s">
        <v>253</v>
      </c>
      <c r="E148" s="377" t="s">
        <v>312</v>
      </c>
      <c r="F148" s="222" t="s">
        <v>249</v>
      </c>
      <c r="G148" s="188" t="s">
        <v>253</v>
      </c>
      <c r="H148" s="231" t="s">
        <v>253</v>
      </c>
      <c r="I148" s="232" t="s">
        <v>250</v>
      </c>
      <c r="J148" s="225" t="s">
        <v>251</v>
      </c>
      <c r="K148" s="277"/>
      <c r="L148" s="286"/>
      <c r="M148" s="287"/>
      <c r="N148" s="216" t="s">
        <v>71</v>
      </c>
      <c r="O148" s="323">
        <v>0</v>
      </c>
      <c r="P148" s="151">
        <f>0</f>
        <v>0</v>
      </c>
      <c r="Q148" s="151">
        <f>0</f>
        <v>0</v>
      </c>
      <c r="R148" s="151">
        <f>0</f>
        <v>0</v>
      </c>
      <c r="S148" s="151">
        <v>4</v>
      </c>
      <c r="T148" s="151">
        <f>0</f>
        <v>0</v>
      </c>
      <c r="U148" s="151">
        <f>0</f>
        <v>0</v>
      </c>
      <c r="V148" s="151">
        <f>0</f>
        <v>0</v>
      </c>
      <c r="W148" s="151">
        <f>0</f>
        <v>0</v>
      </c>
      <c r="X148" s="151">
        <f>0</f>
        <v>0</v>
      </c>
      <c r="Y148" s="151">
        <f>0</f>
        <v>0</v>
      </c>
      <c r="Z148" s="200">
        <f>0</f>
        <v>0</v>
      </c>
      <c r="AA148" s="113">
        <f t="shared" si="6"/>
        <v>4</v>
      </c>
      <c r="AB148" s="199">
        <f>0</f>
        <v>0</v>
      </c>
      <c r="AC148" s="120">
        <f t="shared" si="7"/>
        <v>4</v>
      </c>
      <c r="AD148" s="170"/>
      <c r="AE148" s="101" t="s">
        <v>282</v>
      </c>
      <c r="AF148" s="171"/>
      <c r="AG148" s="188"/>
      <c r="AH148" s="187"/>
      <c r="AI148" s="88"/>
      <c r="AJ148" s="94" t="s">
        <v>499</v>
      </c>
      <c r="AK148" s="185" t="e">
        <f t="shared" si="8"/>
        <v>#VALUE!</v>
      </c>
      <c r="AL148" s="93"/>
      <c r="AM148" s="50"/>
      <c r="AN148" s="95"/>
      <c r="AO148" s="390"/>
    </row>
    <row r="149" spans="1:41" s="107" customFormat="1" ht="30.75" customHeight="1">
      <c r="A149" s="225">
        <v>144</v>
      </c>
      <c r="B149" s="277">
        <v>44903</v>
      </c>
      <c r="C149" s="286" t="s">
        <v>372</v>
      </c>
      <c r="D149" s="285" t="s">
        <v>392</v>
      </c>
      <c r="E149" s="377" t="s">
        <v>361</v>
      </c>
      <c r="F149" s="222" t="s">
        <v>393</v>
      </c>
      <c r="G149" s="188" t="s">
        <v>392</v>
      </c>
      <c r="H149" s="231" t="s">
        <v>392</v>
      </c>
      <c r="I149" s="232" t="s">
        <v>250</v>
      </c>
      <c r="J149" s="225" t="s">
        <v>251</v>
      </c>
      <c r="K149" s="277"/>
      <c r="L149" s="286"/>
      <c r="M149" s="287"/>
      <c r="N149" s="216" t="s">
        <v>71</v>
      </c>
      <c r="O149" s="323">
        <v>0</v>
      </c>
      <c r="P149" s="151">
        <f>0</f>
        <v>0</v>
      </c>
      <c r="Q149" s="151">
        <f>0</f>
        <v>0</v>
      </c>
      <c r="R149" s="151">
        <f>0</f>
        <v>0</v>
      </c>
      <c r="S149" s="151">
        <v>8</v>
      </c>
      <c r="T149" s="151">
        <f>0</f>
        <v>0</v>
      </c>
      <c r="U149" s="151">
        <f>0</f>
        <v>0</v>
      </c>
      <c r="V149" s="151">
        <f>0</f>
        <v>0</v>
      </c>
      <c r="W149" s="151">
        <f>0</f>
        <v>0</v>
      </c>
      <c r="X149" s="151">
        <f>0</f>
        <v>0</v>
      </c>
      <c r="Y149" s="151">
        <f>0</f>
        <v>0</v>
      </c>
      <c r="Z149" s="200">
        <f>0</f>
        <v>0</v>
      </c>
      <c r="AA149" s="113">
        <f t="shared" si="6"/>
        <v>8</v>
      </c>
      <c r="AB149" s="199">
        <f>0</f>
        <v>0</v>
      </c>
      <c r="AC149" s="120">
        <f t="shared" si="7"/>
        <v>8</v>
      </c>
      <c r="AD149" s="170"/>
      <c r="AE149" s="101" t="s">
        <v>282</v>
      </c>
      <c r="AF149" s="171"/>
      <c r="AG149" s="188"/>
      <c r="AH149" s="187"/>
      <c r="AI149" s="88"/>
      <c r="AJ149" s="94" t="s">
        <v>499</v>
      </c>
      <c r="AK149" s="185" t="e">
        <f t="shared" si="8"/>
        <v>#VALUE!</v>
      </c>
      <c r="AL149" s="93"/>
      <c r="AM149" s="50"/>
      <c r="AN149" s="95"/>
      <c r="AO149" s="390"/>
    </row>
    <row r="150" spans="1:41" s="107" customFormat="1" ht="30.75" customHeight="1">
      <c r="A150" s="233">
        <v>145</v>
      </c>
      <c r="B150" s="277">
        <v>44903</v>
      </c>
      <c r="C150" s="286" t="s">
        <v>372</v>
      </c>
      <c r="D150" s="285" t="s">
        <v>394</v>
      </c>
      <c r="E150" s="218" t="s">
        <v>338</v>
      </c>
      <c r="F150" s="222" t="s">
        <v>395</v>
      </c>
      <c r="G150" s="188" t="s">
        <v>394</v>
      </c>
      <c r="H150" s="231" t="s">
        <v>394</v>
      </c>
      <c r="I150" s="232" t="s">
        <v>250</v>
      </c>
      <c r="J150" s="225" t="s">
        <v>251</v>
      </c>
      <c r="K150" s="277"/>
      <c r="L150" s="286"/>
      <c r="M150" s="290"/>
      <c r="N150" s="216" t="s">
        <v>71</v>
      </c>
      <c r="O150" s="323">
        <v>0</v>
      </c>
      <c r="P150" s="151">
        <f>0</f>
        <v>0</v>
      </c>
      <c r="Q150" s="151">
        <f>0</f>
        <v>0</v>
      </c>
      <c r="R150" s="151">
        <f>0</f>
        <v>0</v>
      </c>
      <c r="S150" s="151">
        <v>4</v>
      </c>
      <c r="T150" s="151">
        <f>0</f>
        <v>0</v>
      </c>
      <c r="U150" s="151">
        <f>0</f>
        <v>0</v>
      </c>
      <c r="V150" s="151">
        <f>0</f>
        <v>0</v>
      </c>
      <c r="W150" s="151">
        <f>0</f>
        <v>0</v>
      </c>
      <c r="X150" s="151">
        <f>0</f>
        <v>0</v>
      </c>
      <c r="Y150" s="151">
        <f>0</f>
        <v>0</v>
      </c>
      <c r="Z150" s="200">
        <f>0</f>
        <v>0</v>
      </c>
      <c r="AA150" s="113">
        <f t="shared" si="6"/>
        <v>4</v>
      </c>
      <c r="AB150" s="199">
        <f>0</f>
        <v>0</v>
      </c>
      <c r="AC150" s="120">
        <f t="shared" si="7"/>
        <v>4</v>
      </c>
      <c r="AD150" s="170"/>
      <c r="AE150" s="101" t="s">
        <v>282</v>
      </c>
      <c r="AF150" s="171" t="s">
        <v>292</v>
      </c>
      <c r="AG150" s="188"/>
      <c r="AH150" s="187"/>
      <c r="AI150" s="88"/>
      <c r="AJ150" s="94" t="s">
        <v>499</v>
      </c>
      <c r="AK150" s="185" t="e">
        <f t="shared" si="8"/>
        <v>#VALUE!</v>
      </c>
      <c r="AL150" s="93"/>
      <c r="AM150" s="50"/>
      <c r="AN150" s="95"/>
      <c r="AO150" s="390"/>
    </row>
    <row r="151" spans="1:41" s="107" customFormat="1" ht="30.75" customHeight="1">
      <c r="A151" s="225">
        <v>146</v>
      </c>
      <c r="B151" s="277">
        <v>44909</v>
      </c>
      <c r="C151" s="286" t="s">
        <v>372</v>
      </c>
      <c r="D151" s="285" t="s">
        <v>511</v>
      </c>
      <c r="E151" s="296" t="s">
        <v>322</v>
      </c>
      <c r="F151" s="292" t="s">
        <v>511</v>
      </c>
      <c r="G151" s="210" t="s">
        <v>511</v>
      </c>
      <c r="H151" s="294" t="s">
        <v>511</v>
      </c>
      <c r="I151" s="295" t="s">
        <v>510</v>
      </c>
      <c r="J151" s="225" t="s">
        <v>251</v>
      </c>
      <c r="K151" s="277"/>
      <c r="L151" s="286"/>
      <c r="M151" s="287"/>
      <c r="N151" s="216" t="s">
        <v>71</v>
      </c>
      <c r="O151" s="323">
        <v>0</v>
      </c>
      <c r="P151" s="151">
        <f>0</f>
        <v>0</v>
      </c>
      <c r="Q151" s="151">
        <f>0</f>
        <v>0</v>
      </c>
      <c r="R151" s="151">
        <f>0</f>
        <v>0</v>
      </c>
      <c r="S151" s="151">
        <v>1</v>
      </c>
      <c r="T151" s="151">
        <f>0</f>
        <v>0</v>
      </c>
      <c r="U151" s="151">
        <f>0</f>
        <v>0</v>
      </c>
      <c r="V151" s="151">
        <f>0</f>
        <v>0</v>
      </c>
      <c r="W151" s="151">
        <f>0</f>
        <v>0</v>
      </c>
      <c r="X151" s="151">
        <f>0</f>
        <v>0</v>
      </c>
      <c r="Y151" s="151">
        <f>0</f>
        <v>0</v>
      </c>
      <c r="Z151" s="200">
        <f>0</f>
        <v>0</v>
      </c>
      <c r="AA151" s="113">
        <f t="shared" si="6"/>
        <v>1</v>
      </c>
      <c r="AB151" s="199">
        <v>1</v>
      </c>
      <c r="AC151" s="120">
        <f t="shared" si="7"/>
        <v>0</v>
      </c>
      <c r="AD151" s="170"/>
      <c r="AE151" s="187" t="s">
        <v>529</v>
      </c>
      <c r="AF151" s="171"/>
      <c r="AG151" s="188"/>
      <c r="AH151" s="187"/>
      <c r="AI151" s="88"/>
      <c r="AJ151" s="89"/>
      <c r="AK151" s="189">
        <f t="shared" si="8"/>
        <v>0</v>
      </c>
      <c r="AL151" s="88" t="s">
        <v>530</v>
      </c>
      <c r="AM151" s="83"/>
      <c r="AN151" s="90"/>
      <c r="AO151" s="180"/>
    </row>
    <row r="152" spans="1:41" s="107" customFormat="1" ht="30.75" customHeight="1">
      <c r="A152" s="225">
        <v>147</v>
      </c>
      <c r="B152" s="277">
        <v>44909</v>
      </c>
      <c r="C152" s="286" t="s">
        <v>372</v>
      </c>
      <c r="D152" s="285" t="s">
        <v>505</v>
      </c>
      <c r="E152" s="296" t="s">
        <v>328</v>
      </c>
      <c r="F152" s="292" t="s">
        <v>505</v>
      </c>
      <c r="G152" s="210" t="s">
        <v>505</v>
      </c>
      <c r="H152" s="294" t="s">
        <v>505</v>
      </c>
      <c r="I152" s="295" t="s">
        <v>510</v>
      </c>
      <c r="J152" s="225" t="s">
        <v>251</v>
      </c>
      <c r="K152" s="277"/>
      <c r="L152" s="286"/>
      <c r="M152" s="287"/>
      <c r="N152" s="216" t="s">
        <v>71</v>
      </c>
      <c r="O152" s="323">
        <v>0</v>
      </c>
      <c r="P152" s="151">
        <f>0</f>
        <v>0</v>
      </c>
      <c r="Q152" s="151">
        <f>0</f>
        <v>0</v>
      </c>
      <c r="R152" s="151">
        <f>0</f>
        <v>0</v>
      </c>
      <c r="S152" s="151">
        <v>1</v>
      </c>
      <c r="T152" s="151">
        <f>0</f>
        <v>0</v>
      </c>
      <c r="U152" s="151">
        <f>0</f>
        <v>0</v>
      </c>
      <c r="V152" s="151">
        <f>0</f>
        <v>0</v>
      </c>
      <c r="W152" s="151">
        <f>0</f>
        <v>0</v>
      </c>
      <c r="X152" s="151">
        <f>0</f>
        <v>0</v>
      </c>
      <c r="Y152" s="151">
        <f>0</f>
        <v>0</v>
      </c>
      <c r="Z152" s="200">
        <f>0</f>
        <v>0</v>
      </c>
      <c r="AA152" s="113">
        <f t="shared" si="6"/>
        <v>1</v>
      </c>
      <c r="AB152" s="199">
        <v>1</v>
      </c>
      <c r="AC152" s="120">
        <f t="shared" si="7"/>
        <v>0</v>
      </c>
      <c r="AD152" s="170"/>
      <c r="AE152" s="187" t="s">
        <v>529</v>
      </c>
      <c r="AF152" s="171" t="s">
        <v>292</v>
      </c>
      <c r="AG152" s="188"/>
      <c r="AH152" s="187"/>
      <c r="AI152" s="88"/>
      <c r="AJ152" s="89" t="s">
        <v>284</v>
      </c>
      <c r="AK152" s="189" t="e">
        <f t="shared" si="8"/>
        <v>#VALUE!</v>
      </c>
      <c r="AL152" s="88" t="s">
        <v>534</v>
      </c>
      <c r="AM152" s="83"/>
      <c r="AN152" s="90"/>
      <c r="AO152" s="180"/>
    </row>
    <row r="153" spans="1:41" s="107" customFormat="1" ht="30.75" customHeight="1">
      <c r="A153" s="225">
        <v>148</v>
      </c>
      <c r="B153" s="277">
        <v>44909</v>
      </c>
      <c r="C153" s="286" t="s">
        <v>372</v>
      </c>
      <c r="D153" s="285" t="s">
        <v>392</v>
      </c>
      <c r="E153" s="507" t="s">
        <v>328</v>
      </c>
      <c r="F153" s="222" t="s">
        <v>506</v>
      </c>
      <c r="G153" s="188" t="s">
        <v>392</v>
      </c>
      <c r="H153" s="522" t="s">
        <v>392</v>
      </c>
      <c r="I153" s="232" t="s">
        <v>250</v>
      </c>
      <c r="J153" s="225" t="s">
        <v>251</v>
      </c>
      <c r="K153" s="277"/>
      <c r="L153" s="286"/>
      <c r="M153" s="287"/>
      <c r="N153" s="216" t="s">
        <v>71</v>
      </c>
      <c r="O153" s="323">
        <v>0</v>
      </c>
      <c r="P153" s="151">
        <f>0</f>
        <v>0</v>
      </c>
      <c r="Q153" s="151">
        <f>0</f>
        <v>0</v>
      </c>
      <c r="R153" s="151">
        <f>0</f>
        <v>0</v>
      </c>
      <c r="S153" s="151">
        <v>2</v>
      </c>
      <c r="T153" s="151">
        <f>0</f>
        <v>0</v>
      </c>
      <c r="U153" s="151">
        <f>0</f>
        <v>0</v>
      </c>
      <c r="V153" s="151">
        <f>0</f>
        <v>0</v>
      </c>
      <c r="W153" s="151">
        <f>0</f>
        <v>0</v>
      </c>
      <c r="X153" s="151">
        <f>0</f>
        <v>0</v>
      </c>
      <c r="Y153" s="151">
        <f>0</f>
        <v>0</v>
      </c>
      <c r="Z153" s="200">
        <f>0</f>
        <v>0</v>
      </c>
      <c r="AA153" s="113">
        <f t="shared" si="6"/>
        <v>2</v>
      </c>
      <c r="AB153" s="199">
        <f>0</f>
        <v>0</v>
      </c>
      <c r="AC153" s="120">
        <f t="shared" si="7"/>
        <v>2</v>
      </c>
      <c r="AD153" s="170"/>
      <c r="AE153" s="187" t="s">
        <v>529</v>
      </c>
      <c r="AF153" s="171" t="s">
        <v>44</v>
      </c>
      <c r="AG153" s="188"/>
      <c r="AH153" s="187"/>
      <c r="AI153" s="88"/>
      <c r="AJ153" s="89"/>
      <c r="AK153" s="189">
        <f t="shared" si="8"/>
        <v>2</v>
      </c>
      <c r="AL153" s="88"/>
      <c r="AM153" s="83"/>
      <c r="AN153" s="90"/>
      <c r="AO153" s="180"/>
    </row>
    <row r="154" spans="1:41" s="289" customFormat="1" ht="30.75" customHeight="1">
      <c r="A154" s="233">
        <v>149</v>
      </c>
      <c r="B154" s="277">
        <v>44909</v>
      </c>
      <c r="C154" s="235" t="s">
        <v>372</v>
      </c>
      <c r="D154" s="214" t="s">
        <v>507</v>
      </c>
      <c r="E154" s="279">
        <v>0</v>
      </c>
      <c r="F154" s="222" t="s">
        <v>508</v>
      </c>
      <c r="G154" s="214" t="s">
        <v>507</v>
      </c>
      <c r="H154" s="524" t="s">
        <v>507</v>
      </c>
      <c r="I154" s="232" t="s">
        <v>509</v>
      </c>
      <c r="J154" s="225" t="s">
        <v>251</v>
      </c>
      <c r="K154" s="277"/>
      <c r="L154" s="286"/>
      <c r="M154" s="216" t="s">
        <v>1401</v>
      </c>
      <c r="N154" s="216" t="s">
        <v>71</v>
      </c>
      <c r="O154" s="391">
        <v>0</v>
      </c>
      <c r="P154" s="77">
        <f>0</f>
        <v>0</v>
      </c>
      <c r="Q154" s="77">
        <f>0</f>
        <v>0</v>
      </c>
      <c r="R154" s="77">
        <f>0</f>
        <v>0</v>
      </c>
      <c r="S154" s="77">
        <v>2</v>
      </c>
      <c r="T154" s="77">
        <f>0</f>
        <v>0</v>
      </c>
      <c r="U154" s="77">
        <f>0</f>
        <v>0</v>
      </c>
      <c r="V154" s="77">
        <f>0</f>
        <v>0</v>
      </c>
      <c r="W154" s="77">
        <f>0</f>
        <v>0</v>
      </c>
      <c r="X154" s="77">
        <f>0</f>
        <v>0</v>
      </c>
      <c r="Y154" s="77">
        <f>0</f>
        <v>0</v>
      </c>
      <c r="Z154" s="392">
        <f>0</f>
        <v>0</v>
      </c>
      <c r="AA154" s="131">
        <f t="shared" si="6"/>
        <v>2</v>
      </c>
      <c r="AB154" s="158">
        <f>0</f>
        <v>0</v>
      </c>
      <c r="AC154" s="145">
        <f t="shared" si="7"/>
        <v>2</v>
      </c>
      <c r="AD154" s="170" t="s">
        <v>1586</v>
      </c>
      <c r="AE154" s="187" t="s">
        <v>239</v>
      </c>
      <c r="AF154" s="171" t="s">
        <v>1587</v>
      </c>
      <c r="AG154" s="188"/>
      <c r="AH154" s="187"/>
      <c r="AI154" s="88" t="s">
        <v>1438</v>
      </c>
      <c r="AJ154" s="89"/>
      <c r="AK154" s="189">
        <f t="shared" si="8"/>
        <v>2</v>
      </c>
      <c r="AL154" s="88"/>
      <c r="AM154" s="83"/>
      <c r="AN154" s="90"/>
      <c r="AO154" s="180"/>
    </row>
    <row r="155" spans="1:41" s="107" customFormat="1" ht="30.75" customHeight="1">
      <c r="A155" s="225">
        <v>150</v>
      </c>
      <c r="B155" s="277">
        <v>44909</v>
      </c>
      <c r="C155" s="286" t="s">
        <v>372</v>
      </c>
      <c r="D155" s="285" t="s">
        <v>512</v>
      </c>
      <c r="E155" s="297">
        <v>0</v>
      </c>
      <c r="F155" s="292" t="s">
        <v>1372</v>
      </c>
      <c r="G155" s="210" t="s">
        <v>512</v>
      </c>
      <c r="H155" s="294" t="s">
        <v>512</v>
      </c>
      <c r="I155" s="295" t="s">
        <v>227</v>
      </c>
      <c r="J155" s="225" t="s">
        <v>251</v>
      </c>
      <c r="K155" s="277"/>
      <c r="L155" s="286"/>
      <c r="M155" s="287" t="s">
        <v>513</v>
      </c>
      <c r="N155" s="216" t="s">
        <v>71</v>
      </c>
      <c r="O155" s="323">
        <v>0</v>
      </c>
      <c r="P155" s="151">
        <f>0</f>
        <v>0</v>
      </c>
      <c r="Q155" s="151">
        <f>0</f>
        <v>0</v>
      </c>
      <c r="R155" s="151">
        <f>0</f>
        <v>0</v>
      </c>
      <c r="S155" s="151">
        <v>2</v>
      </c>
      <c r="T155" s="151">
        <f>0</f>
        <v>0</v>
      </c>
      <c r="U155" s="151">
        <f>0</f>
        <v>0</v>
      </c>
      <c r="V155" s="151">
        <f>0</f>
        <v>0</v>
      </c>
      <c r="W155" s="151">
        <f>0</f>
        <v>0</v>
      </c>
      <c r="X155" s="151">
        <f>0</f>
        <v>0</v>
      </c>
      <c r="Y155" s="151">
        <f>0</f>
        <v>0</v>
      </c>
      <c r="Z155" s="200">
        <f>0</f>
        <v>0</v>
      </c>
      <c r="AA155" s="113">
        <f t="shared" si="6"/>
        <v>2</v>
      </c>
      <c r="AB155" s="199">
        <v>2</v>
      </c>
      <c r="AC155" s="120">
        <f t="shared" si="7"/>
        <v>0</v>
      </c>
      <c r="AD155" s="170"/>
      <c r="AE155" s="187"/>
      <c r="AF155" s="287" t="s">
        <v>513</v>
      </c>
      <c r="AG155" s="188"/>
      <c r="AH155" s="187"/>
      <c r="AI155" s="88"/>
      <c r="AJ155" s="89" t="s">
        <v>295</v>
      </c>
      <c r="AK155" s="189" t="e">
        <f t="shared" si="8"/>
        <v>#VALUE!</v>
      </c>
      <c r="AL155" s="88" t="s">
        <v>1500</v>
      </c>
      <c r="AM155" s="83"/>
      <c r="AN155" s="90"/>
      <c r="AO155" s="180"/>
    </row>
    <row r="156" spans="1:41" s="107" customFormat="1" ht="30.75" customHeight="1">
      <c r="A156" s="225">
        <v>151</v>
      </c>
      <c r="B156" s="277">
        <v>44909</v>
      </c>
      <c r="C156" s="286" t="s">
        <v>372</v>
      </c>
      <c r="D156" s="285" t="s">
        <v>1373</v>
      </c>
      <c r="E156" s="296" t="s">
        <v>338</v>
      </c>
      <c r="F156" s="292" t="s">
        <v>313</v>
      </c>
      <c r="G156" s="210" t="s">
        <v>1373</v>
      </c>
      <c r="H156" s="294" t="s">
        <v>1374</v>
      </c>
      <c r="I156" s="295" t="s">
        <v>314</v>
      </c>
      <c r="J156" s="225" t="s">
        <v>251</v>
      </c>
      <c r="K156" s="277"/>
      <c r="L156" s="286"/>
      <c r="M156" s="287"/>
      <c r="N156" s="216" t="s">
        <v>71</v>
      </c>
      <c r="O156" s="323">
        <v>0</v>
      </c>
      <c r="P156" s="151">
        <f>0</f>
        <v>0</v>
      </c>
      <c r="Q156" s="151">
        <f>0</f>
        <v>0</v>
      </c>
      <c r="R156" s="151">
        <f>0</f>
        <v>0</v>
      </c>
      <c r="S156" s="151">
        <v>6</v>
      </c>
      <c r="T156" s="151">
        <f>0</f>
        <v>0</v>
      </c>
      <c r="U156" s="151">
        <f>0</f>
        <v>0</v>
      </c>
      <c r="V156" s="151">
        <f>0</f>
        <v>0</v>
      </c>
      <c r="W156" s="151">
        <f>0</f>
        <v>0</v>
      </c>
      <c r="X156" s="151">
        <f>0</f>
        <v>0</v>
      </c>
      <c r="Y156" s="151">
        <f>0</f>
        <v>0</v>
      </c>
      <c r="Z156" s="200">
        <f>0</f>
        <v>0</v>
      </c>
      <c r="AA156" s="113">
        <f t="shared" si="6"/>
        <v>6</v>
      </c>
      <c r="AB156" s="199">
        <f>0</f>
        <v>0</v>
      </c>
      <c r="AC156" s="120">
        <f t="shared" si="7"/>
        <v>6</v>
      </c>
      <c r="AD156" s="170"/>
      <c r="AE156" s="187" t="s">
        <v>529</v>
      </c>
      <c r="AF156" s="171" t="s">
        <v>44</v>
      </c>
      <c r="AG156" s="188"/>
      <c r="AH156" s="187"/>
      <c r="AI156" s="88"/>
      <c r="AJ156" s="89"/>
      <c r="AK156" s="189">
        <f t="shared" si="8"/>
        <v>6</v>
      </c>
      <c r="AL156" s="88"/>
      <c r="AM156" s="83"/>
      <c r="AN156" s="90"/>
      <c r="AO156" s="180"/>
    </row>
    <row r="157" spans="1:41" s="107" customFormat="1" ht="30.75" customHeight="1">
      <c r="A157" s="225">
        <v>152</v>
      </c>
      <c r="B157" s="277">
        <v>44909</v>
      </c>
      <c r="C157" s="286" t="s">
        <v>372</v>
      </c>
      <c r="D157" s="285" t="s">
        <v>514</v>
      </c>
      <c r="E157" s="296" t="s">
        <v>322</v>
      </c>
      <c r="F157" s="292" t="s">
        <v>1375</v>
      </c>
      <c r="G157" s="210" t="s">
        <v>514</v>
      </c>
      <c r="H157" s="294" t="s">
        <v>514</v>
      </c>
      <c r="I157" s="295" t="s">
        <v>314</v>
      </c>
      <c r="J157" s="225" t="s">
        <v>251</v>
      </c>
      <c r="K157" s="277"/>
      <c r="L157" s="286"/>
      <c r="M157" s="287"/>
      <c r="N157" s="216" t="s">
        <v>71</v>
      </c>
      <c r="O157" s="323">
        <v>0</v>
      </c>
      <c r="P157" s="151">
        <f>0</f>
        <v>0</v>
      </c>
      <c r="Q157" s="151">
        <f>0</f>
        <v>0</v>
      </c>
      <c r="R157" s="151">
        <f>0</f>
        <v>0</v>
      </c>
      <c r="S157" s="151">
        <v>6</v>
      </c>
      <c r="T157" s="151">
        <f>0</f>
        <v>0</v>
      </c>
      <c r="U157" s="151">
        <f>0</f>
        <v>0</v>
      </c>
      <c r="V157" s="151">
        <f>0</f>
        <v>0</v>
      </c>
      <c r="W157" s="151">
        <f>0</f>
        <v>0</v>
      </c>
      <c r="X157" s="151">
        <f>0</f>
        <v>0</v>
      </c>
      <c r="Y157" s="151">
        <f>0</f>
        <v>0</v>
      </c>
      <c r="Z157" s="200">
        <f>0</f>
        <v>0</v>
      </c>
      <c r="AA157" s="113">
        <f t="shared" si="6"/>
        <v>6</v>
      </c>
      <c r="AB157" s="199">
        <f>0</f>
        <v>0</v>
      </c>
      <c r="AC157" s="120">
        <f t="shared" si="7"/>
        <v>6</v>
      </c>
      <c r="AD157" s="170"/>
      <c r="AE157" s="187" t="s">
        <v>529</v>
      </c>
      <c r="AF157" s="171" t="s">
        <v>44</v>
      </c>
      <c r="AG157" s="188"/>
      <c r="AH157" s="187"/>
      <c r="AI157" s="88"/>
      <c r="AJ157" s="89"/>
      <c r="AK157" s="189">
        <f t="shared" si="8"/>
        <v>6</v>
      </c>
      <c r="AL157" s="88"/>
      <c r="AM157" s="83"/>
      <c r="AN157" s="90"/>
      <c r="AO157" s="180"/>
    </row>
    <row r="158" spans="1:41" s="107" customFormat="1" ht="30.75" customHeight="1">
      <c r="A158" s="233">
        <v>153</v>
      </c>
      <c r="B158" s="277">
        <v>44909</v>
      </c>
      <c r="C158" s="286" t="s">
        <v>372</v>
      </c>
      <c r="D158" s="285" t="s">
        <v>515</v>
      </c>
      <c r="E158" s="297" t="s">
        <v>328</v>
      </c>
      <c r="F158" s="292" t="s">
        <v>516</v>
      </c>
      <c r="G158" s="210" t="s">
        <v>515</v>
      </c>
      <c r="H158" s="294" t="s">
        <v>515</v>
      </c>
      <c r="I158" s="295" t="s">
        <v>517</v>
      </c>
      <c r="J158" s="225" t="s">
        <v>251</v>
      </c>
      <c r="K158" s="277"/>
      <c r="L158" s="286"/>
      <c r="M158" s="287"/>
      <c r="N158" s="216" t="s">
        <v>71</v>
      </c>
      <c r="O158" s="323">
        <v>0</v>
      </c>
      <c r="P158" s="151">
        <f>0</f>
        <v>0</v>
      </c>
      <c r="Q158" s="151">
        <f>0</f>
        <v>0</v>
      </c>
      <c r="R158" s="151">
        <f>0</f>
        <v>0</v>
      </c>
      <c r="S158" s="151">
        <v>4</v>
      </c>
      <c r="T158" s="151">
        <f>0</f>
        <v>0</v>
      </c>
      <c r="U158" s="151">
        <f>0</f>
        <v>0</v>
      </c>
      <c r="V158" s="151">
        <f>0</f>
        <v>0</v>
      </c>
      <c r="W158" s="151">
        <f>0</f>
        <v>0</v>
      </c>
      <c r="X158" s="151">
        <f>0</f>
        <v>0</v>
      </c>
      <c r="Y158" s="151">
        <f>0</f>
        <v>0</v>
      </c>
      <c r="Z158" s="200">
        <f>0</f>
        <v>0</v>
      </c>
      <c r="AA158" s="113">
        <f t="shared" si="6"/>
        <v>4</v>
      </c>
      <c r="AB158" s="199">
        <f>0</f>
        <v>0</v>
      </c>
      <c r="AC158" s="120">
        <f t="shared" si="7"/>
        <v>4</v>
      </c>
      <c r="AD158" s="170"/>
      <c r="AE158" s="187" t="s">
        <v>529</v>
      </c>
      <c r="AF158" s="171" t="s">
        <v>44</v>
      </c>
      <c r="AG158" s="188"/>
      <c r="AH158" s="187"/>
      <c r="AI158" s="88"/>
      <c r="AJ158" s="89"/>
      <c r="AK158" s="189">
        <f t="shared" si="8"/>
        <v>4</v>
      </c>
      <c r="AL158" s="88"/>
      <c r="AM158" s="83"/>
      <c r="AN158" s="90"/>
      <c r="AO158" s="180"/>
    </row>
    <row r="159" spans="1:41" s="107" customFormat="1" ht="30.75" customHeight="1">
      <c r="A159" s="225">
        <v>154</v>
      </c>
      <c r="B159" s="277">
        <v>44909</v>
      </c>
      <c r="C159" s="286" t="s">
        <v>372</v>
      </c>
      <c r="D159" s="285" t="s">
        <v>1376</v>
      </c>
      <c r="E159" s="296" t="s">
        <v>328</v>
      </c>
      <c r="F159" s="292" t="s">
        <v>1377</v>
      </c>
      <c r="G159" s="210" t="s">
        <v>1376</v>
      </c>
      <c r="H159" s="294" t="s">
        <v>1378</v>
      </c>
      <c r="I159" s="232" t="s">
        <v>390</v>
      </c>
      <c r="J159" s="225" t="s">
        <v>251</v>
      </c>
      <c r="K159" s="277"/>
      <c r="L159" s="286"/>
      <c r="M159" s="290" t="s">
        <v>356</v>
      </c>
      <c r="N159" s="216" t="s">
        <v>71</v>
      </c>
      <c r="O159" s="323">
        <v>0</v>
      </c>
      <c r="P159" s="151">
        <f>0</f>
        <v>0</v>
      </c>
      <c r="Q159" s="151">
        <f>0</f>
        <v>0</v>
      </c>
      <c r="R159" s="151">
        <f>0</f>
        <v>0</v>
      </c>
      <c r="S159" s="151">
        <v>4</v>
      </c>
      <c r="T159" s="151">
        <f>0</f>
        <v>0</v>
      </c>
      <c r="U159" s="151">
        <f>0</f>
        <v>0</v>
      </c>
      <c r="V159" s="151">
        <f>0</f>
        <v>0</v>
      </c>
      <c r="W159" s="151">
        <f>0</f>
        <v>0</v>
      </c>
      <c r="X159" s="151">
        <f>0</f>
        <v>0</v>
      </c>
      <c r="Y159" s="151">
        <f>0</f>
        <v>0</v>
      </c>
      <c r="Z159" s="200">
        <f>0</f>
        <v>0</v>
      </c>
      <c r="AA159" s="113">
        <f t="shared" si="6"/>
        <v>4</v>
      </c>
      <c r="AB159" s="199">
        <v>4</v>
      </c>
      <c r="AC159" s="120">
        <f t="shared" si="7"/>
        <v>0</v>
      </c>
      <c r="AD159" s="170"/>
      <c r="AE159" s="187" t="s">
        <v>529</v>
      </c>
      <c r="AF159" s="171" t="s">
        <v>44</v>
      </c>
      <c r="AG159" s="188"/>
      <c r="AH159" s="187"/>
      <c r="AI159" s="88"/>
      <c r="AJ159" s="89"/>
      <c r="AK159" s="189">
        <f t="shared" si="8"/>
        <v>0</v>
      </c>
      <c r="AL159" s="88" t="s">
        <v>530</v>
      </c>
      <c r="AM159" s="83"/>
      <c r="AN159" s="90"/>
      <c r="AO159" s="180"/>
    </row>
    <row r="160" spans="1:41" s="107" customFormat="1" ht="30.75" customHeight="1">
      <c r="A160" s="225">
        <v>155</v>
      </c>
      <c r="B160" s="277">
        <v>44909</v>
      </c>
      <c r="C160" s="286" t="s">
        <v>372</v>
      </c>
      <c r="D160" s="285" t="s">
        <v>327</v>
      </c>
      <c r="E160" s="296" t="s">
        <v>328</v>
      </c>
      <c r="F160" s="292" t="s">
        <v>1379</v>
      </c>
      <c r="G160" s="210" t="s">
        <v>531</v>
      </c>
      <c r="H160" s="294" t="s">
        <v>531</v>
      </c>
      <c r="I160" s="295" t="s">
        <v>329</v>
      </c>
      <c r="J160" s="225" t="s">
        <v>251</v>
      </c>
      <c r="K160" s="277"/>
      <c r="L160" s="286"/>
      <c r="M160" s="287" t="s">
        <v>533</v>
      </c>
      <c r="N160" s="216" t="s">
        <v>71</v>
      </c>
      <c r="O160" s="323">
        <v>0</v>
      </c>
      <c r="P160" s="151">
        <f>0</f>
        <v>0</v>
      </c>
      <c r="Q160" s="151">
        <f>0</f>
        <v>0</v>
      </c>
      <c r="R160" s="151">
        <f>0</f>
        <v>0</v>
      </c>
      <c r="S160" s="151">
        <v>2</v>
      </c>
      <c r="T160" s="151">
        <f>0</f>
        <v>0</v>
      </c>
      <c r="U160" s="151">
        <f>0</f>
        <v>0</v>
      </c>
      <c r="V160" s="151">
        <f>0</f>
        <v>0</v>
      </c>
      <c r="W160" s="151">
        <f>0</f>
        <v>0</v>
      </c>
      <c r="X160" s="151">
        <f>0</f>
        <v>0</v>
      </c>
      <c r="Y160" s="151">
        <f>0</f>
        <v>0</v>
      </c>
      <c r="Z160" s="200">
        <f>0</f>
        <v>0</v>
      </c>
      <c r="AA160" s="113">
        <f t="shared" si="6"/>
        <v>2</v>
      </c>
      <c r="AB160" s="199">
        <v>2</v>
      </c>
      <c r="AC160" s="120">
        <f t="shared" si="7"/>
        <v>0</v>
      </c>
      <c r="AD160" s="170"/>
      <c r="AE160" s="187" t="s">
        <v>529</v>
      </c>
      <c r="AF160" s="171" t="s">
        <v>44</v>
      </c>
      <c r="AG160" s="188"/>
      <c r="AH160" s="187"/>
      <c r="AI160" s="88"/>
      <c r="AJ160" s="89"/>
      <c r="AK160" s="189">
        <f t="shared" si="8"/>
        <v>0</v>
      </c>
      <c r="AL160" s="88" t="s">
        <v>530</v>
      </c>
      <c r="AM160" s="83"/>
      <c r="AN160" s="90"/>
      <c r="AO160" s="180"/>
    </row>
    <row r="161" spans="1:41" s="288" customFormat="1" ht="30.75" customHeight="1">
      <c r="A161" s="225">
        <v>156</v>
      </c>
      <c r="B161" s="277">
        <v>44909</v>
      </c>
      <c r="C161" s="286" t="s">
        <v>372</v>
      </c>
      <c r="D161" s="285" t="s">
        <v>518</v>
      </c>
      <c r="E161" s="296">
        <v>0</v>
      </c>
      <c r="F161" s="292" t="s">
        <v>1380</v>
      </c>
      <c r="G161" s="210" t="s">
        <v>518</v>
      </c>
      <c r="H161" s="294" t="s">
        <v>518</v>
      </c>
      <c r="I161" s="295" t="s">
        <v>227</v>
      </c>
      <c r="J161" s="225" t="s">
        <v>251</v>
      </c>
      <c r="K161" s="277"/>
      <c r="L161" s="286"/>
      <c r="M161" s="287"/>
      <c r="N161" s="216" t="s">
        <v>71</v>
      </c>
      <c r="O161" s="391">
        <v>0</v>
      </c>
      <c r="P161" s="77">
        <f>0</f>
        <v>0</v>
      </c>
      <c r="Q161" s="77">
        <f>0</f>
        <v>0</v>
      </c>
      <c r="R161" s="77">
        <f>0</f>
        <v>0</v>
      </c>
      <c r="S161" s="77">
        <v>6</v>
      </c>
      <c r="T161" s="77">
        <f>0</f>
        <v>0</v>
      </c>
      <c r="U161" s="77">
        <f>0</f>
        <v>0</v>
      </c>
      <c r="V161" s="77">
        <f>0</f>
        <v>0</v>
      </c>
      <c r="W161" s="77">
        <f>0</f>
        <v>0</v>
      </c>
      <c r="X161" s="77">
        <f>0</f>
        <v>0</v>
      </c>
      <c r="Y161" s="77">
        <f>0</f>
        <v>0</v>
      </c>
      <c r="Z161" s="392">
        <f>0</f>
        <v>0</v>
      </c>
      <c r="AA161" s="131">
        <f t="shared" si="6"/>
        <v>6</v>
      </c>
      <c r="AB161" s="158">
        <f>0</f>
        <v>0</v>
      </c>
      <c r="AC161" s="145">
        <f t="shared" si="7"/>
        <v>6</v>
      </c>
      <c r="AD161" s="114" t="s">
        <v>1430</v>
      </c>
      <c r="AE161" s="177" t="s">
        <v>239</v>
      </c>
      <c r="AF161" s="84" t="s">
        <v>1431</v>
      </c>
      <c r="AG161" s="188"/>
      <c r="AH161" s="187"/>
      <c r="AI161" s="88"/>
      <c r="AJ161" s="89">
        <v>6</v>
      </c>
      <c r="AK161" s="189">
        <f t="shared" si="8"/>
        <v>0</v>
      </c>
      <c r="AL161" s="88" t="s">
        <v>1528</v>
      </c>
      <c r="AM161" s="83"/>
      <c r="AN161" s="90"/>
      <c r="AO161" s="180"/>
    </row>
    <row r="162" spans="1:41" s="107" customFormat="1" ht="30.75" customHeight="1">
      <c r="A162" s="233">
        <v>157</v>
      </c>
      <c r="B162" s="277">
        <v>44909</v>
      </c>
      <c r="C162" s="286" t="s">
        <v>372</v>
      </c>
      <c r="D162" s="285" t="s">
        <v>343</v>
      </c>
      <c r="E162" s="296" t="s">
        <v>322</v>
      </c>
      <c r="F162" s="292" t="s">
        <v>519</v>
      </c>
      <c r="G162" s="210" t="s">
        <v>343</v>
      </c>
      <c r="H162" s="294" t="s">
        <v>343</v>
      </c>
      <c r="I162" s="295" t="s">
        <v>227</v>
      </c>
      <c r="J162" s="225" t="s">
        <v>251</v>
      </c>
      <c r="K162" s="277"/>
      <c r="L162" s="286"/>
      <c r="M162" s="287"/>
      <c r="N162" s="216" t="s">
        <v>71</v>
      </c>
      <c r="O162" s="323">
        <v>0</v>
      </c>
      <c r="P162" s="151">
        <f>0</f>
        <v>0</v>
      </c>
      <c r="Q162" s="151">
        <f>0</f>
        <v>0</v>
      </c>
      <c r="R162" s="151">
        <f>0</f>
        <v>0</v>
      </c>
      <c r="S162" s="151">
        <v>6</v>
      </c>
      <c r="T162" s="151">
        <f>0</f>
        <v>0</v>
      </c>
      <c r="U162" s="151">
        <f>0</f>
        <v>0</v>
      </c>
      <c r="V162" s="151">
        <f>0</f>
        <v>0</v>
      </c>
      <c r="W162" s="151">
        <f>0</f>
        <v>0</v>
      </c>
      <c r="X162" s="151">
        <f>0</f>
        <v>0</v>
      </c>
      <c r="Y162" s="151">
        <f>0</f>
        <v>0</v>
      </c>
      <c r="Z162" s="200">
        <f>0</f>
        <v>0</v>
      </c>
      <c r="AA162" s="113">
        <f t="shared" si="6"/>
        <v>6</v>
      </c>
      <c r="AB162" s="199">
        <v>6</v>
      </c>
      <c r="AC162" s="120">
        <f t="shared" si="7"/>
        <v>0</v>
      </c>
      <c r="AD162" s="170"/>
      <c r="AE162" s="187"/>
      <c r="AF162" s="130" t="s">
        <v>292</v>
      </c>
      <c r="AG162" s="188"/>
      <c r="AH162" s="187"/>
      <c r="AI162" s="88"/>
      <c r="AJ162" s="89" t="s">
        <v>500</v>
      </c>
      <c r="AK162" s="189" t="e">
        <f t="shared" si="8"/>
        <v>#VALUE!</v>
      </c>
      <c r="AL162" s="88" t="s">
        <v>534</v>
      </c>
      <c r="AM162" s="83"/>
      <c r="AN162" s="90"/>
      <c r="AO162" s="180"/>
    </row>
    <row r="163" spans="1:41" s="288" customFormat="1" ht="30.75" customHeight="1">
      <c r="A163" s="225">
        <v>158</v>
      </c>
      <c r="B163" s="277">
        <v>44909</v>
      </c>
      <c r="C163" s="286" t="s">
        <v>372</v>
      </c>
      <c r="D163" s="285" t="s">
        <v>520</v>
      </c>
      <c r="E163" s="296" t="s">
        <v>322</v>
      </c>
      <c r="F163" s="292" t="s">
        <v>1381</v>
      </c>
      <c r="G163" s="210" t="s">
        <v>520</v>
      </c>
      <c r="H163" s="294" t="s">
        <v>520</v>
      </c>
      <c r="I163" s="295" t="s">
        <v>227</v>
      </c>
      <c r="J163" s="225" t="s">
        <v>251</v>
      </c>
      <c r="K163" s="277"/>
      <c r="L163" s="286"/>
      <c r="M163" s="287" t="s">
        <v>533</v>
      </c>
      <c r="N163" s="216" t="s">
        <v>71</v>
      </c>
      <c r="O163" s="323">
        <v>0</v>
      </c>
      <c r="P163" s="151">
        <f>0</f>
        <v>0</v>
      </c>
      <c r="Q163" s="151">
        <f>0</f>
        <v>0</v>
      </c>
      <c r="R163" s="151">
        <f>0</f>
        <v>0</v>
      </c>
      <c r="S163" s="151">
        <v>2</v>
      </c>
      <c r="T163" s="151">
        <f>0</f>
        <v>0</v>
      </c>
      <c r="U163" s="151">
        <f>0</f>
        <v>0</v>
      </c>
      <c r="V163" s="151">
        <f>0</f>
        <v>0</v>
      </c>
      <c r="W163" s="151">
        <f>0</f>
        <v>0</v>
      </c>
      <c r="X163" s="151">
        <f>0</f>
        <v>0</v>
      </c>
      <c r="Y163" s="151">
        <f>0</f>
        <v>0</v>
      </c>
      <c r="Z163" s="200">
        <f>0</f>
        <v>0</v>
      </c>
      <c r="AA163" s="113">
        <f t="shared" si="6"/>
        <v>2</v>
      </c>
      <c r="AB163" s="199">
        <v>2</v>
      </c>
      <c r="AC163" s="120">
        <f t="shared" si="7"/>
        <v>0</v>
      </c>
      <c r="AD163" s="170"/>
      <c r="AE163" s="187"/>
      <c r="AF163" s="533" t="s">
        <v>1613</v>
      </c>
      <c r="AG163" s="188"/>
      <c r="AH163" s="187"/>
      <c r="AI163" s="88"/>
      <c r="AJ163" s="89"/>
      <c r="AK163" s="189">
        <f t="shared" si="8"/>
        <v>0</v>
      </c>
      <c r="AL163" s="88"/>
      <c r="AM163" s="83"/>
      <c r="AN163" s="90"/>
      <c r="AO163" s="180"/>
    </row>
    <row r="164" spans="1:41" s="107" customFormat="1" ht="30.75" customHeight="1">
      <c r="A164" s="225">
        <v>159</v>
      </c>
      <c r="B164" s="277">
        <v>44909</v>
      </c>
      <c r="C164" s="286" t="s">
        <v>372</v>
      </c>
      <c r="D164" s="285" t="s">
        <v>521</v>
      </c>
      <c r="E164" s="297">
        <v>0</v>
      </c>
      <c r="F164" s="292" t="s">
        <v>528</v>
      </c>
      <c r="G164" s="210" t="s">
        <v>521</v>
      </c>
      <c r="H164" s="294" t="s">
        <v>521</v>
      </c>
      <c r="I164" s="295" t="s">
        <v>227</v>
      </c>
      <c r="J164" s="225" t="s">
        <v>251</v>
      </c>
      <c r="K164" s="277"/>
      <c r="L164" s="286"/>
      <c r="M164" s="287" t="s">
        <v>532</v>
      </c>
      <c r="N164" s="216" t="s">
        <v>71</v>
      </c>
      <c r="O164" s="323">
        <v>0</v>
      </c>
      <c r="P164" s="151">
        <f>0</f>
        <v>0</v>
      </c>
      <c r="Q164" s="151">
        <f>0</f>
        <v>0</v>
      </c>
      <c r="R164" s="151">
        <f>0</f>
        <v>0</v>
      </c>
      <c r="S164" s="151">
        <v>2</v>
      </c>
      <c r="T164" s="151">
        <f>0</f>
        <v>0</v>
      </c>
      <c r="U164" s="151">
        <f>0</f>
        <v>0</v>
      </c>
      <c r="V164" s="151">
        <f>0</f>
        <v>0</v>
      </c>
      <c r="W164" s="151">
        <f>0</f>
        <v>0</v>
      </c>
      <c r="X164" s="151">
        <f>0</f>
        <v>0</v>
      </c>
      <c r="Y164" s="151">
        <f>0</f>
        <v>0</v>
      </c>
      <c r="Z164" s="200">
        <f>0</f>
        <v>0</v>
      </c>
      <c r="AA164" s="113">
        <f t="shared" si="6"/>
        <v>2</v>
      </c>
      <c r="AB164" s="199">
        <v>2</v>
      </c>
      <c r="AC164" s="120">
        <f t="shared" si="7"/>
        <v>0</v>
      </c>
      <c r="AD164" s="170"/>
      <c r="AE164" s="187"/>
      <c r="AF164" s="171" t="s">
        <v>587</v>
      </c>
      <c r="AG164" s="188"/>
      <c r="AH164" s="187"/>
      <c r="AI164" s="88"/>
      <c r="AJ164" s="89">
        <v>0</v>
      </c>
      <c r="AK164" s="189">
        <f t="shared" si="8"/>
        <v>0</v>
      </c>
      <c r="AL164" s="88" t="s">
        <v>580</v>
      </c>
      <c r="AM164" s="83"/>
      <c r="AN164" s="90"/>
      <c r="AO164" s="180"/>
    </row>
    <row r="165" spans="1:41" s="107" customFormat="1" ht="30.75" customHeight="1">
      <c r="A165" s="225">
        <v>160</v>
      </c>
      <c r="B165" s="277">
        <v>44909</v>
      </c>
      <c r="C165" s="286" t="s">
        <v>372</v>
      </c>
      <c r="D165" s="285" t="s">
        <v>522</v>
      </c>
      <c r="E165" s="296">
        <v>0</v>
      </c>
      <c r="F165" s="292" t="s">
        <v>1382</v>
      </c>
      <c r="G165" s="210" t="s">
        <v>522</v>
      </c>
      <c r="H165" s="294" t="s">
        <v>522</v>
      </c>
      <c r="I165" s="295" t="s">
        <v>523</v>
      </c>
      <c r="J165" s="225" t="s">
        <v>251</v>
      </c>
      <c r="K165" s="277"/>
      <c r="L165" s="286"/>
      <c r="M165" s="286"/>
      <c r="N165" s="216" t="s">
        <v>544</v>
      </c>
      <c r="O165" s="323">
        <v>0</v>
      </c>
      <c r="P165" s="151">
        <f>0</f>
        <v>0</v>
      </c>
      <c r="Q165" s="151">
        <v>2</v>
      </c>
      <c r="R165" s="151">
        <f>0</f>
        <v>0</v>
      </c>
      <c r="S165" s="151">
        <v>2</v>
      </c>
      <c r="T165" s="151">
        <f>0</f>
        <v>0</v>
      </c>
      <c r="U165" s="151">
        <v>2</v>
      </c>
      <c r="V165" s="151">
        <f>0</f>
        <v>0</v>
      </c>
      <c r="W165" s="151">
        <f>0</f>
        <v>0</v>
      </c>
      <c r="X165" s="151">
        <f>0</f>
        <v>0</v>
      </c>
      <c r="Y165" s="151">
        <f>0</f>
        <v>0</v>
      </c>
      <c r="Z165" s="200">
        <f>0</f>
        <v>0</v>
      </c>
      <c r="AA165" s="113">
        <f t="shared" si="6"/>
        <v>6</v>
      </c>
      <c r="AB165" s="199">
        <f>0</f>
        <v>0</v>
      </c>
      <c r="AC165" s="120">
        <f t="shared" si="7"/>
        <v>6</v>
      </c>
      <c r="AD165" s="170">
        <v>44935</v>
      </c>
      <c r="AE165" s="187" t="s">
        <v>282</v>
      </c>
      <c r="AF165" s="171" t="s">
        <v>737</v>
      </c>
      <c r="AG165" s="188"/>
      <c r="AH165" s="187" t="s">
        <v>738</v>
      </c>
      <c r="AI165" s="88"/>
      <c r="AJ165" s="89">
        <v>6</v>
      </c>
      <c r="AK165" s="189">
        <f t="shared" si="8"/>
        <v>0</v>
      </c>
      <c r="AL165" s="88" t="s">
        <v>1396</v>
      </c>
      <c r="AM165" s="83"/>
      <c r="AN165" s="90"/>
      <c r="AO165" s="180"/>
    </row>
    <row r="166" spans="1:41" s="107" customFormat="1" ht="30.75" customHeight="1">
      <c r="A166" s="233">
        <v>161</v>
      </c>
      <c r="B166" s="277">
        <v>44909</v>
      </c>
      <c r="C166" s="286" t="s">
        <v>372</v>
      </c>
      <c r="D166" s="285" t="s">
        <v>524</v>
      </c>
      <c r="E166" s="296" t="s">
        <v>338</v>
      </c>
      <c r="F166" s="292" t="s">
        <v>1382</v>
      </c>
      <c r="G166" s="210" t="s">
        <v>524</v>
      </c>
      <c r="H166" s="294" t="s">
        <v>524</v>
      </c>
      <c r="I166" s="295" t="s">
        <v>523</v>
      </c>
      <c r="J166" s="225" t="s">
        <v>251</v>
      </c>
      <c r="K166" s="277"/>
      <c r="L166" s="286"/>
      <c r="M166" s="286"/>
      <c r="N166" s="216" t="s">
        <v>544</v>
      </c>
      <c r="O166" s="323">
        <v>0</v>
      </c>
      <c r="P166" s="151">
        <f>0</f>
        <v>0</v>
      </c>
      <c r="Q166" s="151">
        <v>2</v>
      </c>
      <c r="R166" s="151">
        <f>0</f>
        <v>0</v>
      </c>
      <c r="S166" s="151">
        <v>2</v>
      </c>
      <c r="T166" s="151">
        <f>0</f>
        <v>0</v>
      </c>
      <c r="U166" s="151">
        <v>2</v>
      </c>
      <c r="V166" s="151">
        <f>0</f>
        <v>0</v>
      </c>
      <c r="W166" s="151">
        <f>0</f>
        <v>0</v>
      </c>
      <c r="X166" s="151">
        <f>0</f>
        <v>0</v>
      </c>
      <c r="Y166" s="151">
        <f>0</f>
        <v>0</v>
      </c>
      <c r="Z166" s="200">
        <f>0</f>
        <v>0</v>
      </c>
      <c r="AA166" s="113">
        <f t="shared" si="6"/>
        <v>6</v>
      </c>
      <c r="AB166" s="199">
        <v>6</v>
      </c>
      <c r="AC166" s="120">
        <f t="shared" si="7"/>
        <v>0</v>
      </c>
      <c r="AD166" s="170"/>
      <c r="AE166" s="187"/>
      <c r="AF166" s="171" t="s">
        <v>587</v>
      </c>
      <c r="AG166" s="188"/>
      <c r="AH166" s="187"/>
      <c r="AI166" s="88"/>
      <c r="AJ166" s="89"/>
      <c r="AK166" s="189">
        <f t="shared" si="8"/>
        <v>0</v>
      </c>
      <c r="AL166" s="88" t="s">
        <v>589</v>
      </c>
      <c r="AM166" s="83"/>
      <c r="AN166" s="90"/>
      <c r="AO166" s="180"/>
    </row>
    <row r="167" spans="1:41" s="288" customFormat="1" ht="30.75" customHeight="1">
      <c r="A167" s="225">
        <v>162</v>
      </c>
      <c r="B167" s="277">
        <v>44914</v>
      </c>
      <c r="C167" s="286" t="s">
        <v>254</v>
      </c>
      <c r="D167" s="285" t="s">
        <v>549</v>
      </c>
      <c r="E167" s="217">
        <v>0</v>
      </c>
      <c r="F167" s="285" t="s">
        <v>549</v>
      </c>
      <c r="G167" s="188" t="s">
        <v>252</v>
      </c>
      <c r="H167" s="520" t="s">
        <v>550</v>
      </c>
      <c r="I167" s="232" t="s">
        <v>551</v>
      </c>
      <c r="J167" s="225" t="s">
        <v>251</v>
      </c>
      <c r="K167" s="171" t="s">
        <v>252</v>
      </c>
      <c r="L167" s="171" t="s">
        <v>252</v>
      </c>
      <c r="M167" s="171" t="s">
        <v>252</v>
      </c>
      <c r="N167" s="216" t="s">
        <v>552</v>
      </c>
      <c r="O167" s="323">
        <v>4</v>
      </c>
      <c r="P167" s="151">
        <f>0</f>
        <v>0</v>
      </c>
      <c r="Q167" s="151">
        <f>0</f>
        <v>0</v>
      </c>
      <c r="R167" s="151">
        <f>0</f>
        <v>0</v>
      </c>
      <c r="S167" s="151">
        <f>0</f>
        <v>0</v>
      </c>
      <c r="T167" s="151">
        <f>0</f>
        <v>0</v>
      </c>
      <c r="U167" s="151">
        <f>0</f>
        <v>0</v>
      </c>
      <c r="V167" s="151">
        <f>0</f>
        <v>0</v>
      </c>
      <c r="W167" s="151">
        <f>0</f>
        <v>0</v>
      </c>
      <c r="X167" s="151">
        <f>0</f>
        <v>0</v>
      </c>
      <c r="Y167" s="151">
        <f>0</f>
        <v>0</v>
      </c>
      <c r="Z167" s="200">
        <f>0</f>
        <v>0</v>
      </c>
      <c r="AA167" s="131">
        <f t="shared" si="6"/>
        <v>4</v>
      </c>
      <c r="AB167" s="158">
        <v>0</v>
      </c>
      <c r="AC167" s="145">
        <f t="shared" si="7"/>
        <v>4</v>
      </c>
      <c r="AD167" s="170">
        <v>44936</v>
      </c>
      <c r="AE167" s="187" t="s">
        <v>282</v>
      </c>
      <c r="AF167" s="171"/>
      <c r="AG167" s="188"/>
      <c r="AH167" s="187"/>
      <c r="AI167" s="88"/>
      <c r="AJ167" s="89">
        <v>4</v>
      </c>
      <c r="AK167" s="189">
        <f t="shared" si="8"/>
        <v>0</v>
      </c>
      <c r="AL167" s="88" t="s">
        <v>740</v>
      </c>
      <c r="AM167" s="83"/>
      <c r="AN167" s="90"/>
      <c r="AO167" s="180"/>
    </row>
    <row r="168" spans="1:41" s="107" customFormat="1" ht="30.75" customHeight="1">
      <c r="A168" s="225">
        <v>163</v>
      </c>
      <c r="B168" s="234">
        <v>44914</v>
      </c>
      <c r="C168" s="286" t="s">
        <v>254</v>
      </c>
      <c r="D168" s="214" t="s">
        <v>554</v>
      </c>
      <c r="E168" s="217" t="s">
        <v>328</v>
      </c>
      <c r="F168" s="222" t="s">
        <v>555</v>
      </c>
      <c r="G168" s="188" t="s">
        <v>252</v>
      </c>
      <c r="H168" s="231" t="s">
        <v>554</v>
      </c>
      <c r="I168" s="232" t="s">
        <v>309</v>
      </c>
      <c r="J168" s="84" t="s">
        <v>251</v>
      </c>
      <c r="K168" s="171" t="s">
        <v>252</v>
      </c>
      <c r="L168" s="171" t="s">
        <v>252</v>
      </c>
      <c r="M168" s="171" t="s">
        <v>252</v>
      </c>
      <c r="N168" s="216" t="s">
        <v>553</v>
      </c>
      <c r="O168" s="323">
        <v>5</v>
      </c>
      <c r="P168" s="151">
        <f>0</f>
        <v>0</v>
      </c>
      <c r="Q168" s="151">
        <f>0</f>
        <v>0</v>
      </c>
      <c r="R168" s="151">
        <f>0</f>
        <v>0</v>
      </c>
      <c r="S168" s="151">
        <f>0</f>
        <v>0</v>
      </c>
      <c r="T168" s="151">
        <f>0</f>
        <v>0</v>
      </c>
      <c r="U168" s="151">
        <f>0</f>
        <v>0</v>
      </c>
      <c r="V168" s="151">
        <f>0</f>
        <v>0</v>
      </c>
      <c r="W168" s="151">
        <f>0</f>
        <v>0</v>
      </c>
      <c r="X168" s="151">
        <f>0</f>
        <v>0</v>
      </c>
      <c r="Y168" s="151">
        <f>0</f>
        <v>0</v>
      </c>
      <c r="Z168" s="200">
        <f>0</f>
        <v>0</v>
      </c>
      <c r="AA168" s="113">
        <f t="shared" si="6"/>
        <v>5</v>
      </c>
      <c r="AB168" s="199">
        <v>5</v>
      </c>
      <c r="AC168" s="120">
        <f t="shared" si="7"/>
        <v>0</v>
      </c>
      <c r="AD168" s="170"/>
      <c r="AE168" s="187"/>
      <c r="AF168" s="171"/>
      <c r="AG168" s="188"/>
      <c r="AH168" s="187"/>
      <c r="AI168" s="88"/>
      <c r="AJ168" s="89" t="s">
        <v>545</v>
      </c>
      <c r="AK168" s="189" t="e">
        <f t="shared" si="8"/>
        <v>#VALUE!</v>
      </c>
      <c r="AL168" s="88" t="s">
        <v>734</v>
      </c>
      <c r="AM168" s="83"/>
      <c r="AN168" s="90"/>
      <c r="AO168" s="180"/>
    </row>
    <row r="169" spans="1:41" s="107" customFormat="1" ht="30.75" customHeight="1">
      <c r="A169" s="225">
        <v>164</v>
      </c>
      <c r="B169" s="234">
        <v>44914</v>
      </c>
      <c r="C169" s="286" t="s">
        <v>254</v>
      </c>
      <c r="D169" s="285" t="s">
        <v>556</v>
      </c>
      <c r="E169" s="217" t="s">
        <v>316</v>
      </c>
      <c r="F169" s="222" t="s">
        <v>557</v>
      </c>
      <c r="G169" s="188" t="s">
        <v>252</v>
      </c>
      <c r="H169" s="231" t="s">
        <v>556</v>
      </c>
      <c r="I169" s="232" t="s">
        <v>558</v>
      </c>
      <c r="J169" s="84" t="s">
        <v>251</v>
      </c>
      <c r="K169" s="171" t="s">
        <v>252</v>
      </c>
      <c r="L169" s="171" t="s">
        <v>252</v>
      </c>
      <c r="M169" s="171" t="s">
        <v>252</v>
      </c>
      <c r="N169" s="216" t="s">
        <v>553</v>
      </c>
      <c r="O169" s="323">
        <v>1</v>
      </c>
      <c r="P169" s="151">
        <f>0</f>
        <v>0</v>
      </c>
      <c r="Q169" s="151">
        <f>0</f>
        <v>0</v>
      </c>
      <c r="R169" s="151">
        <f>0</f>
        <v>0</v>
      </c>
      <c r="S169" s="151">
        <f>0</f>
        <v>0</v>
      </c>
      <c r="T169" s="151">
        <f>0</f>
        <v>0</v>
      </c>
      <c r="U169" s="151">
        <f>0</f>
        <v>0</v>
      </c>
      <c r="V169" s="151">
        <f>0</f>
        <v>0</v>
      </c>
      <c r="W169" s="151">
        <f>0</f>
        <v>0</v>
      </c>
      <c r="X169" s="151">
        <f>0</f>
        <v>0</v>
      </c>
      <c r="Y169" s="151">
        <f>0</f>
        <v>0</v>
      </c>
      <c r="Z169" s="200">
        <f>0</f>
        <v>0</v>
      </c>
      <c r="AA169" s="113">
        <f t="shared" si="6"/>
        <v>1</v>
      </c>
      <c r="AB169" s="199">
        <v>0</v>
      </c>
      <c r="AC169" s="120">
        <f t="shared" si="7"/>
        <v>1</v>
      </c>
      <c r="AD169" s="170"/>
      <c r="AE169" s="187"/>
      <c r="AF169" s="171"/>
      <c r="AG169" s="188"/>
      <c r="AH169" s="187"/>
      <c r="AI169" s="88"/>
      <c r="AJ169" s="89" t="s">
        <v>499</v>
      </c>
      <c r="AK169" s="189" t="e">
        <f t="shared" si="8"/>
        <v>#VALUE!</v>
      </c>
      <c r="AL169" s="88"/>
      <c r="AM169" s="83"/>
      <c r="AN169" s="90"/>
      <c r="AO169" s="180"/>
    </row>
    <row r="170" spans="1:41" s="107" customFormat="1" ht="30.75" customHeight="1">
      <c r="A170" s="233">
        <v>165</v>
      </c>
      <c r="B170" s="234">
        <v>44914</v>
      </c>
      <c r="C170" s="286" t="s">
        <v>254</v>
      </c>
      <c r="D170" s="285" t="s">
        <v>563</v>
      </c>
      <c r="E170" s="217" t="s">
        <v>322</v>
      </c>
      <c r="F170" s="222" t="s">
        <v>564</v>
      </c>
      <c r="G170" s="188"/>
      <c r="H170" s="231" t="s">
        <v>565</v>
      </c>
      <c r="I170" s="232" t="s">
        <v>227</v>
      </c>
      <c r="J170" s="84" t="s">
        <v>251</v>
      </c>
      <c r="K170" s="171" t="s">
        <v>252</v>
      </c>
      <c r="L170" s="171" t="s">
        <v>252</v>
      </c>
      <c r="M170" s="171" t="s">
        <v>252</v>
      </c>
      <c r="N170" s="216" t="s">
        <v>578</v>
      </c>
      <c r="O170" s="323">
        <v>0</v>
      </c>
      <c r="P170" s="151">
        <f>0</f>
        <v>0</v>
      </c>
      <c r="Q170" s="151">
        <v>2</v>
      </c>
      <c r="R170" s="151">
        <f>0</f>
        <v>0</v>
      </c>
      <c r="S170" s="151">
        <f>0</f>
        <v>0</v>
      </c>
      <c r="T170" s="151">
        <f>0</f>
        <v>0</v>
      </c>
      <c r="U170" s="151">
        <f>0</f>
        <v>0</v>
      </c>
      <c r="V170" s="151">
        <f>0</f>
        <v>0</v>
      </c>
      <c r="W170" s="151">
        <f>0</f>
        <v>0</v>
      </c>
      <c r="X170" s="151">
        <f>0</f>
        <v>0</v>
      </c>
      <c r="Y170" s="151">
        <f>0</f>
        <v>0</v>
      </c>
      <c r="Z170" s="200">
        <f>0</f>
        <v>0</v>
      </c>
      <c r="AA170" s="113">
        <f t="shared" si="6"/>
        <v>2</v>
      </c>
      <c r="AB170" s="199">
        <v>8</v>
      </c>
      <c r="AC170" s="120">
        <f t="shared" si="7"/>
        <v>-6</v>
      </c>
      <c r="AD170" s="170"/>
      <c r="AE170" s="187"/>
      <c r="AF170" s="171"/>
      <c r="AG170" s="188"/>
      <c r="AH170" s="187"/>
      <c r="AI170" s="88"/>
      <c r="AJ170" s="89">
        <v>8</v>
      </c>
      <c r="AK170" s="189">
        <f t="shared" si="8"/>
        <v>-14</v>
      </c>
      <c r="AL170" s="88" t="s">
        <v>580</v>
      </c>
      <c r="AM170" s="83"/>
      <c r="AN170" s="90"/>
      <c r="AO170" s="180"/>
    </row>
    <row r="171" spans="1:41" s="107" customFormat="1" ht="30.75" customHeight="1">
      <c r="A171" s="225">
        <v>166</v>
      </c>
      <c r="B171" s="234">
        <v>44914</v>
      </c>
      <c r="C171" s="286" t="s">
        <v>254</v>
      </c>
      <c r="D171" s="285" t="s">
        <v>566</v>
      </c>
      <c r="E171" s="217" t="s">
        <v>322</v>
      </c>
      <c r="F171" s="222" t="s">
        <v>567</v>
      </c>
      <c r="G171" s="188"/>
      <c r="H171" s="231" t="s">
        <v>252</v>
      </c>
      <c r="I171" s="232" t="s">
        <v>568</v>
      </c>
      <c r="J171" s="84" t="s">
        <v>251</v>
      </c>
      <c r="K171" s="171" t="s">
        <v>252</v>
      </c>
      <c r="L171" s="171" t="s">
        <v>252</v>
      </c>
      <c r="M171" s="171" t="s">
        <v>252</v>
      </c>
      <c r="N171" s="216" t="s">
        <v>578</v>
      </c>
      <c r="O171" s="323">
        <v>0</v>
      </c>
      <c r="P171" s="151">
        <f>0</f>
        <v>0</v>
      </c>
      <c r="Q171" s="151">
        <v>1</v>
      </c>
      <c r="R171" s="151">
        <f>0</f>
        <v>0</v>
      </c>
      <c r="S171" s="151">
        <f>0</f>
        <v>0</v>
      </c>
      <c r="T171" s="151">
        <f>0</f>
        <v>0</v>
      </c>
      <c r="U171" s="151">
        <f>0</f>
        <v>0</v>
      </c>
      <c r="V171" s="151">
        <f>0</f>
        <v>0</v>
      </c>
      <c r="W171" s="151">
        <f>0</f>
        <v>0</v>
      </c>
      <c r="X171" s="151">
        <f>0</f>
        <v>0</v>
      </c>
      <c r="Y171" s="151">
        <f>0</f>
        <v>0</v>
      </c>
      <c r="Z171" s="200">
        <f>0</f>
        <v>0</v>
      </c>
      <c r="AA171" s="113">
        <f t="shared" si="6"/>
        <v>1</v>
      </c>
      <c r="AB171" s="199"/>
      <c r="AC171" s="120">
        <f t="shared" si="7"/>
        <v>1</v>
      </c>
      <c r="AD171" s="170"/>
      <c r="AE171" s="187" t="s">
        <v>529</v>
      </c>
      <c r="AF171" s="84"/>
      <c r="AG171" s="188"/>
      <c r="AH171" s="187"/>
      <c r="AI171" s="88"/>
      <c r="AJ171" s="89"/>
      <c r="AK171" s="189">
        <f t="shared" si="8"/>
        <v>1</v>
      </c>
      <c r="AL171" s="88"/>
      <c r="AM171" s="83"/>
      <c r="AN171" s="90"/>
      <c r="AO171" s="180"/>
    </row>
    <row r="172" spans="1:41" s="107" customFormat="1" ht="30.75" customHeight="1">
      <c r="A172" s="225">
        <v>167</v>
      </c>
      <c r="B172" s="234">
        <v>44914</v>
      </c>
      <c r="C172" s="286" t="s">
        <v>254</v>
      </c>
      <c r="D172" s="285" t="s">
        <v>569</v>
      </c>
      <c r="E172" s="217" t="s">
        <v>328</v>
      </c>
      <c r="F172" s="222" t="s">
        <v>570</v>
      </c>
      <c r="G172" s="188"/>
      <c r="H172" s="231" t="s">
        <v>571</v>
      </c>
      <c r="I172" s="232" t="s">
        <v>168</v>
      </c>
      <c r="J172" s="84" t="s">
        <v>251</v>
      </c>
      <c r="K172" s="171" t="s">
        <v>252</v>
      </c>
      <c r="L172" s="171" t="s">
        <v>252</v>
      </c>
      <c r="M172" s="171" t="s">
        <v>252</v>
      </c>
      <c r="N172" s="216" t="s">
        <v>578</v>
      </c>
      <c r="O172" s="323">
        <v>0</v>
      </c>
      <c r="P172" s="151">
        <f>0</f>
        <v>0</v>
      </c>
      <c r="Q172" s="151">
        <v>2</v>
      </c>
      <c r="R172" s="151">
        <f>0</f>
        <v>0</v>
      </c>
      <c r="S172" s="151">
        <f>0</f>
        <v>0</v>
      </c>
      <c r="T172" s="151">
        <f>0</f>
        <v>0</v>
      </c>
      <c r="U172" s="151">
        <f>0</f>
        <v>0</v>
      </c>
      <c r="V172" s="151">
        <f>0</f>
        <v>0</v>
      </c>
      <c r="W172" s="151">
        <f>0</f>
        <v>0</v>
      </c>
      <c r="X172" s="151">
        <f>0</f>
        <v>0</v>
      </c>
      <c r="Y172" s="151">
        <f>0</f>
        <v>0</v>
      </c>
      <c r="Z172" s="200">
        <f>0</f>
        <v>0</v>
      </c>
      <c r="AA172" s="113">
        <f t="shared" si="6"/>
        <v>2</v>
      </c>
      <c r="AB172" s="199"/>
      <c r="AC172" s="120">
        <f t="shared" si="7"/>
        <v>2</v>
      </c>
      <c r="AD172" s="170"/>
      <c r="AE172" s="187"/>
      <c r="AF172" s="171" t="s">
        <v>292</v>
      </c>
      <c r="AG172" s="188"/>
      <c r="AH172" s="187"/>
      <c r="AI172" s="88"/>
      <c r="AJ172" s="89" t="s">
        <v>499</v>
      </c>
      <c r="AK172" s="189" t="e">
        <f t="shared" si="8"/>
        <v>#VALUE!</v>
      </c>
      <c r="AL172" s="88"/>
      <c r="AM172" s="83"/>
      <c r="AN172" s="90"/>
      <c r="AO172" s="180"/>
    </row>
    <row r="173" spans="1:41" s="107" customFormat="1" ht="30.75" customHeight="1">
      <c r="A173" s="225">
        <v>168</v>
      </c>
      <c r="B173" s="234">
        <v>44914</v>
      </c>
      <c r="C173" s="286" t="s">
        <v>254</v>
      </c>
      <c r="D173" s="285" t="s">
        <v>572</v>
      </c>
      <c r="E173" s="377" t="s">
        <v>322</v>
      </c>
      <c r="F173" s="222" t="s">
        <v>573</v>
      </c>
      <c r="G173" s="188"/>
      <c r="H173" s="231">
        <v>562959</v>
      </c>
      <c r="I173" s="232" t="s">
        <v>329</v>
      </c>
      <c r="J173" s="84" t="s">
        <v>251</v>
      </c>
      <c r="K173" s="171" t="s">
        <v>252</v>
      </c>
      <c r="L173" s="171" t="s">
        <v>252</v>
      </c>
      <c r="M173" s="171" t="s">
        <v>252</v>
      </c>
      <c r="N173" s="216" t="s">
        <v>578</v>
      </c>
      <c r="O173" s="323">
        <v>0</v>
      </c>
      <c r="P173" s="151">
        <f>0</f>
        <v>0</v>
      </c>
      <c r="Q173" s="151">
        <v>2</v>
      </c>
      <c r="R173" s="151">
        <f>0</f>
        <v>0</v>
      </c>
      <c r="S173" s="151">
        <f>0</f>
        <v>0</v>
      </c>
      <c r="T173" s="151">
        <f>0</f>
        <v>0</v>
      </c>
      <c r="U173" s="151">
        <f>0</f>
        <v>0</v>
      </c>
      <c r="V173" s="151">
        <f>0</f>
        <v>0</v>
      </c>
      <c r="W173" s="151">
        <f>0</f>
        <v>0</v>
      </c>
      <c r="X173" s="151">
        <f>0</f>
        <v>0</v>
      </c>
      <c r="Y173" s="151">
        <f>0</f>
        <v>0</v>
      </c>
      <c r="Z173" s="200">
        <f>0</f>
        <v>0</v>
      </c>
      <c r="AA173" s="113">
        <f t="shared" si="6"/>
        <v>2</v>
      </c>
      <c r="AB173" s="199">
        <v>10</v>
      </c>
      <c r="AC173" s="120">
        <f t="shared" si="7"/>
        <v>-8</v>
      </c>
      <c r="AD173" s="170"/>
      <c r="AE173" s="187"/>
      <c r="AF173" s="130" t="s">
        <v>587</v>
      </c>
      <c r="AG173" s="188"/>
      <c r="AH173" s="187"/>
      <c r="AI173" s="88"/>
      <c r="AJ173" s="89">
        <v>10</v>
      </c>
      <c r="AK173" s="189">
        <f t="shared" si="8"/>
        <v>-18</v>
      </c>
      <c r="AL173" s="88" t="s">
        <v>590</v>
      </c>
      <c r="AM173" s="83"/>
      <c r="AN173" s="90"/>
      <c r="AO173" s="180"/>
    </row>
    <row r="174" spans="1:41" s="107" customFormat="1" ht="30.75" customHeight="1">
      <c r="A174" s="233">
        <v>169</v>
      </c>
      <c r="B174" s="234">
        <v>44914</v>
      </c>
      <c r="C174" s="286" t="s">
        <v>254</v>
      </c>
      <c r="D174" s="285" t="s">
        <v>574</v>
      </c>
      <c r="E174" s="217" t="s">
        <v>322</v>
      </c>
      <c r="F174" s="222" t="s">
        <v>575</v>
      </c>
      <c r="G174" s="188"/>
      <c r="H174" s="231" t="s">
        <v>252</v>
      </c>
      <c r="I174" s="232" t="s">
        <v>250</v>
      </c>
      <c r="J174" s="84" t="s">
        <v>251</v>
      </c>
      <c r="K174" s="171" t="s">
        <v>252</v>
      </c>
      <c r="L174" s="171" t="s">
        <v>252</v>
      </c>
      <c r="M174" s="171" t="s">
        <v>252</v>
      </c>
      <c r="N174" s="216" t="s">
        <v>578</v>
      </c>
      <c r="O174" s="323">
        <v>0</v>
      </c>
      <c r="P174" s="151">
        <f>0</f>
        <v>0</v>
      </c>
      <c r="Q174" s="151">
        <v>4</v>
      </c>
      <c r="R174" s="151">
        <f>0</f>
        <v>0</v>
      </c>
      <c r="S174" s="151">
        <f>0</f>
        <v>0</v>
      </c>
      <c r="T174" s="151">
        <f>0</f>
        <v>0</v>
      </c>
      <c r="U174" s="151">
        <f>0</f>
        <v>0</v>
      </c>
      <c r="V174" s="151">
        <f>0</f>
        <v>0</v>
      </c>
      <c r="W174" s="151">
        <f>0</f>
        <v>0</v>
      </c>
      <c r="X174" s="151">
        <f>0</f>
        <v>0</v>
      </c>
      <c r="Y174" s="151">
        <f>0</f>
        <v>0</v>
      </c>
      <c r="Z174" s="200">
        <f>0</f>
        <v>0</v>
      </c>
      <c r="AA174" s="113">
        <f t="shared" si="6"/>
        <v>4</v>
      </c>
      <c r="AB174" s="199"/>
      <c r="AC174" s="120">
        <f t="shared" si="7"/>
        <v>4</v>
      </c>
      <c r="AD174" s="170"/>
      <c r="AE174" s="187" t="s">
        <v>529</v>
      </c>
      <c r="AF174" s="84" t="s">
        <v>292</v>
      </c>
      <c r="AG174" s="188"/>
      <c r="AH174" s="187"/>
      <c r="AI174" s="88"/>
      <c r="AJ174" s="89"/>
      <c r="AK174" s="189">
        <f t="shared" si="8"/>
        <v>4</v>
      </c>
      <c r="AL174" s="88"/>
      <c r="AM174" s="83"/>
      <c r="AN174" s="90"/>
      <c r="AO174" s="180"/>
    </row>
    <row r="175" spans="1:41" s="288" customFormat="1" ht="30.75" customHeight="1">
      <c r="A175" s="225">
        <v>170</v>
      </c>
      <c r="B175" s="234">
        <v>44914</v>
      </c>
      <c r="C175" s="286" t="s">
        <v>254</v>
      </c>
      <c r="D175" s="285" t="s">
        <v>253</v>
      </c>
      <c r="E175" s="217" t="s">
        <v>312</v>
      </c>
      <c r="F175" s="222" t="s">
        <v>249</v>
      </c>
      <c r="G175" s="188"/>
      <c r="H175" s="231" t="s">
        <v>253</v>
      </c>
      <c r="I175" s="232" t="s">
        <v>250</v>
      </c>
      <c r="J175" s="84" t="s">
        <v>251</v>
      </c>
      <c r="K175" s="171" t="s">
        <v>252</v>
      </c>
      <c r="L175" s="171" t="s">
        <v>252</v>
      </c>
      <c r="M175" s="171" t="s">
        <v>252</v>
      </c>
      <c r="N175" s="216" t="s">
        <v>578</v>
      </c>
      <c r="O175" s="323">
        <v>0</v>
      </c>
      <c r="P175" s="151">
        <f>0</f>
        <v>0</v>
      </c>
      <c r="Q175" s="151">
        <v>4</v>
      </c>
      <c r="R175" s="151">
        <f>0</f>
        <v>0</v>
      </c>
      <c r="S175" s="151">
        <f>0</f>
        <v>0</v>
      </c>
      <c r="T175" s="151">
        <f>0</f>
        <v>0</v>
      </c>
      <c r="U175" s="151">
        <f>0</f>
        <v>0</v>
      </c>
      <c r="V175" s="151">
        <f>0</f>
        <v>0</v>
      </c>
      <c r="W175" s="151">
        <f>0</f>
        <v>0</v>
      </c>
      <c r="X175" s="151">
        <f>0</f>
        <v>0</v>
      </c>
      <c r="Y175" s="151">
        <f>0</f>
        <v>0</v>
      </c>
      <c r="Z175" s="200">
        <f>0</f>
        <v>0</v>
      </c>
      <c r="AA175" s="113">
        <f t="shared" si="6"/>
        <v>4</v>
      </c>
      <c r="AB175" s="199"/>
      <c r="AC175" s="120">
        <f t="shared" si="7"/>
        <v>4</v>
      </c>
      <c r="AD175" s="170"/>
      <c r="AE175" s="187" t="s">
        <v>529</v>
      </c>
      <c r="AF175" s="171" t="s">
        <v>292</v>
      </c>
      <c r="AG175" s="188"/>
      <c r="AH175" s="187"/>
      <c r="AI175" s="88"/>
      <c r="AJ175" s="89"/>
      <c r="AK175" s="189">
        <f t="shared" si="8"/>
        <v>4</v>
      </c>
      <c r="AL175" s="88"/>
      <c r="AM175" s="83"/>
      <c r="AN175" s="90"/>
      <c r="AO175" s="180"/>
    </row>
    <row r="176" spans="1:41" s="107" customFormat="1" ht="30.75" customHeight="1">
      <c r="A176" s="225">
        <v>171</v>
      </c>
      <c r="B176" s="234">
        <v>44914</v>
      </c>
      <c r="C176" s="286" t="s">
        <v>254</v>
      </c>
      <c r="D176" s="285" t="s">
        <v>576</v>
      </c>
      <c r="E176" s="377" t="s">
        <v>322</v>
      </c>
      <c r="F176" s="222" t="s">
        <v>577</v>
      </c>
      <c r="G176" s="188"/>
      <c r="H176" s="231" t="s">
        <v>576</v>
      </c>
      <c r="I176" s="232" t="s">
        <v>523</v>
      </c>
      <c r="J176" s="84" t="s">
        <v>251</v>
      </c>
      <c r="K176" s="171" t="s">
        <v>252</v>
      </c>
      <c r="L176" s="171" t="s">
        <v>252</v>
      </c>
      <c r="M176" s="171" t="s">
        <v>252</v>
      </c>
      <c r="N176" s="216" t="s">
        <v>578</v>
      </c>
      <c r="O176" s="323">
        <v>0</v>
      </c>
      <c r="P176" s="151">
        <f>0</f>
        <v>0</v>
      </c>
      <c r="Q176" s="151">
        <v>1</v>
      </c>
      <c r="R176" s="151">
        <f>0</f>
        <v>0</v>
      </c>
      <c r="S176" s="151">
        <f>0</f>
        <v>0</v>
      </c>
      <c r="T176" s="151">
        <f>0</f>
        <v>0</v>
      </c>
      <c r="U176" s="151">
        <f>0</f>
        <v>0</v>
      </c>
      <c r="V176" s="151">
        <f>0</f>
        <v>0</v>
      </c>
      <c r="W176" s="151">
        <f>0</f>
        <v>0</v>
      </c>
      <c r="X176" s="151">
        <f>0</f>
        <v>0</v>
      </c>
      <c r="Y176" s="151">
        <f>0</f>
        <v>0</v>
      </c>
      <c r="Z176" s="200">
        <f>0</f>
        <v>0</v>
      </c>
      <c r="AA176" s="113">
        <f t="shared" si="6"/>
        <v>1</v>
      </c>
      <c r="AB176" s="199"/>
      <c r="AC176" s="120">
        <f t="shared" si="7"/>
        <v>1</v>
      </c>
      <c r="AD176" s="170">
        <v>44935</v>
      </c>
      <c r="AE176" s="187" t="s">
        <v>282</v>
      </c>
      <c r="AF176" s="171" t="s">
        <v>737</v>
      </c>
      <c r="AG176" s="188"/>
      <c r="AH176" s="187" t="s">
        <v>738</v>
      </c>
      <c r="AI176" s="88"/>
      <c r="AJ176" s="89">
        <v>1</v>
      </c>
      <c r="AK176" s="189">
        <f t="shared" si="8"/>
        <v>0</v>
      </c>
      <c r="AL176" s="88" t="s">
        <v>1396</v>
      </c>
      <c r="AM176" s="83"/>
      <c r="AN176" s="90"/>
      <c r="AO176" s="180"/>
    </row>
    <row r="177" spans="1:41" s="288" customFormat="1" ht="30.75" customHeight="1">
      <c r="A177" s="225">
        <v>172</v>
      </c>
      <c r="B177" s="234">
        <v>44916</v>
      </c>
      <c r="C177" s="235" t="s">
        <v>306</v>
      </c>
      <c r="D177" s="285" t="s">
        <v>592</v>
      </c>
      <c r="E177" s="377" t="s">
        <v>322</v>
      </c>
      <c r="F177" s="222" t="s">
        <v>593</v>
      </c>
      <c r="G177" s="188"/>
      <c r="H177" s="231" t="s">
        <v>592</v>
      </c>
      <c r="I177" s="232" t="s">
        <v>227</v>
      </c>
      <c r="J177" s="84" t="s">
        <v>251</v>
      </c>
      <c r="K177" s="171" t="s">
        <v>252</v>
      </c>
      <c r="L177" s="171" t="s">
        <v>252</v>
      </c>
      <c r="M177" s="171" t="s">
        <v>601</v>
      </c>
      <c r="N177" s="216" t="s">
        <v>71</v>
      </c>
      <c r="O177" s="391">
        <f>0</f>
        <v>0</v>
      </c>
      <c r="P177" s="77">
        <f>0</f>
        <v>0</v>
      </c>
      <c r="Q177" s="77">
        <f>0</f>
        <v>0</v>
      </c>
      <c r="R177" s="77">
        <f>0</f>
        <v>0</v>
      </c>
      <c r="S177" s="77">
        <f>0</f>
        <v>0</v>
      </c>
      <c r="T177" s="77">
        <v>1</v>
      </c>
      <c r="U177" s="77">
        <f>0</f>
        <v>0</v>
      </c>
      <c r="V177" s="77">
        <f>0</f>
        <v>0</v>
      </c>
      <c r="W177" s="77">
        <f>0</f>
        <v>0</v>
      </c>
      <c r="X177" s="77">
        <f>0</f>
        <v>0</v>
      </c>
      <c r="Y177" s="77">
        <f>0</f>
        <v>0</v>
      </c>
      <c r="Z177" s="392">
        <f>0</f>
        <v>0</v>
      </c>
      <c r="AA177" s="131">
        <f t="shared" si="6"/>
        <v>1</v>
      </c>
      <c r="AB177" s="158"/>
      <c r="AC177" s="145">
        <f t="shared" si="7"/>
        <v>1</v>
      </c>
      <c r="AD177" s="114" t="s">
        <v>1430</v>
      </c>
      <c r="AE177" s="177" t="s">
        <v>239</v>
      </c>
      <c r="AF177" s="84" t="s">
        <v>1431</v>
      </c>
      <c r="AG177" s="188"/>
      <c r="AH177" s="187"/>
      <c r="AI177" s="88"/>
      <c r="AJ177" s="89">
        <v>1</v>
      </c>
      <c r="AK177" s="189">
        <f t="shared" si="8"/>
        <v>0</v>
      </c>
      <c r="AL177" s="88" t="s">
        <v>1533</v>
      </c>
      <c r="AM177" s="83"/>
      <c r="AN177" s="90"/>
      <c r="AO177" s="180"/>
    </row>
    <row r="178" spans="1:41" s="107" customFormat="1" ht="30.75" customHeight="1">
      <c r="A178" s="233">
        <v>173</v>
      </c>
      <c r="B178" s="234">
        <v>44916</v>
      </c>
      <c r="C178" s="235" t="s">
        <v>306</v>
      </c>
      <c r="D178" s="285" t="s">
        <v>718</v>
      </c>
      <c r="E178" s="217" t="s">
        <v>322</v>
      </c>
      <c r="F178" s="222" t="s">
        <v>594</v>
      </c>
      <c r="G178" s="188"/>
      <c r="H178" s="231" t="s">
        <v>718</v>
      </c>
      <c r="I178" s="232" t="s">
        <v>309</v>
      </c>
      <c r="J178" s="84" t="s">
        <v>251</v>
      </c>
      <c r="K178" s="171" t="s">
        <v>252</v>
      </c>
      <c r="L178" s="171" t="s">
        <v>252</v>
      </c>
      <c r="M178" s="171" t="s">
        <v>719</v>
      </c>
      <c r="N178" s="216" t="s">
        <v>601</v>
      </c>
      <c r="O178" s="323">
        <f>0</f>
        <v>0</v>
      </c>
      <c r="P178" s="151">
        <f>0</f>
        <v>0</v>
      </c>
      <c r="Q178" s="151">
        <f>0</f>
        <v>0</v>
      </c>
      <c r="R178" s="151">
        <f>0</f>
        <v>0</v>
      </c>
      <c r="S178" s="151">
        <f>0</f>
        <v>0</v>
      </c>
      <c r="T178" s="151">
        <v>4</v>
      </c>
      <c r="U178" s="151">
        <f>0</f>
        <v>0</v>
      </c>
      <c r="V178" s="151">
        <f>0</f>
        <v>0</v>
      </c>
      <c r="W178" s="151">
        <f>0</f>
        <v>0</v>
      </c>
      <c r="X178" s="151">
        <f>0</f>
        <v>0</v>
      </c>
      <c r="Y178" s="151">
        <f>0</f>
        <v>0</v>
      </c>
      <c r="Z178" s="200">
        <f>0</f>
        <v>0</v>
      </c>
      <c r="AA178" s="113">
        <f t="shared" si="6"/>
        <v>4</v>
      </c>
      <c r="AB178" s="199"/>
      <c r="AC178" s="120">
        <f t="shared" si="7"/>
        <v>4</v>
      </c>
      <c r="AD178" s="170">
        <v>44950</v>
      </c>
      <c r="AE178" s="187" t="s">
        <v>529</v>
      </c>
      <c r="AF178" s="171" t="s">
        <v>1237</v>
      </c>
      <c r="AG178" s="188"/>
      <c r="AH178" s="187" t="s">
        <v>1239</v>
      </c>
      <c r="AI178" s="88"/>
      <c r="AJ178" s="89">
        <v>4</v>
      </c>
      <c r="AK178" s="189">
        <f t="shared" si="8"/>
        <v>0</v>
      </c>
      <c r="AL178" s="88" t="s">
        <v>1454</v>
      </c>
      <c r="AM178" s="83"/>
      <c r="AN178" s="90"/>
      <c r="AO178" s="180"/>
    </row>
    <row r="179" spans="1:41" s="107" customFormat="1" ht="30.75" customHeight="1">
      <c r="A179" s="225">
        <v>174</v>
      </c>
      <c r="B179" s="234">
        <v>44916</v>
      </c>
      <c r="C179" s="235" t="s">
        <v>306</v>
      </c>
      <c r="D179" s="285" t="s">
        <v>595</v>
      </c>
      <c r="E179" s="217" t="s">
        <v>328</v>
      </c>
      <c r="F179" s="222" t="s">
        <v>596</v>
      </c>
      <c r="G179" s="188"/>
      <c r="H179" s="231" t="s">
        <v>595</v>
      </c>
      <c r="I179" s="232" t="s">
        <v>309</v>
      </c>
      <c r="J179" s="84" t="s">
        <v>251</v>
      </c>
      <c r="K179" s="171" t="s">
        <v>252</v>
      </c>
      <c r="L179" s="171" t="s">
        <v>252</v>
      </c>
      <c r="M179" s="171" t="s">
        <v>252</v>
      </c>
      <c r="N179" s="216" t="s">
        <v>601</v>
      </c>
      <c r="O179" s="323">
        <f>0</f>
        <v>0</v>
      </c>
      <c r="P179" s="151">
        <f>0</f>
        <v>0</v>
      </c>
      <c r="Q179" s="151">
        <f>0</f>
        <v>0</v>
      </c>
      <c r="R179" s="151">
        <f>0</f>
        <v>0</v>
      </c>
      <c r="S179" s="151">
        <f>0</f>
        <v>0</v>
      </c>
      <c r="T179" s="151">
        <v>4</v>
      </c>
      <c r="U179" s="151">
        <f>0</f>
        <v>0</v>
      </c>
      <c r="V179" s="151">
        <f>0</f>
        <v>0</v>
      </c>
      <c r="W179" s="151">
        <f>0</f>
        <v>0</v>
      </c>
      <c r="X179" s="151">
        <f>0</f>
        <v>0</v>
      </c>
      <c r="Y179" s="151">
        <f>0</f>
        <v>0</v>
      </c>
      <c r="Z179" s="200">
        <f>0</f>
        <v>0</v>
      </c>
      <c r="AA179" s="113">
        <f t="shared" si="6"/>
        <v>4</v>
      </c>
      <c r="AB179" s="199"/>
      <c r="AC179" s="120">
        <f t="shared" si="7"/>
        <v>4</v>
      </c>
      <c r="AD179" s="170">
        <v>44950</v>
      </c>
      <c r="AE179" s="187" t="s">
        <v>529</v>
      </c>
      <c r="AF179" s="171" t="s">
        <v>1237</v>
      </c>
      <c r="AG179" s="188"/>
      <c r="AH179" s="187" t="s">
        <v>1239</v>
      </c>
      <c r="AI179" s="88"/>
      <c r="AJ179" s="89">
        <v>4</v>
      </c>
      <c r="AK179" s="189">
        <f t="shared" si="8"/>
        <v>0</v>
      </c>
      <c r="AL179" s="88" t="s">
        <v>1454</v>
      </c>
      <c r="AM179" s="83"/>
      <c r="AN179" s="90"/>
      <c r="AO179" s="180"/>
    </row>
    <row r="180" spans="1:41" s="107" customFormat="1" ht="30.75" customHeight="1">
      <c r="A180" s="225">
        <v>175</v>
      </c>
      <c r="B180" s="234">
        <v>44916</v>
      </c>
      <c r="C180" s="235" t="s">
        <v>306</v>
      </c>
      <c r="D180" s="285" t="s">
        <v>597</v>
      </c>
      <c r="E180" s="217" t="s">
        <v>328</v>
      </c>
      <c r="F180" s="222" t="s">
        <v>598</v>
      </c>
      <c r="G180" s="188"/>
      <c r="H180" s="231" t="s">
        <v>597</v>
      </c>
      <c r="I180" s="232" t="s">
        <v>250</v>
      </c>
      <c r="J180" s="84" t="s">
        <v>251</v>
      </c>
      <c r="K180" s="171" t="s">
        <v>252</v>
      </c>
      <c r="L180" s="171" t="s">
        <v>252</v>
      </c>
      <c r="M180" s="171" t="s">
        <v>252</v>
      </c>
      <c r="N180" s="216" t="s">
        <v>601</v>
      </c>
      <c r="O180" s="323">
        <f>0</f>
        <v>0</v>
      </c>
      <c r="P180" s="151">
        <f>0</f>
        <v>0</v>
      </c>
      <c r="Q180" s="151">
        <f>0</f>
        <v>0</v>
      </c>
      <c r="R180" s="151">
        <f>0</f>
        <v>0</v>
      </c>
      <c r="S180" s="151">
        <f>0</f>
        <v>0</v>
      </c>
      <c r="T180" s="151">
        <v>25</v>
      </c>
      <c r="U180" s="151">
        <f>0</f>
        <v>0</v>
      </c>
      <c r="V180" s="151">
        <f>0</f>
        <v>0</v>
      </c>
      <c r="W180" s="151">
        <f>0</f>
        <v>0</v>
      </c>
      <c r="X180" s="151">
        <f>0</f>
        <v>0</v>
      </c>
      <c r="Y180" s="151">
        <f>0</f>
        <v>0</v>
      </c>
      <c r="Z180" s="200">
        <f>0</f>
        <v>0</v>
      </c>
      <c r="AA180" s="113">
        <f t="shared" si="6"/>
        <v>25</v>
      </c>
      <c r="AB180" s="199"/>
      <c r="AC180" s="120">
        <f t="shared" si="7"/>
        <v>25</v>
      </c>
      <c r="AD180" s="170"/>
      <c r="AE180" s="187" t="s">
        <v>529</v>
      </c>
      <c r="AF180" s="171" t="s">
        <v>292</v>
      </c>
      <c r="AG180" s="188"/>
      <c r="AH180" s="187"/>
      <c r="AI180" s="88"/>
      <c r="AJ180" s="89"/>
      <c r="AK180" s="189">
        <f t="shared" si="8"/>
        <v>25</v>
      </c>
      <c r="AL180" s="88"/>
      <c r="AM180" s="83"/>
      <c r="AN180" s="90"/>
      <c r="AO180" s="180"/>
    </row>
    <row r="181" spans="1:41" s="107" customFormat="1" ht="30.75" customHeight="1">
      <c r="A181" s="225">
        <v>176</v>
      </c>
      <c r="B181" s="234">
        <v>44916</v>
      </c>
      <c r="C181" s="235" t="s">
        <v>306</v>
      </c>
      <c r="D181" s="285" t="s">
        <v>599</v>
      </c>
      <c r="E181" s="217" t="s">
        <v>328</v>
      </c>
      <c r="F181" s="222" t="s">
        <v>600</v>
      </c>
      <c r="G181" s="188"/>
      <c r="H181" s="231" t="s">
        <v>599</v>
      </c>
      <c r="I181" s="232" t="s">
        <v>250</v>
      </c>
      <c r="J181" s="84" t="s">
        <v>251</v>
      </c>
      <c r="K181" s="171" t="s">
        <v>252</v>
      </c>
      <c r="L181" s="171" t="s">
        <v>252</v>
      </c>
      <c r="M181" s="171" t="s">
        <v>252</v>
      </c>
      <c r="N181" s="216" t="s">
        <v>601</v>
      </c>
      <c r="O181" s="323">
        <f>0</f>
        <v>0</v>
      </c>
      <c r="P181" s="151">
        <f>0</f>
        <v>0</v>
      </c>
      <c r="Q181" s="151">
        <f>0</f>
        <v>0</v>
      </c>
      <c r="R181" s="151">
        <f>0</f>
        <v>0</v>
      </c>
      <c r="S181" s="151">
        <f>0</f>
        <v>0</v>
      </c>
      <c r="T181" s="151">
        <v>4</v>
      </c>
      <c r="U181" s="151">
        <f>0</f>
        <v>0</v>
      </c>
      <c r="V181" s="151">
        <f>0</f>
        <v>0</v>
      </c>
      <c r="W181" s="151">
        <f>0</f>
        <v>0</v>
      </c>
      <c r="X181" s="151">
        <f>0</f>
        <v>0</v>
      </c>
      <c r="Y181" s="151">
        <f>0</f>
        <v>0</v>
      </c>
      <c r="Z181" s="200">
        <f>0</f>
        <v>0</v>
      </c>
      <c r="AA181" s="113">
        <f t="shared" si="6"/>
        <v>4</v>
      </c>
      <c r="AB181" s="199"/>
      <c r="AC181" s="120">
        <f t="shared" si="7"/>
        <v>4</v>
      </c>
      <c r="AD181" s="170"/>
      <c r="AE181" s="187" t="s">
        <v>529</v>
      </c>
      <c r="AF181" s="171" t="s">
        <v>292</v>
      </c>
      <c r="AG181" s="188"/>
      <c r="AH181" s="187"/>
      <c r="AI181" s="88"/>
      <c r="AJ181" s="89"/>
      <c r="AK181" s="189">
        <f t="shared" si="8"/>
        <v>4</v>
      </c>
      <c r="AL181" s="88"/>
      <c r="AM181" s="83"/>
      <c r="AN181" s="90"/>
      <c r="AO181" s="180"/>
    </row>
    <row r="182" spans="1:41" s="288" customFormat="1" ht="30.75" customHeight="1">
      <c r="A182" s="233">
        <v>177</v>
      </c>
      <c r="B182" s="234">
        <v>44916</v>
      </c>
      <c r="C182" s="235" t="s">
        <v>306</v>
      </c>
      <c r="D182" s="285" t="s">
        <v>253</v>
      </c>
      <c r="E182" s="298" t="s">
        <v>312</v>
      </c>
      <c r="F182" s="299" t="s">
        <v>249</v>
      </c>
      <c r="G182" s="300"/>
      <c r="H182" s="301" t="s">
        <v>253</v>
      </c>
      <c r="I182" s="301" t="s">
        <v>250</v>
      </c>
      <c r="J182" s="84" t="s">
        <v>251</v>
      </c>
      <c r="K182" s="171" t="s">
        <v>252</v>
      </c>
      <c r="L182" s="171" t="s">
        <v>252</v>
      </c>
      <c r="M182" s="171" t="s">
        <v>252</v>
      </c>
      <c r="N182" s="216" t="s">
        <v>601</v>
      </c>
      <c r="O182" s="323">
        <f>0</f>
        <v>0</v>
      </c>
      <c r="P182" s="151">
        <f>0</f>
        <v>0</v>
      </c>
      <c r="Q182" s="151">
        <f>0</f>
        <v>0</v>
      </c>
      <c r="R182" s="151">
        <f>0</f>
        <v>0</v>
      </c>
      <c r="S182" s="151">
        <f>0</f>
        <v>0</v>
      </c>
      <c r="T182" s="151">
        <v>4</v>
      </c>
      <c r="U182" s="151">
        <f>0</f>
        <v>0</v>
      </c>
      <c r="V182" s="151">
        <f>0</f>
        <v>0</v>
      </c>
      <c r="W182" s="151">
        <f>0</f>
        <v>0</v>
      </c>
      <c r="X182" s="151">
        <f>0</f>
        <v>0</v>
      </c>
      <c r="Y182" s="151">
        <f>0</f>
        <v>0</v>
      </c>
      <c r="Z182" s="200">
        <f>0</f>
        <v>0</v>
      </c>
      <c r="AA182" s="113">
        <f t="shared" si="6"/>
        <v>4</v>
      </c>
      <c r="AB182" s="199"/>
      <c r="AC182" s="120">
        <f t="shared" si="7"/>
        <v>4</v>
      </c>
      <c r="AD182" s="170"/>
      <c r="AE182" s="187" t="s">
        <v>529</v>
      </c>
      <c r="AF182" s="171" t="s">
        <v>292</v>
      </c>
      <c r="AG182" s="188"/>
      <c r="AH182" s="187"/>
      <c r="AI182" s="88"/>
      <c r="AJ182" s="89"/>
      <c r="AK182" s="189">
        <f t="shared" si="8"/>
        <v>4</v>
      </c>
      <c r="AL182" s="88"/>
      <c r="AM182" s="83"/>
      <c r="AN182" s="90"/>
      <c r="AO182" s="180"/>
    </row>
    <row r="183" spans="1:41" s="288" customFormat="1" ht="30.75" customHeight="1">
      <c r="A183" s="225">
        <v>178</v>
      </c>
      <c r="B183" s="234">
        <v>44923</v>
      </c>
      <c r="C183" s="235" t="s">
        <v>254</v>
      </c>
      <c r="D183" s="285" t="s">
        <v>605</v>
      </c>
      <c r="E183" s="506" t="s">
        <v>322</v>
      </c>
      <c r="F183" s="299" t="s">
        <v>606</v>
      </c>
      <c r="G183" s="300"/>
      <c r="H183" s="298" t="s">
        <v>605</v>
      </c>
      <c r="I183" s="301" t="s">
        <v>227</v>
      </c>
      <c r="J183" s="84" t="s">
        <v>251</v>
      </c>
      <c r="K183" s="171" t="s">
        <v>252</v>
      </c>
      <c r="L183" s="171" t="s">
        <v>252</v>
      </c>
      <c r="M183" s="171" t="s">
        <v>612</v>
      </c>
      <c r="N183" s="216" t="s">
        <v>71</v>
      </c>
      <c r="O183" s="391">
        <f>0</f>
        <v>0</v>
      </c>
      <c r="P183" s="77">
        <f>0</f>
        <v>0</v>
      </c>
      <c r="Q183" s="77">
        <f>0</f>
        <v>0</v>
      </c>
      <c r="R183" s="77">
        <f>0</f>
        <v>0</v>
      </c>
      <c r="S183" s="77">
        <f>0</f>
        <v>0</v>
      </c>
      <c r="T183" s="77">
        <f>0</f>
        <v>0</v>
      </c>
      <c r="U183" s="77">
        <v>2</v>
      </c>
      <c r="V183" s="77">
        <f>0</f>
        <v>0</v>
      </c>
      <c r="W183" s="77">
        <f>0</f>
        <v>0</v>
      </c>
      <c r="X183" s="77">
        <f>0</f>
        <v>0</v>
      </c>
      <c r="Y183" s="77">
        <f>0</f>
        <v>0</v>
      </c>
      <c r="Z183" s="392">
        <f>0</f>
        <v>0</v>
      </c>
      <c r="AA183" s="131">
        <f t="shared" si="6"/>
        <v>2</v>
      </c>
      <c r="AB183" s="158"/>
      <c r="AC183" s="145">
        <f t="shared" si="7"/>
        <v>2</v>
      </c>
      <c r="AD183" s="114" t="s">
        <v>1430</v>
      </c>
      <c r="AE183" s="177" t="s">
        <v>239</v>
      </c>
      <c r="AF183" s="84" t="s">
        <v>1431</v>
      </c>
      <c r="AG183" s="188"/>
      <c r="AH183" s="187"/>
      <c r="AI183" s="88"/>
      <c r="AJ183" s="89">
        <v>2</v>
      </c>
      <c r="AK183" s="189">
        <f t="shared" si="8"/>
        <v>0</v>
      </c>
      <c r="AL183" s="88" t="s">
        <v>1528</v>
      </c>
      <c r="AM183" s="83"/>
      <c r="AN183" s="90"/>
      <c r="AO183" s="180"/>
    </row>
    <row r="184" spans="1:41" s="288" customFormat="1" ht="30.75" customHeight="1">
      <c r="A184" s="225">
        <v>179</v>
      </c>
      <c r="B184" s="234">
        <v>44923</v>
      </c>
      <c r="C184" s="235" t="s">
        <v>254</v>
      </c>
      <c r="D184" s="285" t="s">
        <v>607</v>
      </c>
      <c r="E184" s="377" t="s">
        <v>322</v>
      </c>
      <c r="F184" s="167" t="s">
        <v>349</v>
      </c>
      <c r="G184" s="188"/>
      <c r="H184" s="231" t="s">
        <v>607</v>
      </c>
      <c r="I184" s="232" t="s">
        <v>227</v>
      </c>
      <c r="J184" s="84" t="s">
        <v>251</v>
      </c>
      <c r="K184" s="171" t="s">
        <v>252</v>
      </c>
      <c r="L184" s="171" t="s">
        <v>252</v>
      </c>
      <c r="M184" s="171" t="s">
        <v>612</v>
      </c>
      <c r="N184" s="216" t="s">
        <v>71</v>
      </c>
      <c r="O184" s="391">
        <f>0</f>
        <v>0</v>
      </c>
      <c r="P184" s="77">
        <f>0</f>
        <v>0</v>
      </c>
      <c r="Q184" s="77">
        <f>0</f>
        <v>0</v>
      </c>
      <c r="R184" s="77">
        <f>0</f>
        <v>0</v>
      </c>
      <c r="S184" s="77">
        <f>0</f>
        <v>0</v>
      </c>
      <c r="T184" s="77">
        <f>0</f>
        <v>0</v>
      </c>
      <c r="U184" s="77">
        <v>2</v>
      </c>
      <c r="V184" s="77">
        <f>0</f>
        <v>0</v>
      </c>
      <c r="W184" s="77">
        <f>0</f>
        <v>0</v>
      </c>
      <c r="X184" s="77">
        <f>0</f>
        <v>0</v>
      </c>
      <c r="Y184" s="77">
        <f>0</f>
        <v>0</v>
      </c>
      <c r="Z184" s="392">
        <f>0</f>
        <v>0</v>
      </c>
      <c r="AA184" s="131">
        <f t="shared" si="6"/>
        <v>2</v>
      </c>
      <c r="AB184" s="158"/>
      <c r="AC184" s="145">
        <f t="shared" si="7"/>
        <v>2</v>
      </c>
      <c r="AD184" s="114" t="s">
        <v>1430</v>
      </c>
      <c r="AE184" s="177" t="s">
        <v>239</v>
      </c>
      <c r="AF184" s="84" t="s">
        <v>1431</v>
      </c>
      <c r="AG184" s="188"/>
      <c r="AH184" s="187"/>
      <c r="AI184" s="88"/>
      <c r="AJ184" s="89">
        <v>2</v>
      </c>
      <c r="AK184" s="189">
        <f t="shared" si="8"/>
        <v>0</v>
      </c>
      <c r="AL184" s="88" t="s">
        <v>1528</v>
      </c>
      <c r="AM184" s="83"/>
      <c r="AN184" s="90"/>
      <c r="AO184" s="180"/>
    </row>
    <row r="185" spans="1:41" s="107" customFormat="1" ht="30.75" customHeight="1">
      <c r="A185" s="225">
        <v>180</v>
      </c>
      <c r="B185" s="234">
        <v>44923</v>
      </c>
      <c r="C185" s="235" t="s">
        <v>254</v>
      </c>
      <c r="D185" s="285" t="s">
        <v>563</v>
      </c>
      <c r="E185" s="217" t="s">
        <v>322</v>
      </c>
      <c r="F185" s="167" t="s">
        <v>564</v>
      </c>
      <c r="G185" s="178"/>
      <c r="H185" s="228" t="s">
        <v>565</v>
      </c>
      <c r="I185" s="229" t="s">
        <v>227</v>
      </c>
      <c r="J185" s="84" t="s">
        <v>251</v>
      </c>
      <c r="K185" s="171" t="s">
        <v>252</v>
      </c>
      <c r="L185" s="171" t="s">
        <v>252</v>
      </c>
      <c r="M185" s="171" t="s">
        <v>252</v>
      </c>
      <c r="N185" s="216" t="s">
        <v>612</v>
      </c>
      <c r="O185" s="323">
        <f>0</f>
        <v>0</v>
      </c>
      <c r="P185" s="151">
        <f>0</f>
        <v>0</v>
      </c>
      <c r="Q185" s="151">
        <f>0</f>
        <v>0</v>
      </c>
      <c r="R185" s="151">
        <f>0</f>
        <v>0</v>
      </c>
      <c r="S185" s="151">
        <f>0</f>
        <v>0</v>
      </c>
      <c r="T185" s="151">
        <f>0</f>
        <v>0</v>
      </c>
      <c r="U185" s="151">
        <v>4</v>
      </c>
      <c r="V185" s="151">
        <f>0</f>
        <v>0</v>
      </c>
      <c r="W185" s="151">
        <f>0</f>
        <v>0</v>
      </c>
      <c r="X185" s="151">
        <f>0</f>
        <v>0</v>
      </c>
      <c r="Y185" s="151">
        <f>0</f>
        <v>0</v>
      </c>
      <c r="Z185" s="200">
        <f>0</f>
        <v>0</v>
      </c>
      <c r="AA185" s="113">
        <f t="shared" si="6"/>
        <v>4</v>
      </c>
      <c r="AB185" s="199">
        <v>4</v>
      </c>
      <c r="AC185" s="120">
        <f t="shared" si="7"/>
        <v>0</v>
      </c>
      <c r="AD185" s="170"/>
      <c r="AE185" s="187"/>
      <c r="AF185" s="171" t="s">
        <v>587</v>
      </c>
      <c r="AG185" s="188"/>
      <c r="AH185" s="187"/>
      <c r="AI185" s="88"/>
      <c r="AJ185" s="89">
        <v>4</v>
      </c>
      <c r="AK185" s="189">
        <f t="shared" si="8"/>
        <v>-4</v>
      </c>
      <c r="AL185" s="88" t="s">
        <v>732</v>
      </c>
      <c r="AM185" s="83"/>
      <c r="AN185" s="90"/>
      <c r="AO185" s="180"/>
    </row>
    <row r="186" spans="1:41" s="107" customFormat="1" ht="30.75" customHeight="1">
      <c r="A186" s="233">
        <v>181</v>
      </c>
      <c r="B186" s="234">
        <v>44923</v>
      </c>
      <c r="C186" s="235" t="s">
        <v>254</v>
      </c>
      <c r="D186" s="285" t="s">
        <v>608</v>
      </c>
      <c r="E186" s="298" t="s">
        <v>319</v>
      </c>
      <c r="F186" s="299" t="s">
        <v>320</v>
      </c>
      <c r="G186" s="300"/>
      <c r="H186" s="301" t="s">
        <v>609</v>
      </c>
      <c r="I186" s="301" t="s">
        <v>318</v>
      </c>
      <c r="J186" s="84" t="s">
        <v>251</v>
      </c>
      <c r="K186" s="171" t="s">
        <v>252</v>
      </c>
      <c r="L186" s="171" t="s">
        <v>252</v>
      </c>
      <c r="M186" s="171" t="s">
        <v>252</v>
      </c>
      <c r="N186" s="216" t="s">
        <v>612</v>
      </c>
      <c r="O186" s="323">
        <f>0</f>
        <v>0</v>
      </c>
      <c r="P186" s="151">
        <f>0</f>
        <v>0</v>
      </c>
      <c r="Q186" s="151">
        <f>0</f>
        <v>0</v>
      </c>
      <c r="R186" s="151">
        <f>0</f>
        <v>0</v>
      </c>
      <c r="S186" s="151">
        <f>0</f>
        <v>0</v>
      </c>
      <c r="T186" s="151">
        <f>0</f>
        <v>0</v>
      </c>
      <c r="U186" s="151">
        <v>2</v>
      </c>
      <c r="V186" s="151">
        <f>0</f>
        <v>0</v>
      </c>
      <c r="W186" s="151">
        <f>0</f>
        <v>0</v>
      </c>
      <c r="X186" s="151">
        <f>0</f>
        <v>0</v>
      </c>
      <c r="Y186" s="151">
        <f>0</f>
        <v>0</v>
      </c>
      <c r="Z186" s="200">
        <f>0</f>
        <v>0</v>
      </c>
      <c r="AA186" s="113">
        <f t="shared" si="6"/>
        <v>2</v>
      </c>
      <c r="AB186" s="199"/>
      <c r="AC186" s="120">
        <f t="shared" si="7"/>
        <v>2</v>
      </c>
      <c r="AD186" s="170">
        <v>44930</v>
      </c>
      <c r="AE186" s="187" t="s">
        <v>282</v>
      </c>
      <c r="AF186" s="203" t="s">
        <v>535</v>
      </c>
      <c r="AG186" s="188"/>
      <c r="AH186" s="187"/>
      <c r="AI186" s="88"/>
      <c r="AJ186" s="89">
        <v>2</v>
      </c>
      <c r="AK186" s="189">
        <f t="shared" si="8"/>
        <v>0</v>
      </c>
      <c r="AL186" s="88" t="s">
        <v>1420</v>
      </c>
      <c r="AM186" s="83"/>
      <c r="AN186" s="90"/>
      <c r="AO186" s="180"/>
    </row>
    <row r="187" spans="1:41" s="288" customFormat="1" ht="30.75" customHeight="1">
      <c r="A187" s="225">
        <v>182</v>
      </c>
      <c r="B187" s="234">
        <v>44923</v>
      </c>
      <c r="C187" s="235" t="s">
        <v>254</v>
      </c>
      <c r="D187" s="285" t="s">
        <v>610</v>
      </c>
      <c r="E187" s="298" t="s">
        <v>361</v>
      </c>
      <c r="F187" s="299" t="s">
        <v>377</v>
      </c>
      <c r="G187" s="300"/>
      <c r="H187" s="301" t="s">
        <v>610</v>
      </c>
      <c r="I187" s="301" t="s">
        <v>318</v>
      </c>
      <c r="J187" s="84" t="s">
        <v>251</v>
      </c>
      <c r="K187" s="171" t="s">
        <v>252</v>
      </c>
      <c r="L187" s="171" t="s">
        <v>252</v>
      </c>
      <c r="M187" s="171" t="s">
        <v>252</v>
      </c>
      <c r="N187" s="216" t="s">
        <v>612</v>
      </c>
      <c r="O187" s="323">
        <f>0</f>
        <v>0</v>
      </c>
      <c r="P187" s="151">
        <f>0</f>
        <v>0</v>
      </c>
      <c r="Q187" s="151">
        <f>0</f>
        <v>0</v>
      </c>
      <c r="R187" s="151">
        <f>0</f>
        <v>0</v>
      </c>
      <c r="S187" s="151">
        <f>0</f>
        <v>0</v>
      </c>
      <c r="T187" s="151">
        <f>0</f>
        <v>0</v>
      </c>
      <c r="U187" s="151">
        <v>2</v>
      </c>
      <c r="V187" s="151">
        <f>0</f>
        <v>0</v>
      </c>
      <c r="W187" s="151">
        <f>0</f>
        <v>0</v>
      </c>
      <c r="X187" s="151">
        <f>0</f>
        <v>0</v>
      </c>
      <c r="Y187" s="151">
        <f>0</f>
        <v>0</v>
      </c>
      <c r="Z187" s="200">
        <f>0</f>
        <v>0</v>
      </c>
      <c r="AA187" s="113">
        <f t="shared" si="6"/>
        <v>2</v>
      </c>
      <c r="AB187" s="199">
        <v>2</v>
      </c>
      <c r="AC187" s="120">
        <f t="shared" si="7"/>
        <v>0</v>
      </c>
      <c r="AD187" s="170"/>
      <c r="AE187" s="187"/>
      <c r="AF187" s="171" t="s">
        <v>587</v>
      </c>
      <c r="AG187" s="188"/>
      <c r="AH187" s="187"/>
      <c r="AI187" s="88"/>
      <c r="AJ187" s="89">
        <v>2</v>
      </c>
      <c r="AK187" s="189">
        <f t="shared" si="8"/>
        <v>-2</v>
      </c>
      <c r="AL187" s="88" t="s">
        <v>733</v>
      </c>
      <c r="AM187" s="83"/>
      <c r="AN187" s="90"/>
      <c r="AO187" s="180"/>
    </row>
    <row r="188" spans="1:41" s="288" customFormat="1" ht="30.75" customHeight="1">
      <c r="A188" s="225">
        <v>183</v>
      </c>
      <c r="B188" s="234">
        <v>44923</v>
      </c>
      <c r="C188" s="235" t="s">
        <v>254</v>
      </c>
      <c r="D188" s="285" t="s">
        <v>392</v>
      </c>
      <c r="E188" s="506" t="s">
        <v>361</v>
      </c>
      <c r="F188" s="299" t="s">
        <v>393</v>
      </c>
      <c r="G188" s="300"/>
      <c r="H188" s="301" t="s">
        <v>392</v>
      </c>
      <c r="I188" s="301" t="s">
        <v>250</v>
      </c>
      <c r="J188" s="84" t="s">
        <v>251</v>
      </c>
      <c r="K188" s="171" t="s">
        <v>252</v>
      </c>
      <c r="L188" s="171" t="s">
        <v>252</v>
      </c>
      <c r="M188" s="171" t="s">
        <v>252</v>
      </c>
      <c r="N188" s="216" t="s">
        <v>612</v>
      </c>
      <c r="O188" s="323">
        <f>0</f>
        <v>0</v>
      </c>
      <c r="P188" s="151">
        <f>0</f>
        <v>0</v>
      </c>
      <c r="Q188" s="151">
        <f>0</f>
        <v>0</v>
      </c>
      <c r="R188" s="151">
        <f>0</f>
        <v>0</v>
      </c>
      <c r="S188" s="151">
        <f>0</f>
        <v>0</v>
      </c>
      <c r="T188" s="151">
        <f>0</f>
        <v>0</v>
      </c>
      <c r="U188" s="151">
        <v>4</v>
      </c>
      <c r="V188" s="151">
        <f>0</f>
        <v>0</v>
      </c>
      <c r="W188" s="151">
        <f>0</f>
        <v>0</v>
      </c>
      <c r="X188" s="151">
        <f>0</f>
        <v>0</v>
      </c>
      <c r="Y188" s="151">
        <f>0</f>
        <v>0</v>
      </c>
      <c r="Z188" s="200">
        <f>0</f>
        <v>0</v>
      </c>
      <c r="AA188" s="113">
        <f t="shared" si="6"/>
        <v>4</v>
      </c>
      <c r="AB188" s="199"/>
      <c r="AC188" s="120">
        <f t="shared" si="7"/>
        <v>4</v>
      </c>
      <c r="AD188" s="170"/>
      <c r="AE188" s="101" t="s">
        <v>282</v>
      </c>
      <c r="AF188" s="171" t="s">
        <v>292</v>
      </c>
      <c r="AG188" s="188"/>
      <c r="AH188" s="187"/>
      <c r="AI188" s="88"/>
      <c r="AJ188" s="94" t="s">
        <v>499</v>
      </c>
      <c r="AK188" s="185" t="e">
        <f t="shared" si="8"/>
        <v>#VALUE!</v>
      </c>
      <c r="AL188" s="93"/>
      <c r="AM188" s="50"/>
      <c r="AN188" s="95"/>
      <c r="AO188" s="390"/>
    </row>
    <row r="189" spans="1:41" s="289" customFormat="1" ht="30.75" customHeight="1">
      <c r="A189" s="225">
        <v>184</v>
      </c>
      <c r="B189" s="234">
        <v>44923</v>
      </c>
      <c r="C189" s="235" t="s">
        <v>254</v>
      </c>
      <c r="D189" s="214" t="s">
        <v>828</v>
      </c>
      <c r="E189" s="298">
        <v>0</v>
      </c>
      <c r="F189" s="299" t="s">
        <v>611</v>
      </c>
      <c r="G189" s="214" t="s">
        <v>828</v>
      </c>
      <c r="H189" s="214" t="s">
        <v>828</v>
      </c>
      <c r="I189" s="232" t="s">
        <v>509</v>
      </c>
      <c r="J189" s="84" t="s">
        <v>251</v>
      </c>
      <c r="K189" s="171" t="s">
        <v>252</v>
      </c>
      <c r="L189" s="171" t="s">
        <v>252</v>
      </c>
      <c r="M189" s="216" t="s">
        <v>612</v>
      </c>
      <c r="N189" s="216" t="s">
        <v>71</v>
      </c>
      <c r="O189" s="391">
        <f>0</f>
        <v>0</v>
      </c>
      <c r="P189" s="77">
        <f>0</f>
        <v>0</v>
      </c>
      <c r="Q189" s="77">
        <f>0</f>
        <v>0</v>
      </c>
      <c r="R189" s="77">
        <f>0</f>
        <v>0</v>
      </c>
      <c r="S189" s="77">
        <f>0</f>
        <v>0</v>
      </c>
      <c r="T189" s="77">
        <f>0</f>
        <v>0</v>
      </c>
      <c r="U189" s="77">
        <v>2</v>
      </c>
      <c r="V189" s="77">
        <f>0</f>
        <v>0</v>
      </c>
      <c r="W189" s="77">
        <f>0</f>
        <v>0</v>
      </c>
      <c r="X189" s="77">
        <f>0</f>
        <v>0</v>
      </c>
      <c r="Y189" s="77">
        <f>0</f>
        <v>0</v>
      </c>
      <c r="Z189" s="392">
        <f>0</f>
        <v>0</v>
      </c>
      <c r="AA189" s="131">
        <f t="shared" si="6"/>
        <v>2</v>
      </c>
      <c r="AB189" s="158"/>
      <c r="AC189" s="145">
        <f t="shared" si="7"/>
        <v>2</v>
      </c>
      <c r="AD189" s="170" t="s">
        <v>1586</v>
      </c>
      <c r="AE189" s="187" t="s">
        <v>239</v>
      </c>
      <c r="AF189" s="171"/>
      <c r="AG189" s="188"/>
      <c r="AH189" s="187"/>
      <c r="AI189" s="88" t="s">
        <v>1438</v>
      </c>
      <c r="AJ189" s="89"/>
      <c r="AK189" s="189">
        <f t="shared" si="8"/>
        <v>2</v>
      </c>
      <c r="AL189" s="88"/>
      <c r="AM189" s="83"/>
      <c r="AN189" s="90"/>
      <c r="AO189" s="180"/>
    </row>
    <row r="190" spans="1:41" s="289" customFormat="1" ht="30.75" customHeight="1">
      <c r="A190" s="233">
        <v>185</v>
      </c>
      <c r="B190" s="234" t="s">
        <v>613</v>
      </c>
      <c r="C190" s="235" t="s">
        <v>614</v>
      </c>
      <c r="D190" s="285" t="s">
        <v>615</v>
      </c>
      <c r="E190" s="311" t="s">
        <v>322</v>
      </c>
      <c r="F190" s="213" t="s">
        <v>1340</v>
      </c>
      <c r="G190" s="311" t="s">
        <v>1383</v>
      </c>
      <c r="H190" s="311" t="s">
        <v>1384</v>
      </c>
      <c r="I190" s="470" t="s">
        <v>616</v>
      </c>
      <c r="J190" s="212" t="s">
        <v>71</v>
      </c>
      <c r="K190" s="210"/>
      <c r="L190" s="210" t="s">
        <v>326</v>
      </c>
      <c r="M190" s="171"/>
      <c r="N190" s="304" t="s">
        <v>640</v>
      </c>
      <c r="O190" s="391">
        <f>0</f>
        <v>0</v>
      </c>
      <c r="P190" s="77">
        <f>0</f>
        <v>0</v>
      </c>
      <c r="Q190" s="77">
        <f>0</f>
        <v>0</v>
      </c>
      <c r="R190" s="77">
        <f>0</f>
        <v>0</v>
      </c>
      <c r="S190" s="77">
        <f>0</f>
        <v>0</v>
      </c>
      <c r="T190" s="77">
        <f>0</f>
        <v>0</v>
      </c>
      <c r="U190" s="77">
        <f>0</f>
        <v>0</v>
      </c>
      <c r="V190" s="77">
        <f>0</f>
        <v>0</v>
      </c>
      <c r="W190" s="77">
        <v>1</v>
      </c>
      <c r="X190" s="77">
        <f>0</f>
        <v>0</v>
      </c>
      <c r="Y190" s="77">
        <f>0</f>
        <v>0</v>
      </c>
      <c r="Z190" s="392">
        <f>0</f>
        <v>0</v>
      </c>
      <c r="AA190" s="131">
        <f t="shared" si="6"/>
        <v>1</v>
      </c>
      <c r="AB190" s="158"/>
      <c r="AC190" s="145">
        <f t="shared" si="7"/>
        <v>1</v>
      </c>
      <c r="AD190" s="170">
        <v>45013</v>
      </c>
      <c r="AE190" s="187" t="s">
        <v>239</v>
      </c>
      <c r="AF190" s="84"/>
      <c r="AG190" s="188"/>
      <c r="AH190" s="187"/>
      <c r="AI190" s="88" t="s">
        <v>1438</v>
      </c>
      <c r="AJ190" s="89">
        <v>1</v>
      </c>
      <c r="AK190" s="189">
        <f t="shared" si="8"/>
        <v>0</v>
      </c>
      <c r="AL190" s="88" t="s">
        <v>1594</v>
      </c>
      <c r="AM190" s="83"/>
      <c r="AN190" s="90"/>
      <c r="AO190" s="180"/>
    </row>
    <row r="191" spans="1:41" s="288" customFormat="1" ht="30.75" customHeight="1">
      <c r="A191" s="225">
        <v>186</v>
      </c>
      <c r="B191" s="234" t="s">
        <v>613</v>
      </c>
      <c r="C191" s="235" t="s">
        <v>614</v>
      </c>
      <c r="D191" s="285" t="s">
        <v>618</v>
      </c>
      <c r="E191" s="311" t="s">
        <v>338</v>
      </c>
      <c r="F191" s="213" t="s">
        <v>619</v>
      </c>
      <c r="G191" s="311" t="s">
        <v>620</v>
      </c>
      <c r="H191" s="311" t="s">
        <v>621</v>
      </c>
      <c r="I191" s="213" t="s">
        <v>305</v>
      </c>
      <c r="J191" s="212" t="s">
        <v>251</v>
      </c>
      <c r="K191" s="210" t="s">
        <v>252</v>
      </c>
      <c r="L191" s="210" t="s">
        <v>252</v>
      </c>
      <c r="M191" s="171"/>
      <c r="N191" s="304" t="s">
        <v>640</v>
      </c>
      <c r="O191" s="323">
        <f>0</f>
        <v>0</v>
      </c>
      <c r="P191" s="151">
        <f>0</f>
        <v>0</v>
      </c>
      <c r="Q191" s="151">
        <f>0</f>
        <v>0</v>
      </c>
      <c r="R191" s="151">
        <f>0</f>
        <v>0</v>
      </c>
      <c r="S191" s="151">
        <f>0</f>
        <v>0</v>
      </c>
      <c r="T191" s="151">
        <f>0</f>
        <v>0</v>
      </c>
      <c r="U191" s="151">
        <f>0</f>
        <v>0</v>
      </c>
      <c r="V191" s="151">
        <f>0</f>
        <v>0</v>
      </c>
      <c r="W191" s="151">
        <v>4</v>
      </c>
      <c r="X191" s="151">
        <f>0</f>
        <v>0</v>
      </c>
      <c r="Y191" s="151">
        <f>0</f>
        <v>0</v>
      </c>
      <c r="Z191" s="200">
        <f>0</f>
        <v>0</v>
      </c>
      <c r="AA191" s="131">
        <f t="shared" si="6"/>
        <v>4</v>
      </c>
      <c r="AB191" s="158"/>
      <c r="AC191" s="145">
        <f t="shared" si="7"/>
        <v>4</v>
      </c>
      <c r="AD191" s="170">
        <v>44936</v>
      </c>
      <c r="AE191" s="187" t="s">
        <v>282</v>
      </c>
      <c r="AF191" s="171"/>
      <c r="AG191" s="188"/>
      <c r="AH191" s="187"/>
      <c r="AI191" s="88"/>
      <c r="AJ191" s="89">
        <v>4</v>
      </c>
      <c r="AK191" s="189">
        <f t="shared" si="8"/>
        <v>0</v>
      </c>
      <c r="AL191" s="88" t="s">
        <v>741</v>
      </c>
      <c r="AM191" s="83"/>
      <c r="AN191" s="90"/>
      <c r="AO191" s="180"/>
    </row>
    <row r="192" spans="1:41" s="288" customFormat="1" ht="30.75" customHeight="1">
      <c r="A192" s="225">
        <v>187</v>
      </c>
      <c r="B192" s="234" t="s">
        <v>613</v>
      </c>
      <c r="C192" s="235" t="s">
        <v>614</v>
      </c>
      <c r="D192" s="285" t="s">
        <v>622</v>
      </c>
      <c r="E192" s="311" t="s">
        <v>322</v>
      </c>
      <c r="F192" s="213" t="s">
        <v>623</v>
      </c>
      <c r="G192" s="311" t="s">
        <v>624</v>
      </c>
      <c r="H192" s="311" t="s">
        <v>625</v>
      </c>
      <c r="I192" s="213" t="s">
        <v>626</v>
      </c>
      <c r="J192" s="212" t="s">
        <v>251</v>
      </c>
      <c r="K192" s="210" t="s">
        <v>252</v>
      </c>
      <c r="L192" s="210" t="s">
        <v>252</v>
      </c>
      <c r="M192" s="171"/>
      <c r="N192" s="304" t="s">
        <v>640</v>
      </c>
      <c r="O192" s="323">
        <f>0</f>
        <v>0</v>
      </c>
      <c r="P192" s="151">
        <f>0</f>
        <v>0</v>
      </c>
      <c r="Q192" s="151">
        <f>0</f>
        <v>0</v>
      </c>
      <c r="R192" s="151">
        <f>0</f>
        <v>0</v>
      </c>
      <c r="S192" s="151">
        <f>0</f>
        <v>0</v>
      </c>
      <c r="T192" s="151">
        <f>0</f>
        <v>0</v>
      </c>
      <c r="U192" s="151">
        <f>0</f>
        <v>0</v>
      </c>
      <c r="V192" s="151">
        <f>0</f>
        <v>0</v>
      </c>
      <c r="W192" s="151">
        <v>4</v>
      </c>
      <c r="X192" s="151">
        <f>0</f>
        <v>0</v>
      </c>
      <c r="Y192" s="151">
        <f>0</f>
        <v>0</v>
      </c>
      <c r="Z192" s="200">
        <f>0</f>
        <v>0</v>
      </c>
      <c r="AA192" s="131">
        <f t="shared" si="6"/>
        <v>4</v>
      </c>
      <c r="AB192" s="158"/>
      <c r="AC192" s="145">
        <f t="shared" si="7"/>
        <v>4</v>
      </c>
      <c r="AD192" s="170">
        <v>44937</v>
      </c>
      <c r="AE192" s="187" t="s">
        <v>282</v>
      </c>
      <c r="AF192" s="203"/>
      <c r="AG192" s="188"/>
      <c r="AH192" s="187"/>
      <c r="AI192" s="88"/>
      <c r="AJ192" s="89">
        <v>4</v>
      </c>
      <c r="AK192" s="189">
        <f t="shared" si="8"/>
        <v>0</v>
      </c>
      <c r="AL192" s="88" t="s">
        <v>773</v>
      </c>
      <c r="AM192" s="83"/>
      <c r="AN192" s="90"/>
      <c r="AO192" s="180"/>
    </row>
    <row r="193" spans="1:41" s="288" customFormat="1" ht="30.75" customHeight="1">
      <c r="A193" s="225">
        <v>188</v>
      </c>
      <c r="B193" s="234" t="s">
        <v>613</v>
      </c>
      <c r="C193" s="235" t="s">
        <v>614</v>
      </c>
      <c r="D193" s="285" t="s">
        <v>643</v>
      </c>
      <c r="E193" s="311"/>
      <c r="F193" s="213" t="s">
        <v>1385</v>
      </c>
      <c r="G193" s="311" t="s">
        <v>1386</v>
      </c>
      <c r="H193" s="311"/>
      <c r="I193" s="213" t="s">
        <v>642</v>
      </c>
      <c r="J193" s="212" t="s">
        <v>251</v>
      </c>
      <c r="K193" s="210"/>
      <c r="L193" s="210"/>
      <c r="M193" s="171"/>
      <c r="N193" s="304" t="s">
        <v>640</v>
      </c>
      <c r="O193" s="323">
        <f>0</f>
        <v>0</v>
      </c>
      <c r="P193" s="151">
        <f>0</f>
        <v>0</v>
      </c>
      <c r="Q193" s="151">
        <f>0</f>
        <v>0</v>
      </c>
      <c r="R193" s="151">
        <f>0</f>
        <v>0</v>
      </c>
      <c r="S193" s="151">
        <f>0</f>
        <v>0</v>
      </c>
      <c r="T193" s="151">
        <f>0</f>
        <v>0</v>
      </c>
      <c r="U193" s="151">
        <f>0</f>
        <v>0</v>
      </c>
      <c r="V193" s="151">
        <f>0</f>
        <v>0</v>
      </c>
      <c r="W193" s="151">
        <v>1</v>
      </c>
      <c r="X193" s="151">
        <f>0</f>
        <v>0</v>
      </c>
      <c r="Y193" s="151">
        <f>0</f>
        <v>0</v>
      </c>
      <c r="Z193" s="200">
        <f>0</f>
        <v>0</v>
      </c>
      <c r="AA193" s="131">
        <f t="shared" si="6"/>
        <v>1</v>
      </c>
      <c r="AB193" s="158"/>
      <c r="AC193" s="145">
        <f t="shared" si="7"/>
        <v>1</v>
      </c>
      <c r="AD193" s="170">
        <v>44939</v>
      </c>
      <c r="AE193" s="187" t="s">
        <v>282</v>
      </c>
      <c r="AF193" s="84"/>
      <c r="AG193" s="188"/>
      <c r="AH193" s="187" t="s">
        <v>743</v>
      </c>
      <c r="AI193" s="88"/>
      <c r="AJ193" s="89">
        <v>1</v>
      </c>
      <c r="AK193" s="189">
        <f t="shared" si="8"/>
        <v>0</v>
      </c>
      <c r="AL193" s="88" t="s">
        <v>1496</v>
      </c>
      <c r="AM193" s="83"/>
      <c r="AN193" s="90"/>
      <c r="AO193" s="180"/>
    </row>
    <row r="194" spans="1:41" s="107" customFormat="1" ht="30.75" customHeight="1">
      <c r="A194" s="233">
        <v>189</v>
      </c>
      <c r="B194" s="234" t="s">
        <v>613</v>
      </c>
      <c r="C194" s="235" t="s">
        <v>614</v>
      </c>
      <c r="D194" s="285" t="s">
        <v>644</v>
      </c>
      <c r="E194" s="506" t="s">
        <v>617</v>
      </c>
      <c r="F194" s="299" t="s">
        <v>627</v>
      </c>
      <c r="G194" s="300" t="s">
        <v>628</v>
      </c>
      <c r="H194" s="301" t="s">
        <v>641</v>
      </c>
      <c r="I194" s="301" t="s">
        <v>629</v>
      </c>
      <c r="J194" s="84" t="s">
        <v>251</v>
      </c>
      <c r="K194" s="171" t="s">
        <v>252</v>
      </c>
      <c r="L194" s="171" t="s">
        <v>252</v>
      </c>
      <c r="M194" s="171"/>
      <c r="N194" s="304" t="s">
        <v>640</v>
      </c>
      <c r="O194" s="323">
        <f>0</f>
        <v>0</v>
      </c>
      <c r="P194" s="151">
        <f>0</f>
        <v>0</v>
      </c>
      <c r="Q194" s="151">
        <f>0</f>
        <v>0</v>
      </c>
      <c r="R194" s="151">
        <f>0</f>
        <v>0</v>
      </c>
      <c r="S194" s="151">
        <f>0</f>
        <v>0</v>
      </c>
      <c r="T194" s="151">
        <f>0</f>
        <v>0</v>
      </c>
      <c r="U194" s="151">
        <f>0</f>
        <v>0</v>
      </c>
      <c r="V194" s="151">
        <f>0</f>
        <v>0</v>
      </c>
      <c r="W194" s="151">
        <v>1</v>
      </c>
      <c r="X194" s="151">
        <f>0</f>
        <v>0</v>
      </c>
      <c r="Y194" s="151">
        <f>0</f>
        <v>0</v>
      </c>
      <c r="Z194" s="200">
        <f>0</f>
        <v>0</v>
      </c>
      <c r="AA194" s="113">
        <f t="shared" si="6"/>
        <v>1</v>
      </c>
      <c r="AB194" s="199"/>
      <c r="AC194" s="120">
        <f t="shared" si="7"/>
        <v>1</v>
      </c>
      <c r="AD194" s="170"/>
      <c r="AE194" s="187" t="s">
        <v>282</v>
      </c>
      <c r="AF194" s="171"/>
      <c r="AG194" s="188"/>
      <c r="AH194" s="187"/>
      <c r="AI194" s="88"/>
      <c r="AJ194" s="89" t="s">
        <v>499</v>
      </c>
      <c r="AK194" s="189" t="e">
        <f t="shared" si="8"/>
        <v>#VALUE!</v>
      </c>
      <c r="AL194" s="88"/>
      <c r="AM194" s="83"/>
      <c r="AN194" s="90"/>
      <c r="AO194" s="180"/>
    </row>
    <row r="195" spans="1:41" s="107" customFormat="1" ht="30.75" customHeight="1">
      <c r="A195" s="225">
        <v>190</v>
      </c>
      <c r="B195" s="234" t="s">
        <v>613</v>
      </c>
      <c r="C195" s="235" t="s">
        <v>614</v>
      </c>
      <c r="D195" s="285" t="s">
        <v>645</v>
      </c>
      <c r="E195" s="506">
        <v>0</v>
      </c>
      <c r="F195" s="299" t="s">
        <v>313</v>
      </c>
      <c r="G195" s="300" t="s">
        <v>1387</v>
      </c>
      <c r="H195" s="301" t="s">
        <v>630</v>
      </c>
      <c r="I195" s="301" t="s">
        <v>629</v>
      </c>
      <c r="J195" s="84" t="s">
        <v>251</v>
      </c>
      <c r="K195" s="171" t="s">
        <v>252</v>
      </c>
      <c r="L195" s="171" t="s">
        <v>252</v>
      </c>
      <c r="M195" s="171"/>
      <c r="N195" s="304" t="s">
        <v>640</v>
      </c>
      <c r="O195" s="323">
        <f>0</f>
        <v>0</v>
      </c>
      <c r="P195" s="151">
        <f>0</f>
        <v>0</v>
      </c>
      <c r="Q195" s="151">
        <f>0</f>
        <v>0</v>
      </c>
      <c r="R195" s="151">
        <f>0</f>
        <v>0</v>
      </c>
      <c r="S195" s="151">
        <f>0</f>
        <v>0</v>
      </c>
      <c r="T195" s="151">
        <f>0</f>
        <v>0</v>
      </c>
      <c r="U195" s="151">
        <f>0</f>
        <v>0</v>
      </c>
      <c r="V195" s="151">
        <f>0</f>
        <v>0</v>
      </c>
      <c r="W195" s="151">
        <v>1</v>
      </c>
      <c r="X195" s="151">
        <f>0</f>
        <v>0</v>
      </c>
      <c r="Y195" s="151">
        <f>0</f>
        <v>0</v>
      </c>
      <c r="Z195" s="200">
        <f>0</f>
        <v>0</v>
      </c>
      <c r="AA195" s="113">
        <f t="shared" si="6"/>
        <v>1</v>
      </c>
      <c r="AB195" s="199"/>
      <c r="AC195" s="120">
        <f t="shared" si="7"/>
        <v>1</v>
      </c>
      <c r="AD195" s="170"/>
      <c r="AE195" s="187" t="s">
        <v>282</v>
      </c>
      <c r="AF195" s="171"/>
      <c r="AG195" s="188"/>
      <c r="AH195" s="187"/>
      <c r="AI195" s="88"/>
      <c r="AJ195" s="89" t="s">
        <v>499</v>
      </c>
      <c r="AK195" s="189" t="e">
        <f t="shared" si="8"/>
        <v>#VALUE!</v>
      </c>
      <c r="AL195" s="88"/>
      <c r="AM195" s="83"/>
      <c r="AN195" s="90"/>
      <c r="AO195" s="180"/>
    </row>
    <row r="196" spans="1:41" s="288" customFormat="1" ht="30.75" customHeight="1">
      <c r="A196" s="225">
        <v>191</v>
      </c>
      <c r="B196" s="234" t="s">
        <v>613</v>
      </c>
      <c r="C196" s="235" t="s">
        <v>614</v>
      </c>
      <c r="D196" s="285" t="s">
        <v>631</v>
      </c>
      <c r="E196" s="506" t="s">
        <v>322</v>
      </c>
      <c r="F196" s="299" t="s">
        <v>632</v>
      </c>
      <c r="G196" s="300" t="s">
        <v>633</v>
      </c>
      <c r="H196" s="301" t="s">
        <v>634</v>
      </c>
      <c r="I196" s="301" t="s">
        <v>629</v>
      </c>
      <c r="J196" s="84" t="s">
        <v>251</v>
      </c>
      <c r="K196" s="171" t="s">
        <v>252</v>
      </c>
      <c r="L196" s="171" t="s">
        <v>252</v>
      </c>
      <c r="M196" s="171"/>
      <c r="N196" s="304" t="s">
        <v>640</v>
      </c>
      <c r="O196" s="323">
        <f>0</f>
        <v>0</v>
      </c>
      <c r="P196" s="151">
        <f>0</f>
        <v>0</v>
      </c>
      <c r="Q196" s="151">
        <f>0</f>
        <v>0</v>
      </c>
      <c r="R196" s="151">
        <f>0</f>
        <v>0</v>
      </c>
      <c r="S196" s="151">
        <f>0</f>
        <v>0</v>
      </c>
      <c r="T196" s="151">
        <f>0</f>
        <v>0</v>
      </c>
      <c r="U196" s="151">
        <f>0</f>
        <v>0</v>
      </c>
      <c r="V196" s="151">
        <f>0</f>
        <v>0</v>
      </c>
      <c r="W196" s="151">
        <v>6</v>
      </c>
      <c r="X196" s="151">
        <f>0</f>
        <v>0</v>
      </c>
      <c r="Y196" s="151">
        <f>0</f>
        <v>0</v>
      </c>
      <c r="Z196" s="200">
        <f>0</f>
        <v>0</v>
      </c>
      <c r="AA196" s="113">
        <f t="shared" si="6"/>
        <v>6</v>
      </c>
      <c r="AB196" s="199"/>
      <c r="AC196" s="120">
        <f t="shared" si="7"/>
        <v>6</v>
      </c>
      <c r="AD196" s="170"/>
      <c r="AE196" s="187" t="s">
        <v>282</v>
      </c>
      <c r="AF196" s="171"/>
      <c r="AG196" s="188"/>
      <c r="AH196" s="187"/>
      <c r="AI196" s="88"/>
      <c r="AJ196" s="89" t="s">
        <v>499</v>
      </c>
      <c r="AK196" s="189" t="e">
        <f t="shared" si="8"/>
        <v>#VALUE!</v>
      </c>
      <c r="AL196" s="88"/>
      <c r="AM196" s="83"/>
      <c r="AN196" s="90"/>
      <c r="AO196" s="180"/>
    </row>
    <row r="197" spans="1:41" s="288" customFormat="1" ht="30.75" customHeight="1">
      <c r="A197" s="225">
        <v>192</v>
      </c>
      <c r="B197" s="234" t="s">
        <v>613</v>
      </c>
      <c r="C197" s="235" t="s">
        <v>614</v>
      </c>
      <c r="D197" s="285" t="s">
        <v>635</v>
      </c>
      <c r="E197" s="506" t="s">
        <v>312</v>
      </c>
      <c r="F197" s="299" t="s">
        <v>636</v>
      </c>
      <c r="G197" s="300" t="s">
        <v>637</v>
      </c>
      <c r="H197" s="301" t="s">
        <v>638</v>
      </c>
      <c r="I197" s="301" t="s">
        <v>629</v>
      </c>
      <c r="J197" s="84" t="s">
        <v>251</v>
      </c>
      <c r="K197" s="171" t="s">
        <v>252</v>
      </c>
      <c r="L197" s="171" t="s">
        <v>252</v>
      </c>
      <c r="M197" s="171"/>
      <c r="N197" s="304" t="s">
        <v>640</v>
      </c>
      <c r="O197" s="323">
        <f>0</f>
        <v>0</v>
      </c>
      <c r="P197" s="151">
        <f>0</f>
        <v>0</v>
      </c>
      <c r="Q197" s="151">
        <f>0</f>
        <v>0</v>
      </c>
      <c r="R197" s="151">
        <f>0</f>
        <v>0</v>
      </c>
      <c r="S197" s="151">
        <f>0</f>
        <v>0</v>
      </c>
      <c r="T197" s="151">
        <f>0</f>
        <v>0</v>
      </c>
      <c r="U197" s="151">
        <f>0</f>
        <v>0</v>
      </c>
      <c r="V197" s="151">
        <f>0</f>
        <v>0</v>
      </c>
      <c r="W197" s="151">
        <v>1</v>
      </c>
      <c r="X197" s="151">
        <f>0</f>
        <v>0</v>
      </c>
      <c r="Y197" s="151">
        <f>0</f>
        <v>0</v>
      </c>
      <c r="Z197" s="200">
        <f>0</f>
        <v>0</v>
      </c>
      <c r="AA197" s="113">
        <f t="shared" si="6"/>
        <v>1</v>
      </c>
      <c r="AB197" s="199"/>
      <c r="AC197" s="120">
        <f t="shared" si="7"/>
        <v>1</v>
      </c>
      <c r="AD197" s="170"/>
      <c r="AE197" s="187" t="s">
        <v>282</v>
      </c>
      <c r="AF197" s="171" t="s">
        <v>735</v>
      </c>
      <c r="AG197" s="188"/>
      <c r="AH197" s="187"/>
      <c r="AI197" s="88"/>
      <c r="AJ197" s="89" t="s">
        <v>499</v>
      </c>
      <c r="AK197" s="189" t="e">
        <f t="shared" si="8"/>
        <v>#VALUE!</v>
      </c>
      <c r="AL197" s="88"/>
      <c r="AM197" s="83"/>
      <c r="AN197" s="90"/>
      <c r="AO197" s="180"/>
    </row>
    <row r="198" spans="1:41" s="288" customFormat="1" ht="30.75" customHeight="1">
      <c r="A198" s="233">
        <v>193</v>
      </c>
      <c r="B198" s="234" t="s">
        <v>613</v>
      </c>
      <c r="C198" s="235" t="s">
        <v>614</v>
      </c>
      <c r="D198" s="285" t="s">
        <v>639</v>
      </c>
      <c r="E198" s="214">
        <v>0</v>
      </c>
      <c r="F198" s="222" t="s">
        <v>1388</v>
      </c>
      <c r="G198" s="188" t="s">
        <v>1389</v>
      </c>
      <c r="H198" s="309" t="s">
        <v>1390</v>
      </c>
      <c r="I198" s="301" t="s">
        <v>1391</v>
      </c>
      <c r="J198" s="84"/>
      <c r="K198" s="171" t="s">
        <v>252</v>
      </c>
      <c r="L198" s="171" t="s">
        <v>252</v>
      </c>
      <c r="M198" s="171"/>
      <c r="N198" s="294" t="s">
        <v>640</v>
      </c>
      <c r="O198" s="323">
        <f>0</f>
        <v>0</v>
      </c>
      <c r="P198" s="151">
        <f>0</f>
        <v>0</v>
      </c>
      <c r="Q198" s="151">
        <f>0</f>
        <v>0</v>
      </c>
      <c r="R198" s="151">
        <f>0</f>
        <v>0</v>
      </c>
      <c r="S198" s="151">
        <f>0</f>
        <v>0</v>
      </c>
      <c r="T198" s="151">
        <f>0</f>
        <v>0</v>
      </c>
      <c r="U198" s="151">
        <f>0</f>
        <v>0</v>
      </c>
      <c r="V198" s="151">
        <f>0</f>
        <v>0</v>
      </c>
      <c r="W198" s="151">
        <v>1</v>
      </c>
      <c r="X198" s="151">
        <f>0</f>
        <v>0</v>
      </c>
      <c r="Y198" s="151">
        <f>0</f>
        <v>0</v>
      </c>
      <c r="Z198" s="200">
        <f>0</f>
        <v>0</v>
      </c>
      <c r="AA198" s="131">
        <f t="shared" ref="AA198:AA261" si="9">SUM(O198:Z198)</f>
        <v>1</v>
      </c>
      <c r="AB198" s="158"/>
      <c r="AC198" s="161">
        <f t="shared" ref="AC198:AC261" si="10">AA198-AB198</f>
        <v>1</v>
      </c>
      <c r="AD198" s="186">
        <v>44939</v>
      </c>
      <c r="AE198" s="187" t="s">
        <v>282</v>
      </c>
      <c r="AF198" s="171" t="s">
        <v>742</v>
      </c>
      <c r="AG198" s="188"/>
      <c r="AH198" s="187" t="s">
        <v>743</v>
      </c>
      <c r="AI198" s="88"/>
      <c r="AJ198" s="89">
        <v>1</v>
      </c>
      <c r="AK198" s="189">
        <f t="shared" ref="AK198:AK250" si="11">AC198-AJ198</f>
        <v>0</v>
      </c>
      <c r="AL198" s="88" t="s">
        <v>1496</v>
      </c>
      <c r="AM198" s="83"/>
      <c r="AN198" s="90"/>
      <c r="AO198" s="190"/>
    </row>
    <row r="199" spans="1:41" s="289" customFormat="1" ht="30.75" customHeight="1">
      <c r="A199" s="225">
        <v>194</v>
      </c>
      <c r="B199" s="234" t="s">
        <v>613</v>
      </c>
      <c r="C199" s="235" t="s">
        <v>614</v>
      </c>
      <c r="D199" s="285" t="s">
        <v>615</v>
      </c>
      <c r="E199" s="211" t="s">
        <v>322</v>
      </c>
      <c r="F199" s="212" t="s">
        <v>1340</v>
      </c>
      <c r="G199" s="211" t="s">
        <v>1341</v>
      </c>
      <c r="H199" s="211" t="s">
        <v>1342</v>
      </c>
      <c r="I199" s="213" t="s">
        <v>616</v>
      </c>
      <c r="J199" s="212" t="s">
        <v>71</v>
      </c>
      <c r="K199" s="212"/>
      <c r="L199" s="212" t="s">
        <v>326</v>
      </c>
      <c r="M199" s="212"/>
      <c r="N199" s="304" t="s">
        <v>708</v>
      </c>
      <c r="O199" s="391">
        <f>0</f>
        <v>0</v>
      </c>
      <c r="P199" s="77">
        <v>0</v>
      </c>
      <c r="Q199" s="77">
        <f>0</f>
        <v>0</v>
      </c>
      <c r="R199" s="77">
        <v>0</v>
      </c>
      <c r="S199" s="77">
        <f>0</f>
        <v>0</v>
      </c>
      <c r="T199" s="77">
        <f>0</f>
        <v>0</v>
      </c>
      <c r="U199" s="77">
        <f>0</f>
        <v>0</v>
      </c>
      <c r="V199" s="77">
        <v>0</v>
      </c>
      <c r="W199" s="77">
        <v>2</v>
      </c>
      <c r="X199" s="77">
        <f>0</f>
        <v>0</v>
      </c>
      <c r="Y199" s="77">
        <f>0</f>
        <v>0</v>
      </c>
      <c r="Z199" s="392">
        <f>0</f>
        <v>0</v>
      </c>
      <c r="AA199" s="174">
        <f t="shared" si="9"/>
        <v>2</v>
      </c>
      <c r="AB199" s="158"/>
      <c r="AC199" s="172">
        <f t="shared" si="10"/>
        <v>2</v>
      </c>
      <c r="AD199" s="170">
        <v>45013</v>
      </c>
      <c r="AE199" s="187" t="s">
        <v>239</v>
      </c>
      <c r="AF199" s="84" t="s">
        <v>1589</v>
      </c>
      <c r="AG199" s="178"/>
      <c r="AH199" s="177"/>
      <c r="AI199" s="88" t="s">
        <v>1438</v>
      </c>
      <c r="AJ199" s="86">
        <v>2</v>
      </c>
      <c r="AK199" s="179">
        <f t="shared" si="11"/>
        <v>0</v>
      </c>
      <c r="AL199" s="85" t="s">
        <v>1594</v>
      </c>
      <c r="AM199" s="77"/>
      <c r="AN199" s="87"/>
      <c r="AO199" s="180"/>
    </row>
    <row r="200" spans="1:41" s="289" customFormat="1" ht="30.75" customHeight="1">
      <c r="A200" s="225">
        <v>195</v>
      </c>
      <c r="B200" s="234" t="s">
        <v>613</v>
      </c>
      <c r="C200" s="235" t="s">
        <v>614</v>
      </c>
      <c r="D200" s="504" t="s">
        <v>1567</v>
      </c>
      <c r="E200" s="208" t="s">
        <v>322</v>
      </c>
      <c r="F200" s="210" t="s">
        <v>1343</v>
      </c>
      <c r="G200" s="306" t="s">
        <v>1568</v>
      </c>
      <c r="H200" s="306" t="s">
        <v>646</v>
      </c>
      <c r="I200" s="213" t="s">
        <v>647</v>
      </c>
      <c r="J200" s="213" t="s">
        <v>648</v>
      </c>
      <c r="K200" s="213" t="s">
        <v>252</v>
      </c>
      <c r="L200" s="213" t="s">
        <v>252</v>
      </c>
      <c r="M200" s="213" t="s">
        <v>651</v>
      </c>
      <c r="N200" s="304" t="s">
        <v>708</v>
      </c>
      <c r="O200" s="391">
        <f>0</f>
        <v>0</v>
      </c>
      <c r="P200" s="77">
        <f>0</f>
        <v>0</v>
      </c>
      <c r="Q200" s="77">
        <f>0</f>
        <v>0</v>
      </c>
      <c r="R200" s="77">
        <f>0</f>
        <v>0</v>
      </c>
      <c r="S200" s="77">
        <f>0</f>
        <v>0</v>
      </c>
      <c r="T200" s="77">
        <f>0</f>
        <v>0</v>
      </c>
      <c r="U200" s="77">
        <f>0</f>
        <v>0</v>
      </c>
      <c r="V200" s="77">
        <f>0</f>
        <v>0</v>
      </c>
      <c r="W200" s="77">
        <v>2</v>
      </c>
      <c r="X200" s="77">
        <f>0</f>
        <v>0</v>
      </c>
      <c r="Y200" s="77">
        <f>0</f>
        <v>0</v>
      </c>
      <c r="Z200" s="392">
        <f>0</f>
        <v>0</v>
      </c>
      <c r="AA200" s="132">
        <f t="shared" si="9"/>
        <v>2</v>
      </c>
      <c r="AB200" s="158"/>
      <c r="AC200" s="161">
        <f t="shared" si="10"/>
        <v>2</v>
      </c>
      <c r="AD200" s="186">
        <v>45030</v>
      </c>
      <c r="AE200" s="187" t="s">
        <v>239</v>
      </c>
      <c r="AF200" s="171" t="s">
        <v>1585</v>
      </c>
      <c r="AG200" s="188"/>
      <c r="AH200" s="187"/>
      <c r="AI200" s="88" t="s">
        <v>1438</v>
      </c>
      <c r="AJ200" s="89">
        <v>2</v>
      </c>
      <c r="AK200" s="189">
        <f t="shared" si="11"/>
        <v>0</v>
      </c>
      <c r="AL200" s="88" t="s">
        <v>1612</v>
      </c>
      <c r="AM200" s="83"/>
      <c r="AN200" s="90"/>
      <c r="AO200" s="190"/>
    </row>
    <row r="201" spans="1:41" s="289" customFormat="1" ht="30.75" customHeight="1">
      <c r="A201" s="225">
        <v>196</v>
      </c>
      <c r="B201" s="234" t="s">
        <v>613</v>
      </c>
      <c r="C201" s="235" t="s">
        <v>614</v>
      </c>
      <c r="D201" s="504" t="s">
        <v>1569</v>
      </c>
      <c r="E201" s="209">
        <v>0</v>
      </c>
      <c r="F201" s="212" t="s">
        <v>649</v>
      </c>
      <c r="G201" s="211" t="s">
        <v>1570</v>
      </c>
      <c r="H201" s="211" t="s">
        <v>252</v>
      </c>
      <c r="I201" s="213" t="s">
        <v>647</v>
      </c>
      <c r="J201" s="213" t="s">
        <v>251</v>
      </c>
      <c r="K201" s="213" t="s">
        <v>650</v>
      </c>
      <c r="L201" s="213" t="s">
        <v>252</v>
      </c>
      <c r="M201" s="213" t="s">
        <v>651</v>
      </c>
      <c r="N201" s="304" t="s">
        <v>708</v>
      </c>
      <c r="O201" s="391">
        <f>0</f>
        <v>0</v>
      </c>
      <c r="P201" s="77">
        <f>0</f>
        <v>0</v>
      </c>
      <c r="Q201" s="77">
        <f>0</f>
        <v>0</v>
      </c>
      <c r="R201" s="77">
        <f>0</f>
        <v>0</v>
      </c>
      <c r="S201" s="77">
        <f>0</f>
        <v>0</v>
      </c>
      <c r="T201" s="77">
        <f>0</f>
        <v>0</v>
      </c>
      <c r="U201" s="77">
        <f>0</f>
        <v>0</v>
      </c>
      <c r="V201" s="77">
        <f>0</f>
        <v>0</v>
      </c>
      <c r="W201" s="77">
        <v>2</v>
      </c>
      <c r="X201" s="77">
        <f>0</f>
        <v>0</v>
      </c>
      <c r="Y201" s="77">
        <f>0</f>
        <v>0</v>
      </c>
      <c r="Z201" s="392">
        <f>0</f>
        <v>0</v>
      </c>
      <c r="AA201" s="174">
        <f t="shared" si="9"/>
        <v>2</v>
      </c>
      <c r="AB201" s="175"/>
      <c r="AC201" s="172">
        <f t="shared" si="10"/>
        <v>2</v>
      </c>
      <c r="AD201" s="176">
        <v>45030</v>
      </c>
      <c r="AE201" s="177" t="s">
        <v>239</v>
      </c>
      <c r="AF201" s="84" t="s">
        <v>1585</v>
      </c>
      <c r="AG201" s="178"/>
      <c r="AH201" s="177"/>
      <c r="AI201" s="88" t="s">
        <v>1438</v>
      </c>
      <c r="AJ201" s="86">
        <v>2</v>
      </c>
      <c r="AK201" s="179">
        <f t="shared" si="11"/>
        <v>0</v>
      </c>
      <c r="AL201" s="85" t="s">
        <v>1612</v>
      </c>
      <c r="AM201" s="77"/>
      <c r="AN201" s="87"/>
      <c r="AO201" s="180"/>
    </row>
    <row r="202" spans="1:41" s="288" customFormat="1" ht="30.75" customHeight="1">
      <c r="A202" s="233">
        <v>197</v>
      </c>
      <c r="B202" s="234" t="s">
        <v>613</v>
      </c>
      <c r="C202" s="235" t="s">
        <v>614</v>
      </c>
      <c r="D202" s="285">
        <v>91046</v>
      </c>
      <c r="E202" s="209" t="s">
        <v>328</v>
      </c>
      <c r="F202" s="212" t="s">
        <v>367</v>
      </c>
      <c r="G202" s="305"/>
      <c r="H202" s="211">
        <v>91046</v>
      </c>
      <c r="I202" s="213" t="s">
        <v>250</v>
      </c>
      <c r="J202" s="213" t="s">
        <v>251</v>
      </c>
      <c r="K202" s="213" t="s">
        <v>252</v>
      </c>
      <c r="L202" s="213" t="s">
        <v>252</v>
      </c>
      <c r="M202" s="213"/>
      <c r="N202" s="216" t="s">
        <v>709</v>
      </c>
      <c r="O202" s="323">
        <f>0</f>
        <v>0</v>
      </c>
      <c r="P202" s="151">
        <f>0</f>
        <v>0</v>
      </c>
      <c r="Q202" s="151">
        <f>0</f>
        <v>0</v>
      </c>
      <c r="R202" s="151">
        <f>0</f>
        <v>0</v>
      </c>
      <c r="S202" s="151">
        <f>0</f>
        <v>0</v>
      </c>
      <c r="T202" s="151">
        <f>0</f>
        <v>0</v>
      </c>
      <c r="U202" s="151">
        <f>0</f>
        <v>0</v>
      </c>
      <c r="V202" s="151">
        <f>0</f>
        <v>0</v>
      </c>
      <c r="W202" s="151">
        <v>4</v>
      </c>
      <c r="X202" s="151">
        <f>0</f>
        <v>0</v>
      </c>
      <c r="Y202" s="151">
        <f>0</f>
        <v>0</v>
      </c>
      <c r="Z202" s="200">
        <f>0</f>
        <v>0</v>
      </c>
      <c r="AA202" s="142">
        <f t="shared" si="9"/>
        <v>4</v>
      </c>
      <c r="AB202" s="123"/>
      <c r="AC202" s="154">
        <f t="shared" si="10"/>
        <v>4</v>
      </c>
      <c r="AD202" s="176"/>
      <c r="AE202" s="124" t="s">
        <v>282</v>
      </c>
      <c r="AF202" s="84" t="s">
        <v>292</v>
      </c>
      <c r="AG202" s="178"/>
      <c r="AH202" s="177"/>
      <c r="AI202" s="85"/>
      <c r="AJ202" s="125" t="s">
        <v>499</v>
      </c>
      <c r="AK202" s="388" t="e">
        <f t="shared" si="11"/>
        <v>#VALUE!</v>
      </c>
      <c r="AL202" s="139"/>
      <c r="AM202" s="151"/>
      <c r="AN202" s="153"/>
      <c r="AO202" s="390"/>
    </row>
    <row r="203" spans="1:41" s="288" customFormat="1" ht="30.75" customHeight="1">
      <c r="A203" s="225">
        <v>198</v>
      </c>
      <c r="B203" s="234" t="s">
        <v>613</v>
      </c>
      <c r="C203" s="235" t="s">
        <v>614</v>
      </c>
      <c r="D203" s="285" t="s">
        <v>655</v>
      </c>
      <c r="E203" s="306" t="s">
        <v>328</v>
      </c>
      <c r="F203" s="210" t="s">
        <v>656</v>
      </c>
      <c r="G203" s="241"/>
      <c r="H203" s="306" t="s">
        <v>655</v>
      </c>
      <c r="I203" s="213" t="s">
        <v>657</v>
      </c>
      <c r="J203" s="213" t="s">
        <v>251</v>
      </c>
      <c r="K203" s="213" t="s">
        <v>252</v>
      </c>
      <c r="L203" s="213" t="s">
        <v>252</v>
      </c>
      <c r="M203" s="213"/>
      <c r="N203" s="216" t="s">
        <v>709</v>
      </c>
      <c r="O203" s="323">
        <f>0</f>
        <v>0</v>
      </c>
      <c r="P203" s="151">
        <f>0</f>
        <v>0</v>
      </c>
      <c r="Q203" s="151">
        <f>0</f>
        <v>0</v>
      </c>
      <c r="R203" s="151">
        <f>0</f>
        <v>0</v>
      </c>
      <c r="S203" s="151">
        <f>0</f>
        <v>0</v>
      </c>
      <c r="T203" s="151">
        <f>0</f>
        <v>0</v>
      </c>
      <c r="U203" s="151">
        <f>0</f>
        <v>0</v>
      </c>
      <c r="V203" s="151">
        <f>0</f>
        <v>0</v>
      </c>
      <c r="W203" s="151">
        <v>8</v>
      </c>
      <c r="X203" s="151">
        <f>0</f>
        <v>0</v>
      </c>
      <c r="Y203" s="151">
        <f>0</f>
        <v>0</v>
      </c>
      <c r="Z203" s="200">
        <f>0</f>
        <v>0</v>
      </c>
      <c r="AA203" s="143">
        <f t="shared" si="9"/>
        <v>8</v>
      </c>
      <c r="AB203" s="168"/>
      <c r="AC203" s="169">
        <f t="shared" si="10"/>
        <v>8</v>
      </c>
      <c r="AD203" s="186">
        <v>44945</v>
      </c>
      <c r="AE203" s="187" t="s">
        <v>282</v>
      </c>
      <c r="AF203" s="171" t="s">
        <v>1324</v>
      </c>
      <c r="AG203" s="188"/>
      <c r="AH203" s="187"/>
      <c r="AI203" s="88"/>
      <c r="AJ203" s="89">
        <v>8</v>
      </c>
      <c r="AK203" s="189">
        <f t="shared" si="11"/>
        <v>0</v>
      </c>
      <c r="AL203" s="88" t="s">
        <v>1242</v>
      </c>
      <c r="AM203" s="83"/>
      <c r="AN203" s="90"/>
      <c r="AO203" s="190"/>
    </row>
    <row r="204" spans="1:41" s="288" customFormat="1" ht="30.75" customHeight="1">
      <c r="A204" s="225">
        <v>199</v>
      </c>
      <c r="B204" s="234" t="s">
        <v>613</v>
      </c>
      <c r="C204" s="235" t="s">
        <v>614</v>
      </c>
      <c r="D204" s="285" t="s">
        <v>1392</v>
      </c>
      <c r="E204" s="211" t="s">
        <v>338</v>
      </c>
      <c r="F204" s="212" t="s">
        <v>658</v>
      </c>
      <c r="G204" s="305"/>
      <c r="H204" s="211" t="s">
        <v>659</v>
      </c>
      <c r="I204" s="213" t="s">
        <v>255</v>
      </c>
      <c r="J204" s="213" t="s">
        <v>251</v>
      </c>
      <c r="K204" s="213" t="s">
        <v>252</v>
      </c>
      <c r="L204" s="213" t="s">
        <v>252</v>
      </c>
      <c r="M204" s="213"/>
      <c r="N204" s="216" t="s">
        <v>709</v>
      </c>
      <c r="O204" s="391">
        <f>0</f>
        <v>0</v>
      </c>
      <c r="P204" s="77">
        <f>0</f>
        <v>0</v>
      </c>
      <c r="Q204" s="77">
        <f>0</f>
        <v>0</v>
      </c>
      <c r="R204" s="77">
        <f>0</f>
        <v>0</v>
      </c>
      <c r="S204" s="77">
        <f>0</f>
        <v>0</v>
      </c>
      <c r="T204" s="77">
        <f>0</f>
        <v>0</v>
      </c>
      <c r="U204" s="77">
        <f>0</f>
        <v>0</v>
      </c>
      <c r="V204" s="77">
        <f>0</f>
        <v>0</v>
      </c>
      <c r="W204" s="77">
        <v>16</v>
      </c>
      <c r="X204" s="77">
        <f>0</f>
        <v>0</v>
      </c>
      <c r="Y204" s="77">
        <f>0</f>
        <v>0</v>
      </c>
      <c r="Z204" s="392">
        <f>0</f>
        <v>0</v>
      </c>
      <c r="AA204" s="174">
        <f t="shared" si="9"/>
        <v>16</v>
      </c>
      <c r="AB204" s="175"/>
      <c r="AC204" s="172">
        <f t="shared" si="10"/>
        <v>16</v>
      </c>
      <c r="AD204" s="176">
        <v>44938</v>
      </c>
      <c r="AE204" s="177" t="s">
        <v>282</v>
      </c>
      <c r="AF204" s="201" t="s">
        <v>744</v>
      </c>
      <c r="AG204" s="178"/>
      <c r="AH204" s="177"/>
      <c r="AI204" s="85"/>
      <c r="AJ204" s="86" t="s">
        <v>499</v>
      </c>
      <c r="AK204" s="179" t="e">
        <f t="shared" si="11"/>
        <v>#VALUE!</v>
      </c>
      <c r="AL204" s="85"/>
      <c r="AM204" s="77"/>
      <c r="AN204" s="87"/>
      <c r="AO204" s="180"/>
    </row>
    <row r="205" spans="1:41" s="288" customFormat="1" ht="30.75" customHeight="1">
      <c r="A205" s="225">
        <v>200</v>
      </c>
      <c r="B205" s="234">
        <v>44924</v>
      </c>
      <c r="C205" s="235" t="s">
        <v>306</v>
      </c>
      <c r="D205" s="285" t="s">
        <v>662</v>
      </c>
      <c r="E205" s="377" t="s">
        <v>328</v>
      </c>
      <c r="F205" s="167" t="s">
        <v>349</v>
      </c>
      <c r="G205" s="178" t="s">
        <v>663</v>
      </c>
      <c r="H205" s="308" t="s">
        <v>662</v>
      </c>
      <c r="I205" s="301" t="s">
        <v>227</v>
      </c>
      <c r="J205" s="213" t="s">
        <v>251</v>
      </c>
      <c r="K205" s="213" t="s">
        <v>252</v>
      </c>
      <c r="L205" s="213" t="s">
        <v>252</v>
      </c>
      <c r="M205" s="213" t="s">
        <v>691</v>
      </c>
      <c r="N205" s="216" t="s">
        <v>71</v>
      </c>
      <c r="O205" s="391">
        <f>0</f>
        <v>0</v>
      </c>
      <c r="P205" s="77">
        <f>0</f>
        <v>0</v>
      </c>
      <c r="Q205" s="77">
        <f>0</f>
        <v>0</v>
      </c>
      <c r="R205" s="77">
        <f>0</f>
        <v>0</v>
      </c>
      <c r="S205" s="77">
        <f>0</f>
        <v>0</v>
      </c>
      <c r="T205" s="77">
        <v>2</v>
      </c>
      <c r="U205" s="77">
        <f>0</f>
        <v>0</v>
      </c>
      <c r="V205" s="77">
        <f>0</f>
        <v>0</v>
      </c>
      <c r="W205" s="77">
        <f>0</f>
        <v>0</v>
      </c>
      <c r="X205" s="77">
        <f>0</f>
        <v>0</v>
      </c>
      <c r="Y205" s="77">
        <f>0</f>
        <v>0</v>
      </c>
      <c r="Z205" s="392">
        <f>0</f>
        <v>0</v>
      </c>
      <c r="AA205" s="174">
        <f t="shared" si="9"/>
        <v>2</v>
      </c>
      <c r="AB205" s="175"/>
      <c r="AC205" s="172">
        <f t="shared" si="10"/>
        <v>2</v>
      </c>
      <c r="AD205" s="114" t="s">
        <v>1430</v>
      </c>
      <c r="AE205" s="177" t="s">
        <v>239</v>
      </c>
      <c r="AF205" s="84" t="s">
        <v>1431</v>
      </c>
      <c r="AG205" s="178"/>
      <c r="AH205" s="177"/>
      <c r="AI205" s="85"/>
      <c r="AJ205" s="86">
        <v>2</v>
      </c>
      <c r="AK205" s="179">
        <f t="shared" si="11"/>
        <v>0</v>
      </c>
      <c r="AL205" s="85" t="s">
        <v>1528</v>
      </c>
      <c r="AM205" s="77"/>
      <c r="AN205" s="87"/>
      <c r="AO205" s="180"/>
    </row>
    <row r="206" spans="1:41" s="288" customFormat="1" ht="30.75" customHeight="1">
      <c r="A206" s="233">
        <v>201</v>
      </c>
      <c r="B206" s="234">
        <v>44924</v>
      </c>
      <c r="C206" s="235" t="s">
        <v>306</v>
      </c>
      <c r="D206" s="285" t="s">
        <v>664</v>
      </c>
      <c r="E206" s="267">
        <v>0</v>
      </c>
      <c r="F206" s="222" t="s">
        <v>345</v>
      </c>
      <c r="G206" s="188" t="s">
        <v>665</v>
      </c>
      <c r="H206" s="309" t="s">
        <v>664</v>
      </c>
      <c r="I206" s="301" t="s">
        <v>227</v>
      </c>
      <c r="J206" s="213" t="s">
        <v>251</v>
      </c>
      <c r="K206" s="213" t="s">
        <v>252</v>
      </c>
      <c r="L206" s="213" t="s">
        <v>252</v>
      </c>
      <c r="M206" s="213" t="s">
        <v>691</v>
      </c>
      <c r="N206" s="216" t="s">
        <v>71</v>
      </c>
      <c r="O206" s="391">
        <f>0</f>
        <v>0</v>
      </c>
      <c r="P206" s="77">
        <f>0</f>
        <v>0</v>
      </c>
      <c r="Q206" s="77">
        <f>0</f>
        <v>0</v>
      </c>
      <c r="R206" s="77">
        <f>0</f>
        <v>0</v>
      </c>
      <c r="S206" s="77">
        <f>0</f>
        <v>0</v>
      </c>
      <c r="T206" s="77">
        <v>2</v>
      </c>
      <c r="U206" s="77">
        <f>0</f>
        <v>0</v>
      </c>
      <c r="V206" s="77">
        <f>0</f>
        <v>0</v>
      </c>
      <c r="W206" s="77">
        <f>0</f>
        <v>0</v>
      </c>
      <c r="X206" s="77">
        <f>0</f>
        <v>0</v>
      </c>
      <c r="Y206" s="77">
        <f>0</f>
        <v>0</v>
      </c>
      <c r="Z206" s="392">
        <f>0</f>
        <v>0</v>
      </c>
      <c r="AA206" s="132">
        <f t="shared" si="9"/>
        <v>2</v>
      </c>
      <c r="AB206" s="160"/>
      <c r="AC206" s="161">
        <f t="shared" si="10"/>
        <v>2</v>
      </c>
      <c r="AD206" s="114" t="s">
        <v>1430</v>
      </c>
      <c r="AE206" s="177" t="s">
        <v>239</v>
      </c>
      <c r="AF206" s="84" t="s">
        <v>1431</v>
      </c>
      <c r="AG206" s="188"/>
      <c r="AH206" s="187"/>
      <c r="AI206" s="88"/>
      <c r="AJ206" s="89">
        <v>2</v>
      </c>
      <c r="AK206" s="189">
        <f t="shared" si="11"/>
        <v>0</v>
      </c>
      <c r="AL206" s="88" t="s">
        <v>1528</v>
      </c>
      <c r="AM206" s="83"/>
      <c r="AN206" s="90"/>
      <c r="AO206" s="190"/>
    </row>
    <row r="207" spans="1:41" s="288" customFormat="1" ht="30.75" customHeight="1">
      <c r="A207" s="225">
        <v>202</v>
      </c>
      <c r="B207" s="234">
        <v>44924</v>
      </c>
      <c r="C207" s="235" t="s">
        <v>306</v>
      </c>
      <c r="D207" s="285" t="s">
        <v>666</v>
      </c>
      <c r="E207" s="267" t="s">
        <v>322</v>
      </c>
      <c r="F207" s="222" t="s">
        <v>667</v>
      </c>
      <c r="G207" s="188" t="s">
        <v>668</v>
      </c>
      <c r="H207" s="309" t="s">
        <v>666</v>
      </c>
      <c r="I207" s="301" t="s">
        <v>227</v>
      </c>
      <c r="J207" s="213" t="s">
        <v>251</v>
      </c>
      <c r="K207" s="213" t="s">
        <v>252</v>
      </c>
      <c r="L207" s="213" t="s">
        <v>252</v>
      </c>
      <c r="M207" s="213" t="s">
        <v>691</v>
      </c>
      <c r="N207" s="216" t="s">
        <v>71</v>
      </c>
      <c r="O207" s="391">
        <f>0</f>
        <v>0</v>
      </c>
      <c r="P207" s="77">
        <f>0</f>
        <v>0</v>
      </c>
      <c r="Q207" s="77">
        <f>0</f>
        <v>0</v>
      </c>
      <c r="R207" s="77">
        <f>0</f>
        <v>0</v>
      </c>
      <c r="S207" s="77">
        <f>0</f>
        <v>0</v>
      </c>
      <c r="T207" s="77">
        <v>2</v>
      </c>
      <c r="U207" s="77">
        <f>0</f>
        <v>0</v>
      </c>
      <c r="V207" s="77">
        <f>0</f>
        <v>0</v>
      </c>
      <c r="W207" s="77">
        <f>0</f>
        <v>0</v>
      </c>
      <c r="X207" s="77">
        <f>0</f>
        <v>0</v>
      </c>
      <c r="Y207" s="77">
        <f>0</f>
        <v>0</v>
      </c>
      <c r="Z207" s="392">
        <f>0</f>
        <v>0</v>
      </c>
      <c r="AA207" s="132">
        <f t="shared" si="9"/>
        <v>2</v>
      </c>
      <c r="AB207" s="160"/>
      <c r="AC207" s="161">
        <f t="shared" si="10"/>
        <v>2</v>
      </c>
      <c r="AD207" s="114" t="s">
        <v>1430</v>
      </c>
      <c r="AE207" s="177" t="s">
        <v>239</v>
      </c>
      <c r="AF207" s="84" t="s">
        <v>1431</v>
      </c>
      <c r="AG207" s="188"/>
      <c r="AH207" s="187"/>
      <c r="AI207" s="88"/>
      <c r="AJ207" s="89">
        <v>2</v>
      </c>
      <c r="AK207" s="189">
        <f t="shared" si="11"/>
        <v>0</v>
      </c>
      <c r="AL207" s="88" t="s">
        <v>1533</v>
      </c>
      <c r="AM207" s="83"/>
      <c r="AN207" s="90"/>
      <c r="AO207" s="190"/>
    </row>
    <row r="208" spans="1:41" s="107" customFormat="1" ht="30.75" customHeight="1">
      <c r="A208" s="225">
        <v>203</v>
      </c>
      <c r="B208" s="234">
        <v>44924</v>
      </c>
      <c r="C208" s="307" t="s">
        <v>306</v>
      </c>
      <c r="D208" s="285" t="s">
        <v>669</v>
      </c>
      <c r="E208" s="217" t="s">
        <v>338</v>
      </c>
      <c r="F208" s="167" t="s">
        <v>670</v>
      </c>
      <c r="G208" s="178" t="s">
        <v>671</v>
      </c>
      <c r="H208" s="308" t="s">
        <v>669</v>
      </c>
      <c r="I208" s="301" t="s">
        <v>568</v>
      </c>
      <c r="J208" s="213" t="s">
        <v>251</v>
      </c>
      <c r="K208" s="213" t="s">
        <v>252</v>
      </c>
      <c r="L208" s="213" t="s">
        <v>252</v>
      </c>
      <c r="M208" s="213"/>
      <c r="N208" s="216" t="s">
        <v>691</v>
      </c>
      <c r="O208" s="323">
        <f>0</f>
        <v>0</v>
      </c>
      <c r="P208" s="151">
        <f>0</f>
        <v>0</v>
      </c>
      <c r="Q208" s="151">
        <f>0</f>
        <v>0</v>
      </c>
      <c r="R208" s="151">
        <f>0</f>
        <v>0</v>
      </c>
      <c r="S208" s="151">
        <f>0</f>
        <v>0</v>
      </c>
      <c r="T208" s="151">
        <v>4</v>
      </c>
      <c r="U208" s="151">
        <f>0</f>
        <v>0</v>
      </c>
      <c r="V208" s="151">
        <f>0</f>
        <v>0</v>
      </c>
      <c r="W208" s="151">
        <f>0</f>
        <v>0</v>
      </c>
      <c r="X208" s="151">
        <f>0</f>
        <v>0</v>
      </c>
      <c r="Y208" s="151">
        <f>0</f>
        <v>0</v>
      </c>
      <c r="Z208" s="200">
        <f>0</f>
        <v>0</v>
      </c>
      <c r="AA208" s="142">
        <f t="shared" si="9"/>
        <v>4</v>
      </c>
      <c r="AB208" s="123"/>
      <c r="AC208" s="154">
        <f t="shared" si="10"/>
        <v>4</v>
      </c>
      <c r="AD208" s="170"/>
      <c r="AE208" s="187" t="s">
        <v>282</v>
      </c>
      <c r="AF208" s="171" t="s">
        <v>292</v>
      </c>
      <c r="AG208" s="178"/>
      <c r="AH208" s="177"/>
      <c r="AI208" s="85"/>
      <c r="AJ208" s="86"/>
      <c r="AK208" s="179">
        <f t="shared" si="11"/>
        <v>4</v>
      </c>
      <c r="AL208" s="85"/>
      <c r="AM208" s="77"/>
      <c r="AN208" s="87"/>
      <c r="AO208" s="180"/>
    </row>
    <row r="209" spans="1:41" s="288" customFormat="1" ht="30.75" customHeight="1">
      <c r="A209" s="225">
        <v>204</v>
      </c>
      <c r="B209" s="234">
        <v>44924</v>
      </c>
      <c r="C209" s="307" t="s">
        <v>306</v>
      </c>
      <c r="D209" s="285" t="s">
        <v>685</v>
      </c>
      <c r="E209" s="217" t="s">
        <v>322</v>
      </c>
      <c r="F209" s="167" t="s">
        <v>672</v>
      </c>
      <c r="G209" s="178" t="s">
        <v>673</v>
      </c>
      <c r="H209" s="308" t="s">
        <v>685</v>
      </c>
      <c r="I209" s="301" t="s">
        <v>333</v>
      </c>
      <c r="J209" s="213" t="s">
        <v>251</v>
      </c>
      <c r="K209" s="213" t="s">
        <v>252</v>
      </c>
      <c r="L209" s="213" t="s">
        <v>252</v>
      </c>
      <c r="M209" s="213" t="s">
        <v>690</v>
      </c>
      <c r="N209" s="216" t="s">
        <v>691</v>
      </c>
      <c r="O209" s="323">
        <f>0</f>
        <v>0</v>
      </c>
      <c r="P209" s="151">
        <f>0</f>
        <v>0</v>
      </c>
      <c r="Q209" s="151">
        <f>0</f>
        <v>0</v>
      </c>
      <c r="R209" s="151">
        <f>0</f>
        <v>0</v>
      </c>
      <c r="S209" s="151">
        <f>0</f>
        <v>0</v>
      </c>
      <c r="T209" s="151">
        <v>2</v>
      </c>
      <c r="U209" s="151">
        <f>0</f>
        <v>0</v>
      </c>
      <c r="V209" s="151">
        <f>0</f>
        <v>0</v>
      </c>
      <c r="W209" s="151">
        <f>0</f>
        <v>0</v>
      </c>
      <c r="X209" s="151">
        <f>0</f>
        <v>0</v>
      </c>
      <c r="Y209" s="151">
        <f>0</f>
        <v>0</v>
      </c>
      <c r="Z209" s="200">
        <f>0</f>
        <v>0</v>
      </c>
      <c r="AA209" s="142">
        <f t="shared" si="9"/>
        <v>2</v>
      </c>
      <c r="AB209" s="123"/>
      <c r="AC209" s="154">
        <f t="shared" si="10"/>
        <v>2</v>
      </c>
      <c r="AD209" s="176">
        <v>44935</v>
      </c>
      <c r="AE209" s="177" t="s">
        <v>282</v>
      </c>
      <c r="AF209" s="84"/>
      <c r="AG209" s="178"/>
      <c r="AH209" s="177"/>
      <c r="AI209" s="85"/>
      <c r="AJ209" s="86">
        <v>2</v>
      </c>
      <c r="AK209" s="179">
        <f t="shared" si="11"/>
        <v>0</v>
      </c>
      <c r="AL209" s="85" t="s">
        <v>1321</v>
      </c>
      <c r="AM209" s="77"/>
      <c r="AN209" s="87"/>
      <c r="AO209" s="180"/>
    </row>
    <row r="210" spans="1:41" s="107" customFormat="1" ht="30.75" customHeight="1">
      <c r="A210" s="233">
        <v>205</v>
      </c>
      <c r="B210" s="234">
        <v>44924</v>
      </c>
      <c r="C210" s="307" t="s">
        <v>306</v>
      </c>
      <c r="D210" s="285" t="s">
        <v>674</v>
      </c>
      <c r="E210" s="217" t="s">
        <v>328</v>
      </c>
      <c r="F210" s="167" t="s">
        <v>377</v>
      </c>
      <c r="G210" s="178" t="s">
        <v>675</v>
      </c>
      <c r="H210" s="308" t="s">
        <v>676</v>
      </c>
      <c r="I210" s="301" t="s">
        <v>318</v>
      </c>
      <c r="J210" s="213" t="s">
        <v>251</v>
      </c>
      <c r="K210" s="213" t="s">
        <v>252</v>
      </c>
      <c r="L210" s="213" t="s">
        <v>252</v>
      </c>
      <c r="M210" s="213"/>
      <c r="N210" s="216" t="s">
        <v>691</v>
      </c>
      <c r="O210" s="323">
        <f>0</f>
        <v>0</v>
      </c>
      <c r="P210" s="151">
        <f>0</f>
        <v>0</v>
      </c>
      <c r="Q210" s="151">
        <f>0</f>
        <v>0</v>
      </c>
      <c r="R210" s="151">
        <f>0</f>
        <v>0</v>
      </c>
      <c r="S210" s="151">
        <f>0</f>
        <v>0</v>
      </c>
      <c r="T210" s="151">
        <v>8</v>
      </c>
      <c r="U210" s="151">
        <f>0</f>
        <v>0</v>
      </c>
      <c r="V210" s="151">
        <f>0</f>
        <v>0</v>
      </c>
      <c r="W210" s="151">
        <f>0</f>
        <v>0</v>
      </c>
      <c r="X210" s="151">
        <f>0</f>
        <v>0</v>
      </c>
      <c r="Y210" s="151">
        <f>0</f>
        <v>0</v>
      </c>
      <c r="Z210" s="200">
        <f>0</f>
        <v>0</v>
      </c>
      <c r="AA210" s="142">
        <f t="shared" si="9"/>
        <v>8</v>
      </c>
      <c r="AB210" s="123"/>
      <c r="AC210" s="154">
        <f t="shared" si="10"/>
        <v>8</v>
      </c>
      <c r="AD210" s="176">
        <v>44930</v>
      </c>
      <c r="AE210" s="177" t="s">
        <v>282</v>
      </c>
      <c r="AF210" s="201"/>
      <c r="AG210" s="178"/>
      <c r="AH210" s="177"/>
      <c r="AI210" s="85"/>
      <c r="AJ210" s="86">
        <v>8</v>
      </c>
      <c r="AK210" s="189">
        <f t="shared" si="11"/>
        <v>0</v>
      </c>
      <c r="AL210" s="88" t="s">
        <v>1420</v>
      </c>
      <c r="AM210" s="77"/>
      <c r="AN210" s="87"/>
      <c r="AO210" s="180"/>
    </row>
    <row r="211" spans="1:41" s="288" customFormat="1" ht="30.75" customHeight="1">
      <c r="A211" s="225">
        <v>206</v>
      </c>
      <c r="B211" s="234">
        <v>44924</v>
      </c>
      <c r="C211" s="307" t="s">
        <v>306</v>
      </c>
      <c r="D211" s="285" t="s">
        <v>686</v>
      </c>
      <c r="E211" s="217" t="s">
        <v>380</v>
      </c>
      <c r="F211" s="167" t="s">
        <v>320</v>
      </c>
      <c r="G211" s="178" t="s">
        <v>677</v>
      </c>
      <c r="H211" s="308" t="s">
        <v>678</v>
      </c>
      <c r="I211" s="301" t="s">
        <v>318</v>
      </c>
      <c r="J211" s="213" t="s">
        <v>251</v>
      </c>
      <c r="K211" s="213" t="s">
        <v>252</v>
      </c>
      <c r="L211" s="213" t="s">
        <v>252</v>
      </c>
      <c r="M211" s="213" t="s">
        <v>686</v>
      </c>
      <c r="N211" s="216" t="s">
        <v>691</v>
      </c>
      <c r="O211" s="323">
        <f>0</f>
        <v>0</v>
      </c>
      <c r="P211" s="151">
        <f>0</f>
        <v>0</v>
      </c>
      <c r="Q211" s="151">
        <f>0</f>
        <v>0</v>
      </c>
      <c r="R211" s="151">
        <f>0</f>
        <v>0</v>
      </c>
      <c r="S211" s="151">
        <f>0</f>
        <v>0</v>
      </c>
      <c r="T211" s="151">
        <v>4</v>
      </c>
      <c r="U211" s="151">
        <f>0</f>
        <v>0</v>
      </c>
      <c r="V211" s="151">
        <f>0</f>
        <v>0</v>
      </c>
      <c r="W211" s="151">
        <f>0</f>
        <v>0</v>
      </c>
      <c r="X211" s="151">
        <f>0</f>
        <v>0</v>
      </c>
      <c r="Y211" s="151">
        <f>0</f>
        <v>0</v>
      </c>
      <c r="Z211" s="200">
        <f>0</f>
        <v>0</v>
      </c>
      <c r="AA211" s="142">
        <f t="shared" si="9"/>
        <v>4</v>
      </c>
      <c r="AB211" s="123"/>
      <c r="AC211" s="154">
        <f t="shared" si="10"/>
        <v>4</v>
      </c>
      <c r="AD211" s="176">
        <v>44930</v>
      </c>
      <c r="AE211" s="177" t="s">
        <v>282</v>
      </c>
      <c r="AF211" s="201"/>
      <c r="AG211" s="178"/>
      <c r="AH211" s="177"/>
      <c r="AI211" s="85"/>
      <c r="AJ211" s="86">
        <v>4</v>
      </c>
      <c r="AK211" s="189">
        <f t="shared" si="11"/>
        <v>0</v>
      </c>
      <c r="AL211" s="88" t="s">
        <v>1420</v>
      </c>
      <c r="AM211" s="77"/>
      <c r="AN211" s="87"/>
      <c r="AO211" s="180"/>
    </row>
    <row r="212" spans="1:41" s="288" customFormat="1" ht="30.75" customHeight="1">
      <c r="A212" s="225">
        <v>207</v>
      </c>
      <c r="B212" s="234">
        <v>44924</v>
      </c>
      <c r="C212" s="307" t="s">
        <v>306</v>
      </c>
      <c r="D212" s="285" t="s">
        <v>687</v>
      </c>
      <c r="E212" s="217" t="s">
        <v>380</v>
      </c>
      <c r="F212" s="167" t="s">
        <v>320</v>
      </c>
      <c r="G212" s="178" t="s">
        <v>677</v>
      </c>
      <c r="H212" s="308" t="s">
        <v>678</v>
      </c>
      <c r="I212" s="301" t="s">
        <v>318</v>
      </c>
      <c r="J212" s="213" t="s">
        <v>251</v>
      </c>
      <c r="K212" s="213" t="s">
        <v>252</v>
      </c>
      <c r="L212" s="213" t="s">
        <v>252</v>
      </c>
      <c r="M212" s="213" t="s">
        <v>687</v>
      </c>
      <c r="N212" s="216" t="s">
        <v>691</v>
      </c>
      <c r="O212" s="323">
        <f>0</f>
        <v>0</v>
      </c>
      <c r="P212" s="151">
        <f>0</f>
        <v>0</v>
      </c>
      <c r="Q212" s="151">
        <f>0</f>
        <v>0</v>
      </c>
      <c r="R212" s="151">
        <f>0</f>
        <v>0</v>
      </c>
      <c r="S212" s="151">
        <f>0</f>
        <v>0</v>
      </c>
      <c r="T212" s="151">
        <v>2</v>
      </c>
      <c r="U212" s="151">
        <f>0</f>
        <v>0</v>
      </c>
      <c r="V212" s="151">
        <f>0</f>
        <v>0</v>
      </c>
      <c r="W212" s="151">
        <f>0</f>
        <v>0</v>
      </c>
      <c r="X212" s="151">
        <f>0</f>
        <v>0</v>
      </c>
      <c r="Y212" s="151">
        <f>0</f>
        <v>0</v>
      </c>
      <c r="Z212" s="200">
        <f>0</f>
        <v>0</v>
      </c>
      <c r="AA212" s="142">
        <f t="shared" si="9"/>
        <v>2</v>
      </c>
      <c r="AB212" s="123"/>
      <c r="AC212" s="154">
        <f t="shared" si="10"/>
        <v>2</v>
      </c>
      <c r="AD212" s="176">
        <v>44930</v>
      </c>
      <c r="AE212" s="177" t="s">
        <v>282</v>
      </c>
      <c r="AF212" s="201"/>
      <c r="AG212" s="178"/>
      <c r="AH212" s="177"/>
      <c r="AI212" s="85"/>
      <c r="AJ212" s="86">
        <v>2</v>
      </c>
      <c r="AK212" s="189">
        <f t="shared" si="11"/>
        <v>0</v>
      </c>
      <c r="AL212" s="88" t="s">
        <v>1420</v>
      </c>
      <c r="AM212" s="77"/>
      <c r="AN212" s="87"/>
      <c r="AO212" s="180"/>
    </row>
    <row r="213" spans="1:41" s="288" customFormat="1" ht="30.75" customHeight="1">
      <c r="A213" s="225">
        <v>208</v>
      </c>
      <c r="B213" s="234">
        <v>44924</v>
      </c>
      <c r="C213" s="235" t="s">
        <v>306</v>
      </c>
      <c r="D213" s="285" t="s">
        <v>688</v>
      </c>
      <c r="E213" s="214" t="s">
        <v>361</v>
      </c>
      <c r="F213" s="222" t="s">
        <v>383</v>
      </c>
      <c r="G213" s="188" t="s">
        <v>679</v>
      </c>
      <c r="H213" s="309" t="s">
        <v>680</v>
      </c>
      <c r="I213" s="301" t="s">
        <v>629</v>
      </c>
      <c r="J213" s="213" t="s">
        <v>251</v>
      </c>
      <c r="K213" s="213" t="s">
        <v>252</v>
      </c>
      <c r="L213" s="213" t="s">
        <v>252</v>
      </c>
      <c r="M213" s="213" t="s">
        <v>689</v>
      </c>
      <c r="N213" s="216" t="s">
        <v>691</v>
      </c>
      <c r="O213" s="323">
        <f>0</f>
        <v>0</v>
      </c>
      <c r="P213" s="151">
        <f>0</f>
        <v>0</v>
      </c>
      <c r="Q213" s="151">
        <f>0</f>
        <v>0</v>
      </c>
      <c r="R213" s="151">
        <f>0</f>
        <v>0</v>
      </c>
      <c r="S213" s="151">
        <f>0</f>
        <v>0</v>
      </c>
      <c r="T213" s="151">
        <v>8</v>
      </c>
      <c r="U213" s="151">
        <f>0</f>
        <v>0</v>
      </c>
      <c r="V213" s="151">
        <f>0</f>
        <v>0</v>
      </c>
      <c r="W213" s="151">
        <f>0</f>
        <v>0</v>
      </c>
      <c r="X213" s="151">
        <f>0</f>
        <v>0</v>
      </c>
      <c r="Y213" s="151">
        <f>0</f>
        <v>0</v>
      </c>
      <c r="Z213" s="200">
        <f>0</f>
        <v>0</v>
      </c>
      <c r="AA213" s="143">
        <f t="shared" si="9"/>
        <v>8</v>
      </c>
      <c r="AB213" s="168"/>
      <c r="AC213" s="169">
        <f t="shared" si="10"/>
        <v>8</v>
      </c>
      <c r="AD213" s="186"/>
      <c r="AE213" s="177" t="s">
        <v>282</v>
      </c>
      <c r="AF213" s="171"/>
      <c r="AG213" s="188"/>
      <c r="AH213" s="187"/>
      <c r="AI213" s="88"/>
      <c r="AJ213" s="89" t="s">
        <v>499</v>
      </c>
      <c r="AK213" s="189" t="e">
        <f t="shared" si="11"/>
        <v>#VALUE!</v>
      </c>
      <c r="AL213" s="88"/>
      <c r="AM213" s="83"/>
      <c r="AN213" s="90"/>
      <c r="AO213" s="190"/>
    </row>
    <row r="214" spans="1:41" s="107" customFormat="1" ht="30.75" customHeight="1">
      <c r="A214" s="233">
        <v>209</v>
      </c>
      <c r="B214" s="234">
        <v>44924</v>
      </c>
      <c r="C214" s="307" t="s">
        <v>306</v>
      </c>
      <c r="D214" s="285" t="s">
        <v>681</v>
      </c>
      <c r="E214" s="217" t="s">
        <v>312</v>
      </c>
      <c r="F214" s="167" t="s">
        <v>636</v>
      </c>
      <c r="G214" s="178" t="s">
        <v>637</v>
      </c>
      <c r="H214" s="308" t="s">
        <v>638</v>
      </c>
      <c r="I214" s="301" t="s">
        <v>629</v>
      </c>
      <c r="J214" s="213" t="s">
        <v>251</v>
      </c>
      <c r="K214" s="213" t="s">
        <v>252</v>
      </c>
      <c r="L214" s="213" t="s">
        <v>252</v>
      </c>
      <c r="M214" s="213" t="s">
        <v>252</v>
      </c>
      <c r="N214" s="216" t="s">
        <v>691</v>
      </c>
      <c r="O214" s="323">
        <f>0</f>
        <v>0</v>
      </c>
      <c r="P214" s="151">
        <f>0</f>
        <v>0</v>
      </c>
      <c r="Q214" s="151">
        <f>0</f>
        <v>0</v>
      </c>
      <c r="R214" s="151">
        <f>0</f>
        <v>0</v>
      </c>
      <c r="S214" s="151">
        <f>0</f>
        <v>0</v>
      </c>
      <c r="T214" s="151">
        <v>4</v>
      </c>
      <c r="U214" s="151">
        <f>0</f>
        <v>0</v>
      </c>
      <c r="V214" s="151">
        <f>0</f>
        <v>0</v>
      </c>
      <c r="W214" s="151">
        <f>0</f>
        <v>0</v>
      </c>
      <c r="X214" s="151">
        <f>0</f>
        <v>0</v>
      </c>
      <c r="Y214" s="151">
        <f>0</f>
        <v>0</v>
      </c>
      <c r="Z214" s="200">
        <f>0</f>
        <v>0</v>
      </c>
      <c r="AA214" s="142">
        <f t="shared" si="9"/>
        <v>4</v>
      </c>
      <c r="AB214" s="123"/>
      <c r="AC214" s="154">
        <f t="shared" si="10"/>
        <v>4</v>
      </c>
      <c r="AD214" s="170"/>
      <c r="AE214" s="177" t="s">
        <v>282</v>
      </c>
      <c r="AF214" s="171"/>
      <c r="AG214" s="178"/>
      <c r="AH214" s="177"/>
      <c r="AI214" s="85"/>
      <c r="AJ214" s="86" t="s">
        <v>499</v>
      </c>
      <c r="AK214" s="179" t="e">
        <f t="shared" si="11"/>
        <v>#VALUE!</v>
      </c>
      <c r="AL214" s="85"/>
      <c r="AM214" s="77"/>
      <c r="AN214" s="87"/>
      <c r="AO214" s="180"/>
    </row>
    <row r="215" spans="1:41" s="107" customFormat="1" ht="30.75" customHeight="1">
      <c r="A215" s="225">
        <v>210</v>
      </c>
      <c r="B215" s="234">
        <v>44924</v>
      </c>
      <c r="C215" s="307" t="s">
        <v>306</v>
      </c>
      <c r="D215" s="285" t="s">
        <v>682</v>
      </c>
      <c r="E215" s="377">
        <v>0</v>
      </c>
      <c r="F215" s="167" t="s">
        <v>683</v>
      </c>
      <c r="G215" s="178" t="s">
        <v>684</v>
      </c>
      <c r="H215" s="308" t="s">
        <v>682</v>
      </c>
      <c r="I215" s="301" t="s">
        <v>523</v>
      </c>
      <c r="J215" s="213" t="s">
        <v>251</v>
      </c>
      <c r="K215" s="213" t="s">
        <v>252</v>
      </c>
      <c r="L215" s="213" t="s">
        <v>252</v>
      </c>
      <c r="M215" s="213" t="s">
        <v>252</v>
      </c>
      <c r="N215" s="216" t="s">
        <v>691</v>
      </c>
      <c r="O215" s="323">
        <f>0</f>
        <v>0</v>
      </c>
      <c r="P215" s="151">
        <f>0</f>
        <v>0</v>
      </c>
      <c r="Q215" s="151">
        <f>0</f>
        <v>0</v>
      </c>
      <c r="R215" s="151">
        <f>0</f>
        <v>0</v>
      </c>
      <c r="S215" s="151">
        <f>0</f>
        <v>0</v>
      </c>
      <c r="T215" s="151">
        <v>4</v>
      </c>
      <c r="U215" s="151">
        <f>0</f>
        <v>0</v>
      </c>
      <c r="V215" s="151">
        <f>0</f>
        <v>0</v>
      </c>
      <c r="W215" s="151">
        <f>0</f>
        <v>0</v>
      </c>
      <c r="X215" s="151">
        <f>0</f>
        <v>0</v>
      </c>
      <c r="Y215" s="151">
        <f>0</f>
        <v>0</v>
      </c>
      <c r="Z215" s="200">
        <f>0</f>
        <v>0</v>
      </c>
      <c r="AA215" s="142">
        <f t="shared" si="9"/>
        <v>4</v>
      </c>
      <c r="AB215" s="123"/>
      <c r="AC215" s="154">
        <f t="shared" si="10"/>
        <v>4</v>
      </c>
      <c r="AD215" s="170">
        <v>44935</v>
      </c>
      <c r="AE215" s="187" t="s">
        <v>282</v>
      </c>
      <c r="AF215" s="171"/>
      <c r="AG215" s="178"/>
      <c r="AH215" s="177" t="s">
        <v>738</v>
      </c>
      <c r="AI215" s="85"/>
      <c r="AJ215" s="86">
        <v>4</v>
      </c>
      <c r="AK215" s="179">
        <f t="shared" si="11"/>
        <v>0</v>
      </c>
      <c r="AL215" s="85" t="s">
        <v>1396</v>
      </c>
      <c r="AM215" s="77"/>
      <c r="AN215" s="87"/>
      <c r="AO215" s="180"/>
    </row>
    <row r="216" spans="1:41" s="288" customFormat="1" ht="30.75" customHeight="1">
      <c r="A216" s="225">
        <v>211</v>
      </c>
      <c r="B216" s="234">
        <v>44924</v>
      </c>
      <c r="C216" s="307" t="s">
        <v>254</v>
      </c>
      <c r="D216" s="285" t="s">
        <v>692</v>
      </c>
      <c r="E216" s="377">
        <v>0</v>
      </c>
      <c r="F216" s="167" t="s">
        <v>693</v>
      </c>
      <c r="G216" s="178" t="s">
        <v>692</v>
      </c>
      <c r="H216" s="308" t="s">
        <v>692</v>
      </c>
      <c r="I216" s="301" t="s">
        <v>227</v>
      </c>
      <c r="J216" s="213" t="s">
        <v>251</v>
      </c>
      <c r="K216" s="213" t="s">
        <v>252</v>
      </c>
      <c r="L216" s="213" t="s">
        <v>252</v>
      </c>
      <c r="M216" s="213" t="s">
        <v>696</v>
      </c>
      <c r="N216" s="216" t="s">
        <v>71</v>
      </c>
      <c r="O216" s="391">
        <v>1</v>
      </c>
      <c r="P216" s="77">
        <f>0</f>
        <v>0</v>
      </c>
      <c r="Q216" s="77">
        <f>0</f>
        <v>0</v>
      </c>
      <c r="R216" s="77">
        <f>0</f>
        <v>0</v>
      </c>
      <c r="S216" s="77">
        <f>0</f>
        <v>0</v>
      </c>
      <c r="T216" s="77">
        <f>0</f>
        <v>0</v>
      </c>
      <c r="U216" s="77">
        <f>0</f>
        <v>0</v>
      </c>
      <c r="V216" s="77">
        <f>0</f>
        <v>0</v>
      </c>
      <c r="W216" s="77">
        <f>0</f>
        <v>0</v>
      </c>
      <c r="X216" s="77">
        <f>0</f>
        <v>0</v>
      </c>
      <c r="Y216" s="77">
        <f>0</f>
        <v>0</v>
      </c>
      <c r="Z216" s="392">
        <f>0</f>
        <v>0</v>
      </c>
      <c r="AA216" s="174">
        <f t="shared" si="9"/>
        <v>1</v>
      </c>
      <c r="AB216" s="175"/>
      <c r="AC216" s="172">
        <f t="shared" si="10"/>
        <v>1</v>
      </c>
      <c r="AD216" s="114" t="s">
        <v>1430</v>
      </c>
      <c r="AE216" s="177" t="s">
        <v>239</v>
      </c>
      <c r="AF216" s="84"/>
      <c r="AG216" s="178"/>
      <c r="AH216" s="177"/>
      <c r="AI216" s="85"/>
      <c r="AJ216" s="86">
        <v>1</v>
      </c>
      <c r="AK216" s="179">
        <f t="shared" si="11"/>
        <v>0</v>
      </c>
      <c r="AL216" s="85" t="s">
        <v>1578</v>
      </c>
      <c r="AM216" s="77"/>
      <c r="AN216" s="87"/>
      <c r="AO216" s="180"/>
    </row>
    <row r="217" spans="1:41" s="288" customFormat="1" ht="30.75" customHeight="1">
      <c r="A217" s="225">
        <v>212</v>
      </c>
      <c r="B217" s="234">
        <v>44924</v>
      </c>
      <c r="C217" s="307" t="s">
        <v>254</v>
      </c>
      <c r="D217" s="285" t="s">
        <v>694</v>
      </c>
      <c r="E217" s="377">
        <v>0</v>
      </c>
      <c r="F217" s="167" t="s">
        <v>695</v>
      </c>
      <c r="G217" s="178" t="s">
        <v>694</v>
      </c>
      <c r="H217" s="308" t="s">
        <v>694</v>
      </c>
      <c r="I217" s="301" t="s">
        <v>227</v>
      </c>
      <c r="J217" s="213" t="s">
        <v>251</v>
      </c>
      <c r="K217" s="213" t="s">
        <v>252</v>
      </c>
      <c r="L217" s="213" t="s">
        <v>252</v>
      </c>
      <c r="M217" s="213" t="s">
        <v>696</v>
      </c>
      <c r="N217" s="216" t="s">
        <v>71</v>
      </c>
      <c r="O217" s="391">
        <v>1</v>
      </c>
      <c r="P217" s="77">
        <f>0</f>
        <v>0</v>
      </c>
      <c r="Q217" s="77">
        <f>0</f>
        <v>0</v>
      </c>
      <c r="R217" s="77">
        <f>0</f>
        <v>0</v>
      </c>
      <c r="S217" s="77">
        <f>0</f>
        <v>0</v>
      </c>
      <c r="T217" s="77">
        <f>0</f>
        <v>0</v>
      </c>
      <c r="U217" s="77">
        <f>0</f>
        <v>0</v>
      </c>
      <c r="V217" s="77">
        <f>0</f>
        <v>0</v>
      </c>
      <c r="W217" s="77">
        <f>0</f>
        <v>0</v>
      </c>
      <c r="X217" s="77">
        <f>0</f>
        <v>0</v>
      </c>
      <c r="Y217" s="77">
        <f>0</f>
        <v>0</v>
      </c>
      <c r="Z217" s="392">
        <f>0</f>
        <v>0</v>
      </c>
      <c r="AA217" s="174">
        <f t="shared" si="9"/>
        <v>1</v>
      </c>
      <c r="AB217" s="175"/>
      <c r="AC217" s="172">
        <f t="shared" si="10"/>
        <v>1</v>
      </c>
      <c r="AD217" s="114" t="s">
        <v>1430</v>
      </c>
      <c r="AE217" s="177" t="s">
        <v>239</v>
      </c>
      <c r="AF217" s="84" t="s">
        <v>1431</v>
      </c>
      <c r="AG217" s="178"/>
      <c r="AH217" s="177"/>
      <c r="AI217" s="85"/>
      <c r="AJ217" s="86">
        <v>1</v>
      </c>
      <c r="AK217" s="179">
        <f t="shared" si="11"/>
        <v>0</v>
      </c>
      <c r="AL217" s="85" t="s">
        <v>1533</v>
      </c>
      <c r="AM217" s="77"/>
      <c r="AN217" s="87"/>
      <c r="AO217" s="180"/>
    </row>
    <row r="218" spans="1:41" s="288" customFormat="1" ht="30.75" customHeight="1">
      <c r="A218" s="233">
        <v>213</v>
      </c>
      <c r="B218" s="234">
        <v>44924</v>
      </c>
      <c r="C218" s="307" t="s">
        <v>254</v>
      </c>
      <c r="D218" s="285" t="s">
        <v>697</v>
      </c>
      <c r="E218" s="377">
        <v>0</v>
      </c>
      <c r="F218" s="167" t="s">
        <v>698</v>
      </c>
      <c r="G218" s="178" t="s">
        <v>697</v>
      </c>
      <c r="H218" s="308" t="s">
        <v>697</v>
      </c>
      <c r="I218" s="301" t="s">
        <v>227</v>
      </c>
      <c r="J218" s="213" t="s">
        <v>251</v>
      </c>
      <c r="K218" s="213" t="s">
        <v>252</v>
      </c>
      <c r="L218" s="213" t="s">
        <v>703</v>
      </c>
      <c r="M218" s="213" t="s">
        <v>699</v>
      </c>
      <c r="N218" s="216" t="s">
        <v>71</v>
      </c>
      <c r="O218" s="391">
        <v>9</v>
      </c>
      <c r="P218" s="77">
        <f>0</f>
        <v>0</v>
      </c>
      <c r="Q218" s="77">
        <f>0</f>
        <v>0</v>
      </c>
      <c r="R218" s="77">
        <f>0</f>
        <v>0</v>
      </c>
      <c r="S218" s="77">
        <f>0</f>
        <v>0</v>
      </c>
      <c r="T218" s="77">
        <f>0</f>
        <v>0</v>
      </c>
      <c r="U218" s="77">
        <f>0</f>
        <v>0</v>
      </c>
      <c r="V218" s="77">
        <f>0</f>
        <v>0</v>
      </c>
      <c r="W218" s="77">
        <f>0</f>
        <v>0</v>
      </c>
      <c r="X218" s="77">
        <f>0</f>
        <v>0</v>
      </c>
      <c r="Y218" s="77">
        <f>0</f>
        <v>0</v>
      </c>
      <c r="Z218" s="392">
        <f>0</f>
        <v>0</v>
      </c>
      <c r="AA218" s="174">
        <f t="shared" si="9"/>
        <v>9</v>
      </c>
      <c r="AB218" s="175"/>
      <c r="AC218" s="172">
        <f t="shared" si="10"/>
        <v>9</v>
      </c>
      <c r="AD218" s="114" t="s">
        <v>1430</v>
      </c>
      <c r="AE218" s="177" t="s">
        <v>239</v>
      </c>
      <c r="AF218" s="84" t="s">
        <v>1431</v>
      </c>
      <c r="AG218" s="178"/>
      <c r="AH218" s="177"/>
      <c r="AI218" s="85"/>
      <c r="AJ218" s="86">
        <v>9</v>
      </c>
      <c r="AK218" s="179">
        <f t="shared" si="11"/>
        <v>0</v>
      </c>
      <c r="AL218" s="85" t="s">
        <v>1528</v>
      </c>
      <c r="AM218" s="77"/>
      <c r="AN218" s="87"/>
      <c r="AO218" s="180"/>
    </row>
    <row r="219" spans="1:41" s="288" customFormat="1" ht="30.75" customHeight="1">
      <c r="A219" s="225">
        <v>214</v>
      </c>
      <c r="B219" s="234">
        <v>44924</v>
      </c>
      <c r="C219" s="307" t="s">
        <v>254</v>
      </c>
      <c r="D219" s="285" t="s">
        <v>700</v>
      </c>
      <c r="E219" s="377">
        <v>0</v>
      </c>
      <c r="F219" s="167" t="s">
        <v>701</v>
      </c>
      <c r="G219" s="178" t="s">
        <v>700</v>
      </c>
      <c r="H219" s="308" t="s">
        <v>700</v>
      </c>
      <c r="I219" s="301" t="s">
        <v>227</v>
      </c>
      <c r="J219" s="213" t="s">
        <v>251</v>
      </c>
      <c r="K219" s="213" t="s">
        <v>252</v>
      </c>
      <c r="L219" s="213" t="s">
        <v>703</v>
      </c>
      <c r="M219" s="213" t="s">
        <v>702</v>
      </c>
      <c r="N219" s="216" t="s">
        <v>71</v>
      </c>
      <c r="O219" s="391">
        <v>3</v>
      </c>
      <c r="P219" s="77">
        <f>0</f>
        <v>0</v>
      </c>
      <c r="Q219" s="77">
        <f>0</f>
        <v>0</v>
      </c>
      <c r="R219" s="77">
        <f>0</f>
        <v>0</v>
      </c>
      <c r="S219" s="77">
        <f>0</f>
        <v>0</v>
      </c>
      <c r="T219" s="77">
        <f>0</f>
        <v>0</v>
      </c>
      <c r="U219" s="77">
        <f>0</f>
        <v>0</v>
      </c>
      <c r="V219" s="77">
        <f>0</f>
        <v>0</v>
      </c>
      <c r="W219" s="77">
        <f>0</f>
        <v>0</v>
      </c>
      <c r="X219" s="77">
        <f>0</f>
        <v>0</v>
      </c>
      <c r="Y219" s="77">
        <f>0</f>
        <v>0</v>
      </c>
      <c r="Z219" s="392">
        <f>0</f>
        <v>0</v>
      </c>
      <c r="AA219" s="174">
        <f t="shared" si="9"/>
        <v>3</v>
      </c>
      <c r="AB219" s="175"/>
      <c r="AC219" s="172">
        <f t="shared" si="10"/>
        <v>3</v>
      </c>
      <c r="AD219" s="114" t="s">
        <v>1430</v>
      </c>
      <c r="AE219" s="177" t="s">
        <v>239</v>
      </c>
      <c r="AF219" s="84" t="s">
        <v>1431</v>
      </c>
      <c r="AG219" s="178"/>
      <c r="AH219" s="177"/>
      <c r="AI219" s="85"/>
      <c r="AJ219" s="86">
        <v>3</v>
      </c>
      <c r="AK219" s="179">
        <f t="shared" si="11"/>
        <v>0</v>
      </c>
      <c r="AL219" s="85" t="s">
        <v>1579</v>
      </c>
      <c r="AM219" s="77"/>
      <c r="AN219" s="87"/>
      <c r="AO219" s="180"/>
    </row>
    <row r="220" spans="1:41" s="107" customFormat="1" ht="30.75" customHeight="1">
      <c r="A220" s="225">
        <v>215</v>
      </c>
      <c r="B220" s="234">
        <v>44924</v>
      </c>
      <c r="C220" s="307" t="s">
        <v>254</v>
      </c>
      <c r="D220" s="214" t="s">
        <v>704</v>
      </c>
      <c r="E220" s="214">
        <v>0</v>
      </c>
      <c r="F220" s="222" t="s">
        <v>705</v>
      </c>
      <c r="G220" s="188" t="s">
        <v>704</v>
      </c>
      <c r="H220" s="309" t="s">
        <v>704</v>
      </c>
      <c r="I220" s="301" t="s">
        <v>227</v>
      </c>
      <c r="J220" s="213" t="s">
        <v>251</v>
      </c>
      <c r="K220" s="213" t="s">
        <v>252</v>
      </c>
      <c r="L220" s="213" t="s">
        <v>252</v>
      </c>
      <c r="M220" s="213" t="s">
        <v>252</v>
      </c>
      <c r="N220" s="216" t="s">
        <v>252</v>
      </c>
      <c r="O220" s="323">
        <v>20</v>
      </c>
      <c r="P220" s="151">
        <f>0</f>
        <v>0</v>
      </c>
      <c r="Q220" s="151">
        <f>0</f>
        <v>0</v>
      </c>
      <c r="R220" s="151">
        <f>0</f>
        <v>0</v>
      </c>
      <c r="S220" s="151">
        <f>0</f>
        <v>0</v>
      </c>
      <c r="T220" s="151">
        <f>0</f>
        <v>0</v>
      </c>
      <c r="U220" s="151">
        <f>0</f>
        <v>0</v>
      </c>
      <c r="V220" s="151">
        <f>0</f>
        <v>0</v>
      </c>
      <c r="W220" s="151">
        <f>0</f>
        <v>0</v>
      </c>
      <c r="X220" s="151">
        <f>0</f>
        <v>0</v>
      </c>
      <c r="Y220" s="151">
        <f>0</f>
        <v>0</v>
      </c>
      <c r="Z220" s="200">
        <f>0</f>
        <v>0</v>
      </c>
      <c r="AA220" s="143">
        <f t="shared" si="9"/>
        <v>20</v>
      </c>
      <c r="AB220" s="168">
        <v>20</v>
      </c>
      <c r="AC220" s="169">
        <f t="shared" si="10"/>
        <v>0</v>
      </c>
      <c r="AD220" s="186"/>
      <c r="AE220" s="187" t="s">
        <v>282</v>
      </c>
      <c r="AF220" s="171" t="s">
        <v>587</v>
      </c>
      <c r="AG220" s="188"/>
      <c r="AH220" s="187"/>
      <c r="AI220" s="88"/>
      <c r="AJ220" s="89">
        <v>15</v>
      </c>
      <c r="AK220" s="189">
        <f t="shared" si="11"/>
        <v>-15</v>
      </c>
      <c r="AL220" s="88" t="s">
        <v>1595</v>
      </c>
      <c r="AM220" s="83"/>
      <c r="AN220" s="90"/>
      <c r="AO220" s="190"/>
    </row>
    <row r="221" spans="1:41" s="310" customFormat="1" ht="30.75" customHeight="1">
      <c r="A221" s="225">
        <v>216</v>
      </c>
      <c r="B221" s="234">
        <v>44928</v>
      </c>
      <c r="C221" s="307" t="s">
        <v>614</v>
      </c>
      <c r="D221" s="214">
        <v>91046</v>
      </c>
      <c r="E221" s="506" t="s">
        <v>328</v>
      </c>
      <c r="F221" s="299" t="s">
        <v>367</v>
      </c>
      <c r="G221" s="300"/>
      <c r="H221" s="301">
        <v>91046</v>
      </c>
      <c r="I221" s="301" t="s">
        <v>250</v>
      </c>
      <c r="J221" s="213" t="s">
        <v>251</v>
      </c>
      <c r="K221" s="213" t="s">
        <v>252</v>
      </c>
      <c r="L221" s="213" t="s">
        <v>252</v>
      </c>
      <c r="M221" s="213"/>
      <c r="N221" s="130" t="s">
        <v>713</v>
      </c>
      <c r="O221" s="323">
        <v>0</v>
      </c>
      <c r="P221" s="151">
        <f>0</f>
        <v>0</v>
      </c>
      <c r="Q221" s="151">
        <v>0</v>
      </c>
      <c r="R221" s="151">
        <f>0</f>
        <v>0</v>
      </c>
      <c r="S221" s="151">
        <v>0</v>
      </c>
      <c r="T221" s="151">
        <v>0</v>
      </c>
      <c r="U221" s="151">
        <v>0</v>
      </c>
      <c r="V221" s="151">
        <f>0</f>
        <v>0</v>
      </c>
      <c r="W221" s="151">
        <v>4</v>
      </c>
      <c r="X221" s="151">
        <f>0</f>
        <v>0</v>
      </c>
      <c r="Y221" s="151">
        <f>0</f>
        <v>0</v>
      </c>
      <c r="Z221" s="200">
        <f>0</f>
        <v>0</v>
      </c>
      <c r="AA221" s="142">
        <f t="shared" si="9"/>
        <v>4</v>
      </c>
      <c r="AB221" s="123"/>
      <c r="AC221" s="154">
        <f t="shared" si="10"/>
        <v>4</v>
      </c>
      <c r="AD221" s="176"/>
      <c r="AE221" s="124" t="s">
        <v>282</v>
      </c>
      <c r="AF221" s="84" t="s">
        <v>292</v>
      </c>
      <c r="AG221" s="178"/>
      <c r="AH221" s="177"/>
      <c r="AI221" s="85"/>
      <c r="AJ221" s="125" t="s">
        <v>499</v>
      </c>
      <c r="AK221" s="388" t="e">
        <f t="shared" si="11"/>
        <v>#VALUE!</v>
      </c>
      <c r="AL221" s="139"/>
      <c r="AM221" s="151"/>
      <c r="AN221" s="153"/>
      <c r="AO221" s="390"/>
    </row>
    <row r="222" spans="1:41" s="107" customFormat="1" ht="30.75" customHeight="1">
      <c r="A222" s="233">
        <v>217</v>
      </c>
      <c r="B222" s="234">
        <v>44928</v>
      </c>
      <c r="C222" s="307" t="s">
        <v>614</v>
      </c>
      <c r="D222" s="214" t="s">
        <v>574</v>
      </c>
      <c r="E222" s="506" t="s">
        <v>322</v>
      </c>
      <c r="F222" s="299" t="s">
        <v>710</v>
      </c>
      <c r="G222" s="300"/>
      <c r="H222" s="301" t="s">
        <v>252</v>
      </c>
      <c r="I222" s="301" t="s">
        <v>250</v>
      </c>
      <c r="J222" s="213" t="s">
        <v>251</v>
      </c>
      <c r="K222" s="213" t="s">
        <v>252</v>
      </c>
      <c r="L222" s="213" t="s">
        <v>252</v>
      </c>
      <c r="M222" s="213"/>
      <c r="N222" s="130" t="s">
        <v>713</v>
      </c>
      <c r="O222" s="323">
        <v>0</v>
      </c>
      <c r="P222" s="151">
        <f>0</f>
        <v>0</v>
      </c>
      <c r="Q222" s="151">
        <v>0</v>
      </c>
      <c r="R222" s="151">
        <f>0</f>
        <v>0</v>
      </c>
      <c r="S222" s="151">
        <v>0</v>
      </c>
      <c r="T222" s="151">
        <v>0</v>
      </c>
      <c r="U222" s="151">
        <v>0</v>
      </c>
      <c r="V222" s="151">
        <f>0</f>
        <v>0</v>
      </c>
      <c r="W222" s="151">
        <v>4</v>
      </c>
      <c r="X222" s="151">
        <f>0</f>
        <v>0</v>
      </c>
      <c r="Y222" s="151">
        <f>0</f>
        <v>0</v>
      </c>
      <c r="Z222" s="200">
        <f>0</f>
        <v>0</v>
      </c>
      <c r="AA222" s="142">
        <f t="shared" si="9"/>
        <v>4</v>
      </c>
      <c r="AB222" s="123"/>
      <c r="AC222" s="154">
        <f t="shared" si="10"/>
        <v>4</v>
      </c>
      <c r="AD222" s="176"/>
      <c r="AE222" s="124" t="s">
        <v>282</v>
      </c>
      <c r="AF222" s="84" t="s">
        <v>292</v>
      </c>
      <c r="AG222" s="178"/>
      <c r="AH222" s="177"/>
      <c r="AI222" s="85"/>
      <c r="AJ222" s="125" t="s">
        <v>499</v>
      </c>
      <c r="AK222" s="388" t="e">
        <f t="shared" si="11"/>
        <v>#VALUE!</v>
      </c>
      <c r="AL222" s="139"/>
      <c r="AM222" s="151"/>
      <c r="AN222" s="153"/>
      <c r="AO222" s="390"/>
    </row>
    <row r="223" spans="1:41" s="107" customFormat="1" ht="30.75" customHeight="1">
      <c r="A223" s="225">
        <v>218</v>
      </c>
      <c r="B223" s="234">
        <v>44928</v>
      </c>
      <c r="C223" s="307" t="s">
        <v>614</v>
      </c>
      <c r="D223" s="214" t="s">
        <v>253</v>
      </c>
      <c r="E223" s="506" t="s">
        <v>312</v>
      </c>
      <c r="F223" s="299" t="s">
        <v>249</v>
      </c>
      <c r="G223" s="300"/>
      <c r="H223" s="301" t="s">
        <v>253</v>
      </c>
      <c r="I223" s="301" t="s">
        <v>250</v>
      </c>
      <c r="J223" s="213" t="s">
        <v>251</v>
      </c>
      <c r="K223" s="213" t="s">
        <v>252</v>
      </c>
      <c r="L223" s="213" t="s">
        <v>252</v>
      </c>
      <c r="M223" s="213"/>
      <c r="N223" s="130" t="s">
        <v>713</v>
      </c>
      <c r="O223" s="323">
        <v>0</v>
      </c>
      <c r="P223" s="151">
        <f>0</f>
        <v>0</v>
      </c>
      <c r="Q223" s="151">
        <v>0</v>
      </c>
      <c r="R223" s="151">
        <f>0</f>
        <v>0</v>
      </c>
      <c r="S223" s="151">
        <v>0</v>
      </c>
      <c r="T223" s="151">
        <v>0</v>
      </c>
      <c r="U223" s="151">
        <v>0</v>
      </c>
      <c r="V223" s="151">
        <f>0</f>
        <v>0</v>
      </c>
      <c r="W223" s="151">
        <v>4</v>
      </c>
      <c r="X223" s="151">
        <f>0</f>
        <v>0</v>
      </c>
      <c r="Y223" s="151">
        <f>0</f>
        <v>0</v>
      </c>
      <c r="Z223" s="200">
        <f>0</f>
        <v>0</v>
      </c>
      <c r="AA223" s="142">
        <f t="shared" si="9"/>
        <v>4</v>
      </c>
      <c r="AB223" s="123"/>
      <c r="AC223" s="154">
        <f t="shared" si="10"/>
        <v>4</v>
      </c>
      <c r="AD223" s="176"/>
      <c r="AE223" s="124" t="s">
        <v>282</v>
      </c>
      <c r="AF223" s="130"/>
      <c r="AG223" s="178"/>
      <c r="AH223" s="177"/>
      <c r="AI223" s="85"/>
      <c r="AJ223" s="125" t="s">
        <v>499</v>
      </c>
      <c r="AK223" s="388" t="e">
        <f t="shared" si="11"/>
        <v>#VALUE!</v>
      </c>
      <c r="AL223" s="139"/>
      <c r="AM223" s="151"/>
      <c r="AN223" s="153"/>
      <c r="AO223" s="390"/>
    </row>
    <row r="224" spans="1:41" s="107" customFormat="1" ht="30.75" customHeight="1">
      <c r="A224" s="225">
        <v>219</v>
      </c>
      <c r="B224" s="234">
        <v>44928</v>
      </c>
      <c r="C224" s="307" t="s">
        <v>614</v>
      </c>
      <c r="D224" s="214" t="s">
        <v>392</v>
      </c>
      <c r="E224" s="506" t="s">
        <v>361</v>
      </c>
      <c r="F224" s="299" t="s">
        <v>393</v>
      </c>
      <c r="G224" s="300"/>
      <c r="H224" s="301" t="s">
        <v>392</v>
      </c>
      <c r="I224" s="301" t="s">
        <v>250</v>
      </c>
      <c r="J224" s="213" t="s">
        <v>251</v>
      </c>
      <c r="K224" s="213" t="s">
        <v>252</v>
      </c>
      <c r="L224" s="213" t="s">
        <v>252</v>
      </c>
      <c r="M224" s="213"/>
      <c r="N224" s="130" t="s">
        <v>713</v>
      </c>
      <c r="O224" s="323">
        <v>0</v>
      </c>
      <c r="P224" s="151">
        <f>0</f>
        <v>0</v>
      </c>
      <c r="Q224" s="151">
        <v>0</v>
      </c>
      <c r="R224" s="151">
        <f>0</f>
        <v>0</v>
      </c>
      <c r="S224" s="151">
        <v>0</v>
      </c>
      <c r="T224" s="151">
        <v>0</v>
      </c>
      <c r="U224" s="151">
        <v>0</v>
      </c>
      <c r="V224" s="151">
        <f>0</f>
        <v>0</v>
      </c>
      <c r="W224" s="151">
        <v>4</v>
      </c>
      <c r="X224" s="151">
        <f>0</f>
        <v>0</v>
      </c>
      <c r="Y224" s="151">
        <f>0</f>
        <v>0</v>
      </c>
      <c r="Z224" s="200">
        <f>0</f>
        <v>0</v>
      </c>
      <c r="AA224" s="142">
        <f t="shared" si="9"/>
        <v>4</v>
      </c>
      <c r="AB224" s="123"/>
      <c r="AC224" s="154">
        <f t="shared" si="10"/>
        <v>4</v>
      </c>
      <c r="AD224" s="176"/>
      <c r="AE224" s="124" t="s">
        <v>282</v>
      </c>
      <c r="AF224" s="84"/>
      <c r="AG224" s="178"/>
      <c r="AH224" s="177"/>
      <c r="AI224" s="85"/>
      <c r="AJ224" s="125" t="s">
        <v>499</v>
      </c>
      <c r="AK224" s="388" t="e">
        <f t="shared" si="11"/>
        <v>#VALUE!</v>
      </c>
      <c r="AL224" s="139"/>
      <c r="AM224" s="151"/>
      <c r="AN224" s="153"/>
      <c r="AO224" s="390"/>
    </row>
    <row r="225" spans="1:41" s="288" customFormat="1" ht="30.75" customHeight="1">
      <c r="A225" s="225">
        <v>220</v>
      </c>
      <c r="B225" s="234">
        <v>44928</v>
      </c>
      <c r="C225" s="307" t="s">
        <v>614</v>
      </c>
      <c r="D225" s="214" t="s">
        <v>711</v>
      </c>
      <c r="E225" s="377" t="s">
        <v>361</v>
      </c>
      <c r="F225" s="167" t="s">
        <v>383</v>
      </c>
      <c r="G225" s="178"/>
      <c r="H225" s="308" t="s">
        <v>680</v>
      </c>
      <c r="I225" s="301" t="s">
        <v>629</v>
      </c>
      <c r="J225" s="213" t="s">
        <v>251</v>
      </c>
      <c r="K225" s="213" t="s">
        <v>252</v>
      </c>
      <c r="L225" s="213" t="s">
        <v>252</v>
      </c>
      <c r="M225" s="213"/>
      <c r="N225" s="130" t="s">
        <v>713</v>
      </c>
      <c r="O225" s="323">
        <v>0</v>
      </c>
      <c r="P225" s="151">
        <f>0</f>
        <v>0</v>
      </c>
      <c r="Q225" s="151">
        <v>0</v>
      </c>
      <c r="R225" s="151">
        <f>0</f>
        <v>0</v>
      </c>
      <c r="S225" s="151">
        <v>0</v>
      </c>
      <c r="T225" s="151">
        <v>0</v>
      </c>
      <c r="U225" s="151">
        <v>0</v>
      </c>
      <c r="V225" s="151">
        <f>0</f>
        <v>0</v>
      </c>
      <c r="W225" s="151">
        <v>8</v>
      </c>
      <c r="X225" s="151">
        <f>0</f>
        <v>0</v>
      </c>
      <c r="Y225" s="151">
        <f>0</f>
        <v>0</v>
      </c>
      <c r="Z225" s="200">
        <f>0</f>
        <v>0</v>
      </c>
      <c r="AA225" s="142">
        <f t="shared" si="9"/>
        <v>8</v>
      </c>
      <c r="AB225" s="123"/>
      <c r="AC225" s="154">
        <f t="shared" si="10"/>
        <v>8</v>
      </c>
      <c r="AD225" s="176"/>
      <c r="AE225" s="177" t="s">
        <v>282</v>
      </c>
      <c r="AF225" s="84"/>
      <c r="AG225" s="178"/>
      <c r="AH225" s="177"/>
      <c r="AI225" s="85"/>
      <c r="AJ225" s="561" t="s">
        <v>499</v>
      </c>
      <c r="AK225" s="179" t="e">
        <f t="shared" si="11"/>
        <v>#VALUE!</v>
      </c>
      <c r="AL225" s="85"/>
      <c r="AM225" s="77"/>
      <c r="AN225" s="87"/>
      <c r="AO225" s="180"/>
    </row>
    <row r="226" spans="1:41" s="288" customFormat="1" ht="30.75" customHeight="1">
      <c r="A226" s="233">
        <v>221</v>
      </c>
      <c r="B226" s="234">
        <v>44928</v>
      </c>
      <c r="C226" s="307" t="s">
        <v>614</v>
      </c>
      <c r="D226" s="214" t="s">
        <v>712</v>
      </c>
      <c r="E226" s="217" t="s">
        <v>338</v>
      </c>
      <c r="F226" s="167" t="s">
        <v>658</v>
      </c>
      <c r="G226" s="178"/>
      <c r="H226" s="308" t="s">
        <v>659</v>
      </c>
      <c r="I226" s="301" t="s">
        <v>255</v>
      </c>
      <c r="J226" s="213" t="s">
        <v>251</v>
      </c>
      <c r="K226" s="213" t="s">
        <v>252</v>
      </c>
      <c r="L226" s="213" t="s">
        <v>252</v>
      </c>
      <c r="M226" s="213"/>
      <c r="N226" s="130" t="s">
        <v>713</v>
      </c>
      <c r="O226" s="391">
        <v>0</v>
      </c>
      <c r="P226" s="77">
        <f>0</f>
        <v>0</v>
      </c>
      <c r="Q226" s="77">
        <v>0</v>
      </c>
      <c r="R226" s="77">
        <f>0</f>
        <v>0</v>
      </c>
      <c r="S226" s="77">
        <v>0</v>
      </c>
      <c r="T226" s="77">
        <v>0</v>
      </c>
      <c r="U226" s="77">
        <v>0</v>
      </c>
      <c r="V226" s="77">
        <f>0</f>
        <v>0</v>
      </c>
      <c r="W226" s="77">
        <v>6</v>
      </c>
      <c r="X226" s="77">
        <f>0</f>
        <v>0</v>
      </c>
      <c r="Y226" s="77">
        <f>0</f>
        <v>0</v>
      </c>
      <c r="Z226" s="392">
        <f>0</f>
        <v>0</v>
      </c>
      <c r="AA226" s="174">
        <f t="shared" si="9"/>
        <v>6</v>
      </c>
      <c r="AB226" s="175"/>
      <c r="AC226" s="172">
        <f t="shared" si="10"/>
        <v>6</v>
      </c>
      <c r="AD226" s="176">
        <v>44938</v>
      </c>
      <c r="AE226" s="177" t="s">
        <v>282</v>
      </c>
      <c r="AF226" s="201"/>
      <c r="AG226" s="178"/>
      <c r="AH226" s="177"/>
      <c r="AI226" s="85"/>
      <c r="AJ226" s="86" t="s">
        <v>499</v>
      </c>
      <c r="AK226" s="179" t="e">
        <f t="shared" si="11"/>
        <v>#VALUE!</v>
      </c>
      <c r="AL226" s="85"/>
      <c r="AM226" s="77"/>
      <c r="AN226" s="87"/>
      <c r="AO226" s="180"/>
    </row>
    <row r="227" spans="1:41" s="288" customFormat="1" ht="30.75" customHeight="1">
      <c r="A227" s="225">
        <v>222</v>
      </c>
      <c r="B227" s="234">
        <v>44928</v>
      </c>
      <c r="C227" s="307" t="s">
        <v>614</v>
      </c>
      <c r="D227" s="210" t="s">
        <v>714</v>
      </c>
      <c r="E227" s="155"/>
      <c r="F227" s="211" t="s">
        <v>715</v>
      </c>
      <c r="G227" s="212" t="s">
        <v>716</v>
      </c>
      <c r="H227" s="212" t="s">
        <v>648</v>
      </c>
      <c r="I227" s="213" t="s">
        <v>717</v>
      </c>
      <c r="J227" s="213" t="s">
        <v>252</v>
      </c>
      <c r="K227" s="213"/>
      <c r="L227" s="213"/>
      <c r="M227" s="213"/>
      <c r="N227" s="130" t="s">
        <v>713</v>
      </c>
      <c r="O227" s="323">
        <v>0</v>
      </c>
      <c r="P227" s="151">
        <f>0</f>
        <v>0</v>
      </c>
      <c r="Q227" s="151">
        <v>0</v>
      </c>
      <c r="R227" s="151">
        <f>0</f>
        <v>0</v>
      </c>
      <c r="S227" s="151">
        <v>0</v>
      </c>
      <c r="T227" s="151">
        <v>0</v>
      </c>
      <c r="U227" s="151">
        <v>0</v>
      </c>
      <c r="V227" s="151">
        <f>0</f>
        <v>0</v>
      </c>
      <c r="W227" s="151">
        <v>1</v>
      </c>
      <c r="X227" s="151">
        <f>0</f>
        <v>0</v>
      </c>
      <c r="Y227" s="151">
        <f>0</f>
        <v>0</v>
      </c>
      <c r="Z227" s="200">
        <f>0</f>
        <v>0</v>
      </c>
      <c r="AA227" s="142">
        <f t="shared" si="9"/>
        <v>1</v>
      </c>
      <c r="AB227" s="123"/>
      <c r="AC227" s="154">
        <f t="shared" si="10"/>
        <v>1</v>
      </c>
      <c r="AD227" s="176"/>
      <c r="AE227" s="177" t="s">
        <v>282</v>
      </c>
      <c r="AF227" s="84"/>
      <c r="AG227" s="178"/>
      <c r="AH227" s="177"/>
      <c r="AI227" s="85"/>
      <c r="AJ227" s="86"/>
      <c r="AK227" s="179">
        <f t="shared" si="11"/>
        <v>1</v>
      </c>
      <c r="AL227" s="85"/>
      <c r="AM227" s="77"/>
      <c r="AN227" s="87"/>
      <c r="AO227" s="180"/>
    </row>
    <row r="228" spans="1:41" s="288" customFormat="1" ht="30.75" customHeight="1">
      <c r="A228" s="225">
        <v>223</v>
      </c>
      <c r="B228" s="234">
        <v>44929</v>
      </c>
      <c r="C228" s="307" t="s">
        <v>614</v>
      </c>
      <c r="D228" s="214" t="s">
        <v>721</v>
      </c>
      <c r="E228" s="217" t="s">
        <v>322</v>
      </c>
      <c r="F228" s="167" t="s">
        <v>722</v>
      </c>
      <c r="G228" s="178" t="s">
        <v>723</v>
      </c>
      <c r="H228" s="308"/>
      <c r="I228" s="301" t="s">
        <v>309</v>
      </c>
      <c r="J228" s="213" t="s">
        <v>251</v>
      </c>
      <c r="K228" s="213" t="s">
        <v>252</v>
      </c>
      <c r="L228" s="213" t="s">
        <v>252</v>
      </c>
      <c r="M228" s="213"/>
      <c r="N228" s="130" t="s">
        <v>720</v>
      </c>
      <c r="O228" s="323">
        <v>0</v>
      </c>
      <c r="P228" s="151">
        <f>0</f>
        <v>0</v>
      </c>
      <c r="Q228" s="151">
        <v>0</v>
      </c>
      <c r="R228" s="151">
        <f>0</f>
        <v>0</v>
      </c>
      <c r="S228" s="151">
        <v>0</v>
      </c>
      <c r="T228" s="151">
        <v>0</v>
      </c>
      <c r="U228" s="151">
        <v>0</v>
      </c>
      <c r="V228" s="151">
        <f>0</f>
        <v>0</v>
      </c>
      <c r="W228" s="151">
        <v>1</v>
      </c>
      <c r="X228" s="151">
        <f>0</f>
        <v>0</v>
      </c>
      <c r="Y228" s="151">
        <f>0</f>
        <v>0</v>
      </c>
      <c r="Z228" s="200">
        <f>0</f>
        <v>0</v>
      </c>
      <c r="AA228" s="142">
        <f t="shared" si="9"/>
        <v>1</v>
      </c>
      <c r="AB228" s="123"/>
      <c r="AC228" s="154">
        <f t="shared" si="10"/>
        <v>1</v>
      </c>
      <c r="AD228" s="176">
        <v>44950</v>
      </c>
      <c r="AE228" s="124" t="s">
        <v>529</v>
      </c>
      <c r="AF228" s="284" t="s">
        <v>1236</v>
      </c>
      <c r="AG228" s="178"/>
      <c r="AH228" s="187" t="s">
        <v>1239</v>
      </c>
      <c r="AI228" s="85"/>
      <c r="AJ228" s="86">
        <v>1</v>
      </c>
      <c r="AK228" s="179">
        <f t="shared" si="11"/>
        <v>0</v>
      </c>
      <c r="AL228" s="85" t="s">
        <v>1454</v>
      </c>
      <c r="AM228" s="77"/>
      <c r="AN228" s="87"/>
      <c r="AO228" s="180"/>
    </row>
    <row r="229" spans="1:41" s="107" customFormat="1" ht="30.75" customHeight="1">
      <c r="A229" s="225">
        <v>224</v>
      </c>
      <c r="B229" s="234">
        <v>44929</v>
      </c>
      <c r="C229" s="307" t="s">
        <v>614</v>
      </c>
      <c r="D229" s="214" t="s">
        <v>724</v>
      </c>
      <c r="E229" s="217" t="s">
        <v>328</v>
      </c>
      <c r="F229" s="167" t="s">
        <v>725</v>
      </c>
      <c r="G229" s="178" t="s">
        <v>726</v>
      </c>
      <c r="H229" s="308" t="s">
        <v>724</v>
      </c>
      <c r="I229" s="301" t="s">
        <v>309</v>
      </c>
      <c r="J229" s="213" t="s">
        <v>251</v>
      </c>
      <c r="K229" s="213" t="s">
        <v>252</v>
      </c>
      <c r="L229" s="213" t="s">
        <v>252</v>
      </c>
      <c r="M229" s="213"/>
      <c r="N229" s="130" t="s">
        <v>720</v>
      </c>
      <c r="O229" s="323">
        <v>0</v>
      </c>
      <c r="P229" s="151">
        <f>0</f>
        <v>0</v>
      </c>
      <c r="Q229" s="151">
        <v>0</v>
      </c>
      <c r="R229" s="151">
        <f>0</f>
        <v>0</v>
      </c>
      <c r="S229" s="151">
        <v>0</v>
      </c>
      <c r="T229" s="151">
        <v>0</v>
      </c>
      <c r="U229" s="151">
        <v>0</v>
      </c>
      <c r="V229" s="151">
        <f>0</f>
        <v>0</v>
      </c>
      <c r="W229" s="151">
        <v>1</v>
      </c>
      <c r="X229" s="151">
        <f>0</f>
        <v>0</v>
      </c>
      <c r="Y229" s="151">
        <f>0</f>
        <v>0</v>
      </c>
      <c r="Z229" s="200">
        <f>0</f>
        <v>0</v>
      </c>
      <c r="AA229" s="142">
        <f t="shared" si="9"/>
        <v>1</v>
      </c>
      <c r="AB229" s="123"/>
      <c r="AC229" s="154">
        <f t="shared" si="10"/>
        <v>1</v>
      </c>
      <c r="AD229" s="176">
        <v>44950</v>
      </c>
      <c r="AE229" s="124" t="s">
        <v>529</v>
      </c>
      <c r="AF229" s="284" t="s">
        <v>1236</v>
      </c>
      <c r="AG229" s="178"/>
      <c r="AH229" s="187" t="s">
        <v>1239</v>
      </c>
      <c r="AI229" s="85"/>
      <c r="AJ229" s="86">
        <v>1</v>
      </c>
      <c r="AK229" s="179">
        <f t="shared" si="11"/>
        <v>0</v>
      </c>
      <c r="AL229" s="85" t="s">
        <v>1454</v>
      </c>
      <c r="AM229" s="77"/>
      <c r="AN229" s="87"/>
      <c r="AO229" s="180"/>
    </row>
    <row r="230" spans="1:41" s="288" customFormat="1" ht="30.75" customHeight="1">
      <c r="A230" s="233">
        <v>225</v>
      </c>
      <c r="B230" s="234">
        <v>44929</v>
      </c>
      <c r="C230" s="307" t="s">
        <v>614</v>
      </c>
      <c r="D230" s="214">
        <v>92001</v>
      </c>
      <c r="E230" s="506" t="s">
        <v>322</v>
      </c>
      <c r="F230" s="299" t="s">
        <v>364</v>
      </c>
      <c r="G230" s="300" t="s">
        <v>727</v>
      </c>
      <c r="H230" s="301">
        <v>92001</v>
      </c>
      <c r="I230" s="301" t="s">
        <v>250</v>
      </c>
      <c r="J230" s="213" t="s">
        <v>251</v>
      </c>
      <c r="K230" s="213" t="s">
        <v>252</v>
      </c>
      <c r="L230" s="213" t="s">
        <v>252</v>
      </c>
      <c r="M230" s="213"/>
      <c r="N230" s="130" t="s">
        <v>720</v>
      </c>
      <c r="O230" s="323">
        <v>0</v>
      </c>
      <c r="P230" s="151">
        <f>0</f>
        <v>0</v>
      </c>
      <c r="Q230" s="151">
        <v>0</v>
      </c>
      <c r="R230" s="151">
        <f>0</f>
        <v>0</v>
      </c>
      <c r="S230" s="151">
        <v>0</v>
      </c>
      <c r="T230" s="151">
        <v>0</v>
      </c>
      <c r="U230" s="151">
        <v>0</v>
      </c>
      <c r="V230" s="151">
        <f>0</f>
        <v>0</v>
      </c>
      <c r="W230" s="151">
        <v>1</v>
      </c>
      <c r="X230" s="151">
        <f>0</f>
        <v>0</v>
      </c>
      <c r="Y230" s="151">
        <f>0</f>
        <v>0</v>
      </c>
      <c r="Z230" s="200">
        <f>0</f>
        <v>0</v>
      </c>
      <c r="AA230" s="142">
        <f t="shared" si="9"/>
        <v>1</v>
      </c>
      <c r="AB230" s="123"/>
      <c r="AC230" s="154">
        <f t="shared" si="10"/>
        <v>1</v>
      </c>
      <c r="AD230" s="176"/>
      <c r="AE230" s="124" t="s">
        <v>282</v>
      </c>
      <c r="AF230" s="84" t="s">
        <v>292</v>
      </c>
      <c r="AG230" s="178"/>
      <c r="AH230" s="177"/>
      <c r="AI230" s="85"/>
      <c r="AJ230" s="125" t="s">
        <v>499</v>
      </c>
      <c r="AK230" s="388" t="e">
        <f t="shared" si="11"/>
        <v>#VALUE!</v>
      </c>
      <c r="AL230" s="139"/>
      <c r="AM230" s="151"/>
      <c r="AN230" s="153"/>
      <c r="AO230" s="390"/>
    </row>
    <row r="231" spans="1:41" s="288" customFormat="1" ht="30.75" customHeight="1">
      <c r="A231" s="225">
        <v>226</v>
      </c>
      <c r="B231" s="234">
        <v>44929</v>
      </c>
      <c r="C231" s="307" t="s">
        <v>614</v>
      </c>
      <c r="D231" s="214">
        <v>91046</v>
      </c>
      <c r="E231" s="506" t="s">
        <v>328</v>
      </c>
      <c r="F231" s="299" t="s">
        <v>367</v>
      </c>
      <c r="G231" s="300" t="s">
        <v>728</v>
      </c>
      <c r="H231" s="301">
        <v>91046</v>
      </c>
      <c r="I231" s="301" t="s">
        <v>250</v>
      </c>
      <c r="J231" s="213" t="s">
        <v>251</v>
      </c>
      <c r="K231" s="213" t="s">
        <v>252</v>
      </c>
      <c r="L231" s="213" t="s">
        <v>252</v>
      </c>
      <c r="M231" s="213"/>
      <c r="N231" s="130" t="s">
        <v>720</v>
      </c>
      <c r="O231" s="323">
        <v>0</v>
      </c>
      <c r="P231" s="151">
        <f>0</f>
        <v>0</v>
      </c>
      <c r="Q231" s="151">
        <v>0</v>
      </c>
      <c r="R231" s="151">
        <f>0</f>
        <v>0</v>
      </c>
      <c r="S231" s="151">
        <v>0</v>
      </c>
      <c r="T231" s="151">
        <v>0</v>
      </c>
      <c r="U231" s="151">
        <v>0</v>
      </c>
      <c r="V231" s="151">
        <f>0</f>
        <v>0</v>
      </c>
      <c r="W231" s="151">
        <v>3</v>
      </c>
      <c r="X231" s="151">
        <f>0</f>
        <v>0</v>
      </c>
      <c r="Y231" s="151">
        <f>0</f>
        <v>0</v>
      </c>
      <c r="Z231" s="200">
        <f>0</f>
        <v>0</v>
      </c>
      <c r="AA231" s="142">
        <f t="shared" si="9"/>
        <v>3</v>
      </c>
      <c r="AB231" s="123"/>
      <c r="AC231" s="154">
        <f t="shared" si="10"/>
        <v>3</v>
      </c>
      <c r="AD231" s="176"/>
      <c r="AE231" s="124" t="s">
        <v>282</v>
      </c>
      <c r="AF231" s="84" t="s">
        <v>292</v>
      </c>
      <c r="AG231" s="178"/>
      <c r="AH231" s="177"/>
      <c r="AI231" s="85"/>
      <c r="AJ231" s="125" t="s">
        <v>499</v>
      </c>
      <c r="AK231" s="388" t="e">
        <f t="shared" si="11"/>
        <v>#VALUE!</v>
      </c>
      <c r="AL231" s="139"/>
      <c r="AM231" s="151"/>
      <c r="AN231" s="153"/>
      <c r="AO231" s="390"/>
    </row>
    <row r="232" spans="1:41" s="288" customFormat="1" ht="30.75" customHeight="1">
      <c r="A232" s="225">
        <v>227</v>
      </c>
      <c r="B232" s="234">
        <v>44929</v>
      </c>
      <c r="C232" s="307" t="s">
        <v>614</v>
      </c>
      <c r="D232" s="214" t="s">
        <v>574</v>
      </c>
      <c r="E232" s="506" t="s">
        <v>322</v>
      </c>
      <c r="F232" s="299" t="s">
        <v>710</v>
      </c>
      <c r="G232" s="300" t="s">
        <v>729</v>
      </c>
      <c r="H232" s="301" t="s">
        <v>252</v>
      </c>
      <c r="I232" s="301" t="s">
        <v>250</v>
      </c>
      <c r="J232" s="213" t="s">
        <v>251</v>
      </c>
      <c r="K232" s="213" t="s">
        <v>252</v>
      </c>
      <c r="L232" s="213" t="s">
        <v>252</v>
      </c>
      <c r="M232" s="213"/>
      <c r="N232" s="130" t="s">
        <v>720</v>
      </c>
      <c r="O232" s="323">
        <v>0</v>
      </c>
      <c r="P232" s="151">
        <f>0</f>
        <v>0</v>
      </c>
      <c r="Q232" s="151">
        <v>0</v>
      </c>
      <c r="R232" s="151">
        <f>0</f>
        <v>0</v>
      </c>
      <c r="S232" s="151">
        <v>0</v>
      </c>
      <c r="T232" s="151">
        <v>0</v>
      </c>
      <c r="U232" s="151">
        <v>0</v>
      </c>
      <c r="V232" s="151">
        <f>0</f>
        <v>0</v>
      </c>
      <c r="W232" s="151">
        <v>2</v>
      </c>
      <c r="X232" s="151">
        <f>0</f>
        <v>0</v>
      </c>
      <c r="Y232" s="151">
        <f>0</f>
        <v>0</v>
      </c>
      <c r="Z232" s="200">
        <f>0</f>
        <v>0</v>
      </c>
      <c r="AA232" s="142">
        <f t="shared" si="9"/>
        <v>2</v>
      </c>
      <c r="AB232" s="123"/>
      <c r="AC232" s="154">
        <f t="shared" si="10"/>
        <v>2</v>
      </c>
      <c r="AD232" s="176"/>
      <c r="AE232" s="124" t="s">
        <v>282</v>
      </c>
      <c r="AF232" s="84" t="s">
        <v>292</v>
      </c>
      <c r="AG232" s="178"/>
      <c r="AH232" s="177"/>
      <c r="AI232" s="85"/>
      <c r="AJ232" s="125" t="s">
        <v>499</v>
      </c>
      <c r="AK232" s="388" t="e">
        <f t="shared" si="11"/>
        <v>#VALUE!</v>
      </c>
      <c r="AL232" s="139"/>
      <c r="AM232" s="151"/>
      <c r="AN232" s="153"/>
      <c r="AO232" s="390"/>
    </row>
    <row r="233" spans="1:41" s="288" customFormat="1" ht="30.75" customHeight="1">
      <c r="A233" s="225">
        <v>228</v>
      </c>
      <c r="B233" s="234">
        <v>44929</v>
      </c>
      <c r="C233" s="307" t="s">
        <v>614</v>
      </c>
      <c r="D233" s="214" t="s">
        <v>253</v>
      </c>
      <c r="E233" s="506" t="s">
        <v>312</v>
      </c>
      <c r="F233" s="299" t="s">
        <v>249</v>
      </c>
      <c r="G233" s="300" t="s">
        <v>730</v>
      </c>
      <c r="H233" s="301" t="s">
        <v>253</v>
      </c>
      <c r="I233" s="301" t="s">
        <v>250</v>
      </c>
      <c r="J233" s="213" t="s">
        <v>251</v>
      </c>
      <c r="K233" s="213" t="s">
        <v>252</v>
      </c>
      <c r="L233" s="213" t="s">
        <v>252</v>
      </c>
      <c r="M233" s="213"/>
      <c r="N233" s="216" t="s">
        <v>720</v>
      </c>
      <c r="O233" s="323">
        <v>0</v>
      </c>
      <c r="P233" s="151">
        <f>0</f>
        <v>0</v>
      </c>
      <c r="Q233" s="151">
        <v>0</v>
      </c>
      <c r="R233" s="151">
        <f>0</f>
        <v>0</v>
      </c>
      <c r="S233" s="151">
        <v>0</v>
      </c>
      <c r="T233" s="151">
        <v>0</v>
      </c>
      <c r="U233" s="151">
        <v>0</v>
      </c>
      <c r="V233" s="151">
        <f>0</f>
        <v>0</v>
      </c>
      <c r="W233" s="151">
        <v>2</v>
      </c>
      <c r="X233" s="151">
        <f>0</f>
        <v>0</v>
      </c>
      <c r="Y233" s="151">
        <f>0</f>
        <v>0</v>
      </c>
      <c r="Z233" s="200">
        <f>0</f>
        <v>0</v>
      </c>
      <c r="AA233" s="142">
        <f t="shared" si="9"/>
        <v>2</v>
      </c>
      <c r="AB233" s="123"/>
      <c r="AC233" s="154">
        <f t="shared" si="10"/>
        <v>2</v>
      </c>
      <c r="AD233" s="176"/>
      <c r="AE233" s="124" t="s">
        <v>282</v>
      </c>
      <c r="AF233" s="84" t="s">
        <v>292</v>
      </c>
      <c r="AG233" s="178"/>
      <c r="AH233" s="177"/>
      <c r="AI233" s="85"/>
      <c r="AJ233" s="125" t="s">
        <v>499</v>
      </c>
      <c r="AK233" s="388" t="e">
        <f t="shared" si="11"/>
        <v>#VALUE!</v>
      </c>
      <c r="AL233" s="139"/>
      <c r="AM233" s="151"/>
      <c r="AN233" s="153"/>
      <c r="AO233" s="390"/>
    </row>
    <row r="234" spans="1:41" s="107" customFormat="1" ht="30.75" customHeight="1">
      <c r="A234" s="233">
        <v>229</v>
      </c>
      <c r="B234" s="234">
        <v>44929</v>
      </c>
      <c r="C234" s="307" t="s">
        <v>614</v>
      </c>
      <c r="D234" s="214" t="s">
        <v>365</v>
      </c>
      <c r="E234" s="506" t="s">
        <v>328</v>
      </c>
      <c r="F234" s="299" t="s">
        <v>366</v>
      </c>
      <c r="G234" s="300" t="s">
        <v>731</v>
      </c>
      <c r="H234" s="301" t="s">
        <v>365</v>
      </c>
      <c r="I234" s="301" t="s">
        <v>250</v>
      </c>
      <c r="J234" s="213" t="s">
        <v>251</v>
      </c>
      <c r="K234" s="213" t="s">
        <v>252</v>
      </c>
      <c r="L234" s="213" t="s">
        <v>252</v>
      </c>
      <c r="M234" s="213"/>
      <c r="N234" s="216" t="s">
        <v>720</v>
      </c>
      <c r="O234" s="323">
        <v>0</v>
      </c>
      <c r="P234" s="151">
        <f>0</f>
        <v>0</v>
      </c>
      <c r="Q234" s="151">
        <v>0</v>
      </c>
      <c r="R234" s="151">
        <f>0</f>
        <v>0</v>
      </c>
      <c r="S234" s="151">
        <v>0</v>
      </c>
      <c r="T234" s="151">
        <v>0</v>
      </c>
      <c r="U234" s="151">
        <v>0</v>
      </c>
      <c r="V234" s="151">
        <f>0</f>
        <v>0</v>
      </c>
      <c r="W234" s="151">
        <v>2</v>
      </c>
      <c r="X234" s="151">
        <f>0</f>
        <v>0</v>
      </c>
      <c r="Y234" s="151">
        <f>0</f>
        <v>0</v>
      </c>
      <c r="Z234" s="200">
        <f>0</f>
        <v>0</v>
      </c>
      <c r="AA234" s="142">
        <f t="shared" si="9"/>
        <v>2</v>
      </c>
      <c r="AB234" s="123"/>
      <c r="AC234" s="154">
        <f t="shared" si="10"/>
        <v>2</v>
      </c>
      <c r="AD234" s="176"/>
      <c r="AE234" s="124" t="s">
        <v>282</v>
      </c>
      <c r="AF234" s="84" t="s">
        <v>292</v>
      </c>
      <c r="AG234" s="178"/>
      <c r="AH234" s="177"/>
      <c r="AI234" s="85"/>
      <c r="AJ234" s="125" t="s">
        <v>499</v>
      </c>
      <c r="AK234" s="388" t="e">
        <f t="shared" si="11"/>
        <v>#VALUE!</v>
      </c>
      <c r="AL234" s="139"/>
      <c r="AM234" s="151"/>
      <c r="AN234" s="153"/>
      <c r="AO234" s="390"/>
    </row>
    <row r="235" spans="1:41" s="107" customFormat="1" ht="30.75" customHeight="1">
      <c r="A235" s="225">
        <v>230</v>
      </c>
      <c r="B235" s="234">
        <v>44929</v>
      </c>
      <c r="C235" s="307" t="s">
        <v>614</v>
      </c>
      <c r="D235" s="214" t="s">
        <v>711</v>
      </c>
      <c r="E235" s="506" t="s">
        <v>361</v>
      </c>
      <c r="F235" s="299" t="s">
        <v>383</v>
      </c>
      <c r="G235" s="300" t="s">
        <v>679</v>
      </c>
      <c r="H235" s="301" t="s">
        <v>680</v>
      </c>
      <c r="I235" s="301" t="s">
        <v>629</v>
      </c>
      <c r="J235" s="213" t="s">
        <v>251</v>
      </c>
      <c r="K235" s="213" t="s">
        <v>252</v>
      </c>
      <c r="L235" s="213" t="s">
        <v>252</v>
      </c>
      <c r="M235" s="213"/>
      <c r="N235" s="216" t="s">
        <v>720</v>
      </c>
      <c r="O235" s="323">
        <v>0</v>
      </c>
      <c r="P235" s="151">
        <f>0</f>
        <v>0</v>
      </c>
      <c r="Q235" s="151">
        <v>0</v>
      </c>
      <c r="R235" s="151">
        <f>0</f>
        <v>0</v>
      </c>
      <c r="S235" s="151">
        <v>0</v>
      </c>
      <c r="T235" s="151">
        <v>0</v>
      </c>
      <c r="U235" s="151">
        <v>0</v>
      </c>
      <c r="V235" s="151">
        <f>0</f>
        <v>0</v>
      </c>
      <c r="W235" s="151">
        <v>2</v>
      </c>
      <c r="X235" s="151">
        <f>0</f>
        <v>0</v>
      </c>
      <c r="Y235" s="151">
        <f>0</f>
        <v>0</v>
      </c>
      <c r="Z235" s="200">
        <f>0</f>
        <v>0</v>
      </c>
      <c r="AA235" s="142">
        <f t="shared" si="9"/>
        <v>2</v>
      </c>
      <c r="AB235" s="123"/>
      <c r="AC235" s="154">
        <f t="shared" si="10"/>
        <v>2</v>
      </c>
      <c r="AD235" s="176">
        <v>44930</v>
      </c>
      <c r="AE235" s="177"/>
      <c r="AF235" s="84" t="s">
        <v>292</v>
      </c>
      <c r="AG235" s="178"/>
      <c r="AH235" s="177"/>
      <c r="AI235" s="85"/>
      <c r="AJ235" s="86" t="s">
        <v>499</v>
      </c>
      <c r="AK235" s="179" t="e">
        <f t="shared" si="11"/>
        <v>#VALUE!</v>
      </c>
      <c r="AL235" s="85"/>
      <c r="AM235" s="77"/>
      <c r="AN235" s="87"/>
      <c r="AO235" s="180"/>
    </row>
    <row r="236" spans="1:41" s="288" customFormat="1" ht="30.75" customHeight="1">
      <c r="A236" s="225">
        <v>231</v>
      </c>
      <c r="B236" s="234">
        <v>44939</v>
      </c>
      <c r="C236" s="307" t="s">
        <v>306</v>
      </c>
      <c r="D236" s="214" t="s">
        <v>769</v>
      </c>
      <c r="E236" s="217" t="s">
        <v>328</v>
      </c>
      <c r="F236" s="167" t="s">
        <v>771</v>
      </c>
      <c r="G236" s="178" t="s">
        <v>772</v>
      </c>
      <c r="H236" s="308" t="s">
        <v>764</v>
      </c>
      <c r="I236" s="301" t="s">
        <v>765</v>
      </c>
      <c r="J236" s="213" t="s">
        <v>251</v>
      </c>
      <c r="K236" s="213" t="s">
        <v>252</v>
      </c>
      <c r="L236" s="213" t="s">
        <v>252</v>
      </c>
      <c r="M236" s="213"/>
      <c r="N236" s="216" t="s">
        <v>770</v>
      </c>
      <c r="O236" s="323">
        <v>0</v>
      </c>
      <c r="P236" s="151">
        <f>0</f>
        <v>0</v>
      </c>
      <c r="Q236" s="151">
        <v>0</v>
      </c>
      <c r="R236" s="151">
        <f>0</f>
        <v>0</v>
      </c>
      <c r="S236" s="151">
        <v>0</v>
      </c>
      <c r="T236" s="151">
        <v>0</v>
      </c>
      <c r="U236" s="151">
        <v>0</v>
      </c>
      <c r="V236" s="151">
        <f>0</f>
        <v>0</v>
      </c>
      <c r="W236" s="151">
        <v>6</v>
      </c>
      <c r="X236" s="151">
        <f>0</f>
        <v>0</v>
      </c>
      <c r="Y236" s="151">
        <f>0</f>
        <v>0</v>
      </c>
      <c r="Z236" s="200">
        <f>0</f>
        <v>0</v>
      </c>
      <c r="AA236" s="174">
        <f t="shared" si="9"/>
        <v>6</v>
      </c>
      <c r="AB236" s="175"/>
      <c r="AC236" s="172">
        <f t="shared" si="10"/>
        <v>6</v>
      </c>
      <c r="AD236" s="170"/>
      <c r="AE236" s="187" t="s">
        <v>529</v>
      </c>
      <c r="AF236" s="171" t="s">
        <v>44</v>
      </c>
      <c r="AG236" s="178"/>
      <c r="AH236" s="177"/>
      <c r="AI236" s="85"/>
      <c r="AJ236" s="86" t="s">
        <v>499</v>
      </c>
      <c r="AK236" s="179" t="e">
        <f t="shared" si="11"/>
        <v>#VALUE!</v>
      </c>
      <c r="AL236" s="85"/>
      <c r="AM236" s="77"/>
      <c r="AN236" s="87"/>
      <c r="AO236" s="180"/>
    </row>
    <row r="237" spans="1:41" s="288" customFormat="1" ht="30.75" customHeight="1">
      <c r="A237" s="225">
        <v>232</v>
      </c>
      <c r="B237" s="234">
        <v>44939</v>
      </c>
      <c r="C237" s="307" t="s">
        <v>306</v>
      </c>
      <c r="D237" s="214" t="s">
        <v>745</v>
      </c>
      <c r="E237" s="217">
        <v>0</v>
      </c>
      <c r="F237" s="167" t="s">
        <v>746</v>
      </c>
      <c r="G237" s="178"/>
      <c r="H237" s="308" t="s">
        <v>745</v>
      </c>
      <c r="I237" s="301" t="s">
        <v>227</v>
      </c>
      <c r="J237" s="213" t="s">
        <v>251</v>
      </c>
      <c r="K237" s="213" t="s">
        <v>252</v>
      </c>
      <c r="L237" s="213" t="s">
        <v>252</v>
      </c>
      <c r="M237" s="213"/>
      <c r="N237" s="216" t="s">
        <v>770</v>
      </c>
      <c r="O237" s="323">
        <v>0</v>
      </c>
      <c r="P237" s="151">
        <f>0</f>
        <v>0</v>
      </c>
      <c r="Q237" s="151">
        <v>0</v>
      </c>
      <c r="R237" s="151">
        <f>0</f>
        <v>0</v>
      </c>
      <c r="S237" s="151">
        <v>0</v>
      </c>
      <c r="T237" s="151">
        <v>0</v>
      </c>
      <c r="U237" s="151">
        <v>0</v>
      </c>
      <c r="V237" s="151">
        <f>0</f>
        <v>0</v>
      </c>
      <c r="W237" s="151">
        <v>1</v>
      </c>
      <c r="X237" s="151">
        <f>0</f>
        <v>0</v>
      </c>
      <c r="Y237" s="151">
        <f>0</f>
        <v>0</v>
      </c>
      <c r="Z237" s="200">
        <f>0</f>
        <v>0</v>
      </c>
      <c r="AA237" s="142">
        <f t="shared" si="9"/>
        <v>1</v>
      </c>
      <c r="AB237" s="123"/>
      <c r="AC237" s="154">
        <f t="shared" si="10"/>
        <v>1</v>
      </c>
      <c r="AD237" s="170">
        <v>44943</v>
      </c>
      <c r="AE237" s="187" t="s">
        <v>282</v>
      </c>
      <c r="AF237" s="171" t="s">
        <v>774</v>
      </c>
      <c r="AG237" s="178"/>
      <c r="AH237" s="177"/>
      <c r="AI237" s="85"/>
      <c r="AJ237" s="86">
        <v>1</v>
      </c>
      <c r="AK237" s="179">
        <f t="shared" si="11"/>
        <v>0</v>
      </c>
      <c r="AL237" s="85" t="s">
        <v>951</v>
      </c>
      <c r="AM237" s="77"/>
      <c r="AN237" s="87"/>
      <c r="AO237" s="180"/>
    </row>
    <row r="238" spans="1:41" s="288" customFormat="1" ht="30.75" customHeight="1">
      <c r="A238" s="233">
        <v>233</v>
      </c>
      <c r="B238" s="234">
        <v>44939</v>
      </c>
      <c r="C238" s="307" t="s">
        <v>306</v>
      </c>
      <c r="D238" s="214" t="s">
        <v>747</v>
      </c>
      <c r="E238" s="217">
        <v>0</v>
      </c>
      <c r="F238" s="167" t="s">
        <v>760</v>
      </c>
      <c r="G238" s="178"/>
      <c r="H238" s="308" t="s">
        <v>747</v>
      </c>
      <c r="I238" s="301" t="s">
        <v>227</v>
      </c>
      <c r="J238" s="213" t="s">
        <v>251</v>
      </c>
      <c r="K238" s="213" t="s">
        <v>252</v>
      </c>
      <c r="L238" s="213" t="s">
        <v>252</v>
      </c>
      <c r="M238" s="213"/>
      <c r="N238" s="216" t="s">
        <v>770</v>
      </c>
      <c r="O238" s="323">
        <v>0</v>
      </c>
      <c r="P238" s="151">
        <f>0</f>
        <v>0</v>
      </c>
      <c r="Q238" s="151">
        <v>0</v>
      </c>
      <c r="R238" s="151">
        <f>0</f>
        <v>0</v>
      </c>
      <c r="S238" s="151">
        <v>0</v>
      </c>
      <c r="T238" s="151">
        <v>0</v>
      </c>
      <c r="U238" s="151">
        <v>0</v>
      </c>
      <c r="V238" s="151">
        <f>0</f>
        <v>0</v>
      </c>
      <c r="W238" s="151">
        <v>1</v>
      </c>
      <c r="X238" s="151">
        <f>0</f>
        <v>0</v>
      </c>
      <c r="Y238" s="151">
        <f>0</f>
        <v>0</v>
      </c>
      <c r="Z238" s="200">
        <f>0</f>
        <v>0</v>
      </c>
      <c r="AA238" s="142">
        <f t="shared" si="9"/>
        <v>1</v>
      </c>
      <c r="AB238" s="123"/>
      <c r="AC238" s="154">
        <f t="shared" si="10"/>
        <v>1</v>
      </c>
      <c r="AD238" s="170">
        <v>44943</v>
      </c>
      <c r="AE238" s="187" t="s">
        <v>282</v>
      </c>
      <c r="AF238" s="171"/>
      <c r="AG238" s="178"/>
      <c r="AH238" s="177"/>
      <c r="AI238" s="85"/>
      <c r="AJ238" s="86">
        <v>1</v>
      </c>
      <c r="AK238" s="179">
        <f t="shared" si="11"/>
        <v>0</v>
      </c>
      <c r="AL238" s="85" t="s">
        <v>951</v>
      </c>
      <c r="AM238" s="77"/>
      <c r="AN238" s="87"/>
      <c r="AO238" s="180"/>
    </row>
    <row r="239" spans="1:41" s="288" customFormat="1" ht="30.75" customHeight="1">
      <c r="A239" s="225">
        <v>234</v>
      </c>
      <c r="B239" s="234">
        <v>44939</v>
      </c>
      <c r="C239" s="307" t="s">
        <v>306</v>
      </c>
      <c r="D239" s="214" t="s">
        <v>748</v>
      </c>
      <c r="E239" s="217">
        <v>0</v>
      </c>
      <c r="F239" s="167" t="s">
        <v>749</v>
      </c>
      <c r="G239" s="178"/>
      <c r="H239" s="308" t="s">
        <v>748</v>
      </c>
      <c r="I239" s="301" t="s">
        <v>227</v>
      </c>
      <c r="J239" s="213" t="s">
        <v>251</v>
      </c>
      <c r="K239" s="213" t="s">
        <v>252</v>
      </c>
      <c r="L239" s="213" t="s">
        <v>252</v>
      </c>
      <c r="M239" s="213"/>
      <c r="N239" s="216" t="s">
        <v>770</v>
      </c>
      <c r="O239" s="323">
        <v>0</v>
      </c>
      <c r="P239" s="151">
        <f>0</f>
        <v>0</v>
      </c>
      <c r="Q239" s="151">
        <v>0</v>
      </c>
      <c r="R239" s="151">
        <f>0</f>
        <v>0</v>
      </c>
      <c r="S239" s="151">
        <v>0</v>
      </c>
      <c r="T239" s="151">
        <v>0</v>
      </c>
      <c r="U239" s="151">
        <v>0</v>
      </c>
      <c r="V239" s="151">
        <f>0</f>
        <v>0</v>
      </c>
      <c r="W239" s="151">
        <v>1</v>
      </c>
      <c r="X239" s="151">
        <f>0</f>
        <v>0</v>
      </c>
      <c r="Y239" s="151">
        <f>0</f>
        <v>0</v>
      </c>
      <c r="Z239" s="200">
        <f>0</f>
        <v>0</v>
      </c>
      <c r="AA239" s="174">
        <f t="shared" si="9"/>
        <v>1</v>
      </c>
      <c r="AB239" s="175"/>
      <c r="AC239" s="172">
        <f t="shared" si="10"/>
        <v>1</v>
      </c>
      <c r="AD239" s="176">
        <v>44943</v>
      </c>
      <c r="AE239" s="187" t="s">
        <v>282</v>
      </c>
      <c r="AF239" s="171"/>
      <c r="AG239" s="178"/>
      <c r="AH239" s="177"/>
      <c r="AI239" s="85"/>
      <c r="AJ239" s="86">
        <v>1</v>
      </c>
      <c r="AK239" s="179">
        <f t="shared" si="11"/>
        <v>0</v>
      </c>
      <c r="AL239" s="85" t="s">
        <v>1287</v>
      </c>
      <c r="AM239" s="77"/>
      <c r="AN239" s="87"/>
      <c r="AO239" s="180"/>
    </row>
    <row r="240" spans="1:41" s="288" customFormat="1" ht="30.75" customHeight="1">
      <c r="A240" s="225">
        <v>235</v>
      </c>
      <c r="B240" s="234">
        <v>44939</v>
      </c>
      <c r="C240" s="307" t="s">
        <v>306</v>
      </c>
      <c r="D240" s="214" t="s">
        <v>750</v>
      </c>
      <c r="E240" s="217">
        <v>0</v>
      </c>
      <c r="F240" s="167" t="s">
        <v>761</v>
      </c>
      <c r="G240" s="178"/>
      <c r="H240" s="217" t="s">
        <v>750</v>
      </c>
      <c r="I240" s="301" t="s">
        <v>227</v>
      </c>
      <c r="J240" s="213" t="s">
        <v>251</v>
      </c>
      <c r="K240" s="213" t="s">
        <v>252</v>
      </c>
      <c r="L240" s="213" t="s">
        <v>252</v>
      </c>
      <c r="M240" s="213"/>
      <c r="N240" s="216" t="s">
        <v>770</v>
      </c>
      <c r="O240" s="323">
        <v>0</v>
      </c>
      <c r="P240" s="151">
        <f>0</f>
        <v>0</v>
      </c>
      <c r="Q240" s="151">
        <v>0</v>
      </c>
      <c r="R240" s="151">
        <f>0</f>
        <v>0</v>
      </c>
      <c r="S240" s="151">
        <v>0</v>
      </c>
      <c r="T240" s="151">
        <v>0</v>
      </c>
      <c r="U240" s="151">
        <v>0</v>
      </c>
      <c r="V240" s="151">
        <f>0</f>
        <v>0</v>
      </c>
      <c r="W240" s="151">
        <v>1</v>
      </c>
      <c r="X240" s="151">
        <f>0</f>
        <v>0</v>
      </c>
      <c r="Y240" s="151">
        <f>0</f>
        <v>0</v>
      </c>
      <c r="Z240" s="200">
        <f>0</f>
        <v>0</v>
      </c>
      <c r="AA240" s="142">
        <f t="shared" si="9"/>
        <v>1</v>
      </c>
      <c r="AB240" s="123"/>
      <c r="AC240" s="154">
        <f t="shared" si="10"/>
        <v>1</v>
      </c>
      <c r="AD240" s="176">
        <v>44943</v>
      </c>
      <c r="AE240" s="187" t="s">
        <v>282</v>
      </c>
      <c r="AF240" s="171"/>
      <c r="AG240" s="178"/>
      <c r="AH240" s="177"/>
      <c r="AI240" s="85"/>
      <c r="AJ240" s="86">
        <v>1</v>
      </c>
      <c r="AK240" s="179">
        <f t="shared" si="11"/>
        <v>0</v>
      </c>
      <c r="AL240" s="85" t="s">
        <v>951</v>
      </c>
      <c r="AM240" s="77"/>
      <c r="AN240" s="87"/>
      <c r="AO240" s="180"/>
    </row>
    <row r="241" spans="1:41" s="288" customFormat="1" ht="30.75" customHeight="1">
      <c r="A241" s="225">
        <v>236</v>
      </c>
      <c r="B241" s="234">
        <v>44939</v>
      </c>
      <c r="C241" s="307" t="s">
        <v>306</v>
      </c>
      <c r="D241" s="214" t="s">
        <v>751</v>
      </c>
      <c r="E241" s="217" t="s">
        <v>322</v>
      </c>
      <c r="F241" s="167" t="s">
        <v>349</v>
      </c>
      <c r="G241" s="178"/>
      <c r="H241" s="308" t="s">
        <v>766</v>
      </c>
      <c r="I241" s="301" t="s">
        <v>227</v>
      </c>
      <c r="J241" s="213" t="s">
        <v>767</v>
      </c>
      <c r="K241" s="213" t="s">
        <v>252</v>
      </c>
      <c r="L241" s="213" t="s">
        <v>252</v>
      </c>
      <c r="M241" s="213"/>
      <c r="N241" s="216" t="s">
        <v>770</v>
      </c>
      <c r="O241" s="323">
        <v>0</v>
      </c>
      <c r="P241" s="151">
        <f>0</f>
        <v>0</v>
      </c>
      <c r="Q241" s="151">
        <v>0</v>
      </c>
      <c r="R241" s="151">
        <f>0</f>
        <v>0</v>
      </c>
      <c r="S241" s="151">
        <v>0</v>
      </c>
      <c r="T241" s="151">
        <v>0</v>
      </c>
      <c r="U241" s="151">
        <v>0</v>
      </c>
      <c r="V241" s="151">
        <f>0</f>
        <v>0</v>
      </c>
      <c r="W241" s="151">
        <v>1</v>
      </c>
      <c r="X241" s="151">
        <f>0</f>
        <v>0</v>
      </c>
      <c r="Y241" s="151">
        <f>0</f>
        <v>0</v>
      </c>
      <c r="Z241" s="200">
        <f>0</f>
        <v>0</v>
      </c>
      <c r="AA241" s="142">
        <f t="shared" si="9"/>
        <v>1</v>
      </c>
      <c r="AB241" s="123"/>
      <c r="AC241" s="154">
        <f t="shared" si="10"/>
        <v>1</v>
      </c>
      <c r="AD241" s="176">
        <v>44943</v>
      </c>
      <c r="AE241" s="187" t="s">
        <v>282</v>
      </c>
      <c r="AF241" s="84"/>
      <c r="AG241" s="178"/>
      <c r="AH241" s="177"/>
      <c r="AI241" s="85"/>
      <c r="AJ241" s="86">
        <v>1</v>
      </c>
      <c r="AK241" s="179">
        <f t="shared" si="11"/>
        <v>0</v>
      </c>
      <c r="AL241" s="85" t="s">
        <v>951</v>
      </c>
      <c r="AM241" s="77"/>
      <c r="AN241" s="87"/>
      <c r="AO241" s="180"/>
    </row>
    <row r="242" spans="1:41" s="288" customFormat="1" ht="30.75" customHeight="1">
      <c r="A242" s="233">
        <v>237</v>
      </c>
      <c r="B242" s="234">
        <v>44939</v>
      </c>
      <c r="C242" s="307" t="s">
        <v>306</v>
      </c>
      <c r="D242" s="214" t="s">
        <v>752</v>
      </c>
      <c r="E242" s="217" t="s">
        <v>328</v>
      </c>
      <c r="F242" s="167" t="s">
        <v>753</v>
      </c>
      <c r="G242" s="178"/>
      <c r="H242" s="217" t="s">
        <v>752</v>
      </c>
      <c r="I242" s="301" t="s">
        <v>568</v>
      </c>
      <c r="J242" s="213" t="s">
        <v>251</v>
      </c>
      <c r="K242" s="213" t="s">
        <v>252</v>
      </c>
      <c r="L242" s="213" t="s">
        <v>252</v>
      </c>
      <c r="M242" s="213"/>
      <c r="N242" s="216" t="s">
        <v>770</v>
      </c>
      <c r="O242" s="323">
        <v>0</v>
      </c>
      <c r="P242" s="151">
        <f>0</f>
        <v>0</v>
      </c>
      <c r="Q242" s="151">
        <v>0</v>
      </c>
      <c r="R242" s="151">
        <f>0</f>
        <v>0</v>
      </c>
      <c r="S242" s="151">
        <v>0</v>
      </c>
      <c r="T242" s="151">
        <v>0</v>
      </c>
      <c r="U242" s="151">
        <v>0</v>
      </c>
      <c r="V242" s="151">
        <f>0</f>
        <v>0</v>
      </c>
      <c r="W242" s="151">
        <v>1</v>
      </c>
      <c r="X242" s="151">
        <f>0</f>
        <v>0</v>
      </c>
      <c r="Y242" s="151">
        <f>0</f>
        <v>0</v>
      </c>
      <c r="Z242" s="200">
        <f>0</f>
        <v>0</v>
      </c>
      <c r="AA242" s="142">
        <f t="shared" si="9"/>
        <v>1</v>
      </c>
      <c r="AB242" s="123">
        <v>1</v>
      </c>
      <c r="AC242" s="154">
        <f t="shared" si="10"/>
        <v>0</v>
      </c>
      <c r="AD242" s="176"/>
      <c r="AE242" s="177" t="s">
        <v>529</v>
      </c>
      <c r="AF242" s="130" t="s">
        <v>44</v>
      </c>
      <c r="AG242" s="178"/>
      <c r="AH242" s="177"/>
      <c r="AI242" s="85"/>
      <c r="AJ242" s="86" t="s">
        <v>499</v>
      </c>
      <c r="AK242" s="179" t="e">
        <f t="shared" si="11"/>
        <v>#VALUE!</v>
      </c>
      <c r="AL242" s="85" t="s">
        <v>951</v>
      </c>
      <c r="AM242" s="77"/>
      <c r="AN242" s="87"/>
      <c r="AO242" s="180"/>
    </row>
    <row r="243" spans="1:41" s="288" customFormat="1" ht="30.75" customHeight="1">
      <c r="A243" s="225">
        <v>238</v>
      </c>
      <c r="B243" s="234">
        <v>44939</v>
      </c>
      <c r="C243" s="307" t="s">
        <v>306</v>
      </c>
      <c r="D243" s="214" t="s">
        <v>754</v>
      </c>
      <c r="E243" s="217" t="s">
        <v>312</v>
      </c>
      <c r="F243" s="167" t="s">
        <v>762</v>
      </c>
      <c r="G243" s="178"/>
      <c r="H243" s="308" t="s">
        <v>754</v>
      </c>
      <c r="I243" s="301" t="s">
        <v>309</v>
      </c>
      <c r="J243" s="213" t="s">
        <v>251</v>
      </c>
      <c r="K243" s="213" t="s">
        <v>252</v>
      </c>
      <c r="L243" s="213" t="s">
        <v>252</v>
      </c>
      <c r="M243" s="213"/>
      <c r="N243" s="216" t="s">
        <v>770</v>
      </c>
      <c r="O243" s="323">
        <v>0</v>
      </c>
      <c r="P243" s="151">
        <f>0</f>
        <v>0</v>
      </c>
      <c r="Q243" s="151">
        <v>0</v>
      </c>
      <c r="R243" s="151">
        <f>0</f>
        <v>0</v>
      </c>
      <c r="S243" s="151">
        <v>0</v>
      </c>
      <c r="T243" s="151">
        <v>0</v>
      </c>
      <c r="U243" s="151">
        <v>0</v>
      </c>
      <c r="V243" s="151">
        <f>0</f>
        <v>0</v>
      </c>
      <c r="W243" s="151">
        <v>1</v>
      </c>
      <c r="X243" s="151">
        <f>0</f>
        <v>0</v>
      </c>
      <c r="Y243" s="151">
        <f>0</f>
        <v>0</v>
      </c>
      <c r="Z243" s="200">
        <f>0</f>
        <v>0</v>
      </c>
      <c r="AA243" s="142">
        <f t="shared" si="9"/>
        <v>1</v>
      </c>
      <c r="AB243" s="123">
        <v>1</v>
      </c>
      <c r="AC243" s="154">
        <f t="shared" si="10"/>
        <v>0</v>
      </c>
      <c r="AD243" s="176"/>
      <c r="AE243" s="177" t="s">
        <v>529</v>
      </c>
      <c r="AF243" s="130" t="s">
        <v>44</v>
      </c>
      <c r="AG243" s="178"/>
      <c r="AH243" s="187"/>
      <c r="AI243" s="85"/>
      <c r="AJ243" s="86" t="s">
        <v>499</v>
      </c>
      <c r="AK243" s="179" t="e">
        <f t="shared" si="11"/>
        <v>#VALUE!</v>
      </c>
      <c r="AL243" s="85" t="s">
        <v>851</v>
      </c>
      <c r="AM243" s="77"/>
      <c r="AN243" s="87"/>
      <c r="AO243" s="180"/>
    </row>
    <row r="244" spans="1:41" s="288" customFormat="1" ht="30.75" customHeight="1">
      <c r="A244" s="225">
        <v>239</v>
      </c>
      <c r="B244" s="234">
        <v>44939</v>
      </c>
      <c r="C244" s="307" t="s">
        <v>306</v>
      </c>
      <c r="D244" s="214" t="s">
        <v>755</v>
      </c>
      <c r="E244" s="217">
        <v>0</v>
      </c>
      <c r="F244" s="167" t="s">
        <v>756</v>
      </c>
      <c r="G244" s="178"/>
      <c r="H244" s="308" t="s">
        <v>755</v>
      </c>
      <c r="I244" s="301" t="s">
        <v>309</v>
      </c>
      <c r="J244" s="213" t="s">
        <v>251</v>
      </c>
      <c r="K244" s="213" t="s">
        <v>252</v>
      </c>
      <c r="L244" s="213" t="s">
        <v>252</v>
      </c>
      <c r="M244" s="213"/>
      <c r="N244" s="216" t="s">
        <v>770</v>
      </c>
      <c r="O244" s="323">
        <v>0</v>
      </c>
      <c r="P244" s="151">
        <f>0</f>
        <v>0</v>
      </c>
      <c r="Q244" s="151">
        <v>0</v>
      </c>
      <c r="R244" s="151">
        <f>0</f>
        <v>0</v>
      </c>
      <c r="S244" s="151">
        <v>0</v>
      </c>
      <c r="T244" s="151">
        <v>0</v>
      </c>
      <c r="U244" s="151">
        <v>0</v>
      </c>
      <c r="V244" s="151">
        <f>0</f>
        <v>0</v>
      </c>
      <c r="W244" s="151">
        <v>1</v>
      </c>
      <c r="X244" s="151">
        <f>0</f>
        <v>0</v>
      </c>
      <c r="Y244" s="151">
        <f>0</f>
        <v>0</v>
      </c>
      <c r="Z244" s="200">
        <f>0</f>
        <v>0</v>
      </c>
      <c r="AA244" s="142">
        <f t="shared" si="9"/>
        <v>1</v>
      </c>
      <c r="AB244" s="123"/>
      <c r="AC244" s="154">
        <f t="shared" si="10"/>
        <v>1</v>
      </c>
      <c r="AD244" s="176">
        <v>44950</v>
      </c>
      <c r="AE244" s="177" t="s">
        <v>529</v>
      </c>
      <c r="AF244" s="130" t="s">
        <v>1238</v>
      </c>
      <c r="AG244" s="178"/>
      <c r="AH244" s="187" t="s">
        <v>1239</v>
      </c>
      <c r="AI244" s="85"/>
      <c r="AJ244" s="86">
        <v>1</v>
      </c>
      <c r="AK244" s="179">
        <f t="shared" si="11"/>
        <v>0</v>
      </c>
      <c r="AL244" s="85" t="s">
        <v>1541</v>
      </c>
      <c r="AM244" s="77"/>
      <c r="AN244" s="87"/>
      <c r="AO244" s="180"/>
    </row>
    <row r="245" spans="1:41" s="288" customFormat="1" ht="30.75" customHeight="1">
      <c r="A245" s="225">
        <v>240</v>
      </c>
      <c r="B245" s="234">
        <v>44939</v>
      </c>
      <c r="C245" s="307" t="s">
        <v>306</v>
      </c>
      <c r="D245" s="214" t="s">
        <v>757</v>
      </c>
      <c r="E245" s="217">
        <v>0</v>
      </c>
      <c r="F245" s="167" t="s">
        <v>763</v>
      </c>
      <c r="G245" s="178"/>
      <c r="H245" s="308">
        <v>530029</v>
      </c>
      <c r="I245" s="301" t="s">
        <v>329</v>
      </c>
      <c r="J245" s="213" t="s">
        <v>251</v>
      </c>
      <c r="K245" s="213" t="s">
        <v>252</v>
      </c>
      <c r="L245" s="213" t="s">
        <v>252</v>
      </c>
      <c r="M245" s="213"/>
      <c r="N245" s="216" t="s">
        <v>770</v>
      </c>
      <c r="O245" s="323">
        <v>0</v>
      </c>
      <c r="P245" s="151">
        <f>0</f>
        <v>0</v>
      </c>
      <c r="Q245" s="151">
        <v>0</v>
      </c>
      <c r="R245" s="151">
        <f>0</f>
        <v>0</v>
      </c>
      <c r="S245" s="151">
        <v>0</v>
      </c>
      <c r="T245" s="151">
        <v>0</v>
      </c>
      <c r="U245" s="151">
        <v>0</v>
      </c>
      <c r="V245" s="151">
        <f>0</f>
        <v>0</v>
      </c>
      <c r="W245" s="151">
        <v>2</v>
      </c>
      <c r="X245" s="151">
        <f>0</f>
        <v>0</v>
      </c>
      <c r="Y245" s="151">
        <f>0</f>
        <v>0</v>
      </c>
      <c r="Z245" s="200">
        <f>0</f>
        <v>0</v>
      </c>
      <c r="AA245" s="142">
        <f t="shared" si="9"/>
        <v>2</v>
      </c>
      <c r="AB245" s="123">
        <v>2</v>
      </c>
      <c r="AC245" s="154">
        <f t="shared" si="10"/>
        <v>0</v>
      </c>
      <c r="AD245" s="176"/>
      <c r="AE245" s="177" t="s">
        <v>529</v>
      </c>
      <c r="AF245" s="84" t="s">
        <v>44</v>
      </c>
      <c r="AG245" s="178"/>
      <c r="AH245" s="177"/>
      <c r="AI245" s="85"/>
      <c r="AJ245" s="86" t="s">
        <v>499</v>
      </c>
      <c r="AK245" s="179" t="e">
        <f t="shared" si="11"/>
        <v>#VALUE!</v>
      </c>
      <c r="AL245" s="85" t="s">
        <v>851</v>
      </c>
      <c r="AM245" s="77"/>
      <c r="AN245" s="87"/>
      <c r="AO245" s="180"/>
    </row>
    <row r="246" spans="1:41" s="288" customFormat="1" ht="30.75" customHeight="1">
      <c r="A246" s="233">
        <v>241</v>
      </c>
      <c r="B246" s="234">
        <v>44939</v>
      </c>
      <c r="C246" s="307" t="s">
        <v>306</v>
      </c>
      <c r="D246" s="214" t="s">
        <v>334</v>
      </c>
      <c r="E246" s="217" t="s">
        <v>328</v>
      </c>
      <c r="F246" s="167" t="s">
        <v>763</v>
      </c>
      <c r="G246" s="178"/>
      <c r="H246" s="308">
        <v>530030</v>
      </c>
      <c r="I246" s="301" t="s">
        <v>329</v>
      </c>
      <c r="J246" s="213" t="s">
        <v>251</v>
      </c>
      <c r="K246" s="213" t="s">
        <v>252</v>
      </c>
      <c r="L246" s="213" t="s">
        <v>252</v>
      </c>
      <c r="M246" s="213"/>
      <c r="N246" s="216" t="s">
        <v>770</v>
      </c>
      <c r="O246" s="323">
        <v>0</v>
      </c>
      <c r="P246" s="151">
        <f>0</f>
        <v>0</v>
      </c>
      <c r="Q246" s="151">
        <v>0</v>
      </c>
      <c r="R246" s="151">
        <f>0</f>
        <v>0</v>
      </c>
      <c r="S246" s="151">
        <v>0</v>
      </c>
      <c r="T246" s="151">
        <v>0</v>
      </c>
      <c r="U246" s="151">
        <v>0</v>
      </c>
      <c r="V246" s="151">
        <f>0</f>
        <v>0</v>
      </c>
      <c r="W246" s="151">
        <v>1</v>
      </c>
      <c r="X246" s="151">
        <f>0</f>
        <v>0</v>
      </c>
      <c r="Y246" s="151">
        <f>0</f>
        <v>0</v>
      </c>
      <c r="Z246" s="200">
        <f>0</f>
        <v>0</v>
      </c>
      <c r="AA246" s="142">
        <f t="shared" si="9"/>
        <v>1</v>
      </c>
      <c r="AB246" s="123">
        <v>1</v>
      </c>
      <c r="AC246" s="154">
        <f t="shared" si="10"/>
        <v>0</v>
      </c>
      <c r="AD246" s="176"/>
      <c r="AE246" s="187" t="s">
        <v>529</v>
      </c>
      <c r="AF246" s="84" t="s">
        <v>44</v>
      </c>
      <c r="AG246" s="178"/>
      <c r="AH246" s="177"/>
      <c r="AI246" s="85"/>
      <c r="AJ246" s="86" t="s">
        <v>499</v>
      </c>
      <c r="AK246" s="179" t="e">
        <f t="shared" si="11"/>
        <v>#VALUE!</v>
      </c>
      <c r="AL246" s="85" t="s">
        <v>851</v>
      </c>
      <c r="AM246" s="77"/>
      <c r="AN246" s="87"/>
      <c r="AO246" s="180"/>
    </row>
    <row r="247" spans="1:41" s="288" customFormat="1" ht="30.75" customHeight="1">
      <c r="A247" s="225">
        <v>242</v>
      </c>
      <c r="B247" s="226">
        <v>44939</v>
      </c>
      <c r="C247" s="307" t="s">
        <v>306</v>
      </c>
      <c r="D247" s="214" t="s">
        <v>688</v>
      </c>
      <c r="E247" s="217" t="s">
        <v>361</v>
      </c>
      <c r="F247" s="167" t="s">
        <v>383</v>
      </c>
      <c r="G247" s="178"/>
      <c r="H247" s="308" t="s">
        <v>680</v>
      </c>
      <c r="I247" s="301" t="s">
        <v>629</v>
      </c>
      <c r="J247" s="213" t="s">
        <v>251</v>
      </c>
      <c r="K247" s="213" t="s">
        <v>252</v>
      </c>
      <c r="L247" s="213" t="s">
        <v>252</v>
      </c>
      <c r="M247" s="213" t="s">
        <v>689</v>
      </c>
      <c r="N247" s="216" t="s">
        <v>770</v>
      </c>
      <c r="O247" s="323">
        <v>0</v>
      </c>
      <c r="P247" s="151">
        <f>0</f>
        <v>0</v>
      </c>
      <c r="Q247" s="151">
        <v>0</v>
      </c>
      <c r="R247" s="151">
        <f>0</f>
        <v>0</v>
      </c>
      <c r="S247" s="151">
        <v>0</v>
      </c>
      <c r="T247" s="151">
        <v>0</v>
      </c>
      <c r="U247" s="151">
        <v>0</v>
      </c>
      <c r="V247" s="151">
        <f>0</f>
        <v>0</v>
      </c>
      <c r="W247" s="151">
        <v>5</v>
      </c>
      <c r="X247" s="151">
        <f>0</f>
        <v>0</v>
      </c>
      <c r="Y247" s="151">
        <f>0</f>
        <v>0</v>
      </c>
      <c r="Z247" s="200">
        <f>0</f>
        <v>0</v>
      </c>
      <c r="AA247" s="142">
        <f t="shared" si="9"/>
        <v>5</v>
      </c>
      <c r="AB247" s="123"/>
      <c r="AC247" s="154">
        <f t="shared" si="10"/>
        <v>5</v>
      </c>
      <c r="AD247" s="170"/>
      <c r="AE247" s="187" t="s">
        <v>529</v>
      </c>
      <c r="AF247" s="171" t="s">
        <v>44</v>
      </c>
      <c r="AG247" s="178"/>
      <c r="AH247" s="177"/>
      <c r="AI247" s="85"/>
      <c r="AJ247" s="86" t="s">
        <v>499</v>
      </c>
      <c r="AK247" s="179" t="e">
        <f t="shared" si="11"/>
        <v>#VALUE!</v>
      </c>
      <c r="AL247" s="85"/>
      <c r="AM247" s="77"/>
      <c r="AN247" s="87"/>
      <c r="AO247" s="180"/>
    </row>
    <row r="248" spans="1:41" s="288" customFormat="1" ht="30.75" customHeight="1">
      <c r="A248" s="225">
        <v>243</v>
      </c>
      <c r="B248" s="226">
        <v>44939</v>
      </c>
      <c r="C248" s="307" t="s">
        <v>306</v>
      </c>
      <c r="D248" s="214" t="s">
        <v>758</v>
      </c>
      <c r="E248" s="217" t="s">
        <v>328</v>
      </c>
      <c r="F248" s="167" t="s">
        <v>759</v>
      </c>
      <c r="G248" s="178"/>
      <c r="H248" s="308" t="s">
        <v>758</v>
      </c>
      <c r="I248" s="301" t="s">
        <v>768</v>
      </c>
      <c r="J248" s="213" t="s">
        <v>251</v>
      </c>
      <c r="K248" s="213" t="s">
        <v>252</v>
      </c>
      <c r="L248" s="213" t="s">
        <v>252</v>
      </c>
      <c r="M248" s="213"/>
      <c r="N248" s="216" t="s">
        <v>770</v>
      </c>
      <c r="O248" s="323">
        <v>0</v>
      </c>
      <c r="P248" s="151">
        <f>0</f>
        <v>0</v>
      </c>
      <c r="Q248" s="151">
        <v>0</v>
      </c>
      <c r="R248" s="151">
        <f>0</f>
        <v>0</v>
      </c>
      <c r="S248" s="151">
        <v>0</v>
      </c>
      <c r="T248" s="151">
        <v>0</v>
      </c>
      <c r="U248" s="151">
        <v>0</v>
      </c>
      <c r="V248" s="151">
        <f>0</f>
        <v>0</v>
      </c>
      <c r="W248" s="151">
        <v>2</v>
      </c>
      <c r="X248" s="151">
        <f>0</f>
        <v>0</v>
      </c>
      <c r="Y248" s="151">
        <f>0</f>
        <v>0</v>
      </c>
      <c r="Z248" s="200">
        <f>0</f>
        <v>0</v>
      </c>
      <c r="AA248" s="174">
        <f t="shared" si="9"/>
        <v>2</v>
      </c>
      <c r="AB248" s="175"/>
      <c r="AC248" s="172">
        <f t="shared" si="10"/>
        <v>2</v>
      </c>
      <c r="AD248" s="170"/>
      <c r="AE248" s="187" t="s">
        <v>529</v>
      </c>
      <c r="AF248" s="171" t="s">
        <v>44</v>
      </c>
      <c r="AG248" s="178"/>
      <c r="AH248" s="177"/>
      <c r="AI248" s="85"/>
      <c r="AJ248" s="86" t="s">
        <v>499</v>
      </c>
      <c r="AK248" s="179" t="e">
        <f t="shared" si="11"/>
        <v>#VALUE!</v>
      </c>
      <c r="AL248" s="85"/>
      <c r="AM248" s="77"/>
      <c r="AN248" s="87"/>
      <c r="AO248" s="180"/>
    </row>
    <row r="249" spans="1:41" s="107" customFormat="1" ht="30.75" customHeight="1">
      <c r="A249" s="233">
        <v>245</v>
      </c>
      <c r="B249" s="226" t="s">
        <v>453</v>
      </c>
      <c r="C249" s="307" t="s">
        <v>454</v>
      </c>
      <c r="D249" s="214"/>
      <c r="E249" s="214"/>
      <c r="F249" s="292" t="s">
        <v>455</v>
      </c>
      <c r="G249" s="293" t="s">
        <v>456</v>
      </c>
      <c r="H249" s="306" t="s">
        <v>457</v>
      </c>
      <c r="I249" s="311" t="s">
        <v>458</v>
      </c>
      <c r="J249" s="213"/>
      <c r="K249" s="213"/>
      <c r="L249" s="213"/>
      <c r="M249" s="213"/>
      <c r="N249" s="216" t="s">
        <v>71</v>
      </c>
      <c r="O249" s="323">
        <v>1</v>
      </c>
      <c r="P249" s="151">
        <f>0</f>
        <v>0</v>
      </c>
      <c r="Q249" s="151">
        <f>0</f>
        <v>0</v>
      </c>
      <c r="R249" s="151">
        <f>0</f>
        <v>0</v>
      </c>
      <c r="S249" s="151">
        <f>0</f>
        <v>0</v>
      </c>
      <c r="T249" s="151">
        <f>0</f>
        <v>0</v>
      </c>
      <c r="U249" s="151">
        <f>0</f>
        <v>0</v>
      </c>
      <c r="V249" s="151">
        <f>0</f>
        <v>0</v>
      </c>
      <c r="W249" s="151">
        <f>0</f>
        <v>0</v>
      </c>
      <c r="X249" s="151">
        <f>0</f>
        <v>0</v>
      </c>
      <c r="Y249" s="151">
        <f>0</f>
        <v>0</v>
      </c>
      <c r="Z249" s="200">
        <f>0</f>
        <v>0</v>
      </c>
      <c r="AA249" s="143">
        <f t="shared" si="9"/>
        <v>1</v>
      </c>
      <c r="AB249" s="168"/>
      <c r="AC249" s="169">
        <f t="shared" si="10"/>
        <v>1</v>
      </c>
      <c r="AD249" s="170"/>
      <c r="AE249" s="187" t="s">
        <v>239</v>
      </c>
      <c r="AF249" s="130" t="s">
        <v>461</v>
      </c>
      <c r="AG249" s="102" t="s">
        <v>432</v>
      </c>
      <c r="AH249" s="187"/>
      <c r="AI249" s="88"/>
      <c r="AJ249" s="89">
        <v>1</v>
      </c>
      <c r="AK249" s="189">
        <f t="shared" si="11"/>
        <v>0</v>
      </c>
      <c r="AL249" s="85" t="s">
        <v>1459</v>
      </c>
      <c r="AM249" s="565"/>
      <c r="AN249" s="567"/>
      <c r="AO249" s="190"/>
    </row>
    <row r="250" spans="1:41" s="107" customFormat="1" ht="30.75" customHeight="1">
      <c r="A250" s="225">
        <v>246</v>
      </c>
      <c r="B250" s="226" t="s">
        <v>453</v>
      </c>
      <c r="C250" s="235" t="s">
        <v>454</v>
      </c>
      <c r="D250" s="171"/>
      <c r="E250" s="210"/>
      <c r="F250" s="236" t="s">
        <v>459</v>
      </c>
      <c r="G250" s="237" t="s">
        <v>460</v>
      </c>
      <c r="H250" s="312"/>
      <c r="I250" s="313" t="s">
        <v>458</v>
      </c>
      <c r="J250" s="213"/>
      <c r="K250" s="213"/>
      <c r="L250" s="213"/>
      <c r="M250" s="213"/>
      <c r="N250" s="224" t="s">
        <v>71</v>
      </c>
      <c r="O250" s="323">
        <v>1</v>
      </c>
      <c r="P250" s="151">
        <f>0</f>
        <v>0</v>
      </c>
      <c r="Q250" s="151">
        <f>0</f>
        <v>0</v>
      </c>
      <c r="R250" s="151">
        <f>0</f>
        <v>0</v>
      </c>
      <c r="S250" s="151">
        <f>0</f>
        <v>0</v>
      </c>
      <c r="T250" s="151">
        <f>0</f>
        <v>0</v>
      </c>
      <c r="U250" s="151">
        <f>0</f>
        <v>0</v>
      </c>
      <c r="V250" s="151">
        <f>0</f>
        <v>0</v>
      </c>
      <c r="W250" s="151">
        <f>0</f>
        <v>0</v>
      </c>
      <c r="X250" s="151">
        <f>0</f>
        <v>0</v>
      </c>
      <c r="Y250" s="151">
        <f>0</f>
        <v>0</v>
      </c>
      <c r="Z250" s="200">
        <f>0</f>
        <v>0</v>
      </c>
      <c r="AA250" s="143">
        <f t="shared" si="9"/>
        <v>1</v>
      </c>
      <c r="AB250" s="168"/>
      <c r="AC250" s="169">
        <f t="shared" si="10"/>
        <v>1</v>
      </c>
      <c r="AD250" s="186"/>
      <c r="AE250" s="187" t="s">
        <v>239</v>
      </c>
      <c r="AF250" s="130" t="s">
        <v>461</v>
      </c>
      <c r="AG250" s="102" t="s">
        <v>432</v>
      </c>
      <c r="AH250" s="187"/>
      <c r="AI250" s="88"/>
      <c r="AJ250" s="89">
        <v>1</v>
      </c>
      <c r="AK250" s="189">
        <f t="shared" si="11"/>
        <v>0</v>
      </c>
      <c r="AL250" s="88" t="s">
        <v>1459</v>
      </c>
      <c r="AM250" s="565"/>
      <c r="AN250" s="567"/>
      <c r="AO250" s="190"/>
    </row>
    <row r="251" spans="1:41" s="107" customFormat="1" ht="30.75" customHeight="1">
      <c r="A251" s="225">
        <v>247</v>
      </c>
      <c r="B251" s="234" t="s">
        <v>453</v>
      </c>
      <c r="C251" s="307" t="s">
        <v>454</v>
      </c>
      <c r="D251" s="84"/>
      <c r="E251" s="212"/>
      <c r="F251" s="314" t="s">
        <v>462</v>
      </c>
      <c r="G251" s="315" t="s">
        <v>463</v>
      </c>
      <c r="H251" s="316" t="s">
        <v>463</v>
      </c>
      <c r="I251" s="313" t="s">
        <v>168</v>
      </c>
      <c r="J251" s="213"/>
      <c r="K251" s="213"/>
      <c r="L251" s="213"/>
      <c r="M251" s="213"/>
      <c r="N251" s="216" t="s">
        <v>80</v>
      </c>
      <c r="O251" s="323">
        <v>26</v>
      </c>
      <c r="P251" s="151">
        <f>0</f>
        <v>0</v>
      </c>
      <c r="Q251" s="151">
        <f>0</f>
        <v>0</v>
      </c>
      <c r="R251" s="151">
        <f>0</f>
        <v>0</v>
      </c>
      <c r="S251" s="151">
        <f>0</f>
        <v>0</v>
      </c>
      <c r="T251" s="151">
        <f>0</f>
        <v>0</v>
      </c>
      <c r="U251" s="151">
        <f>0</f>
        <v>0</v>
      </c>
      <c r="V251" s="151">
        <f>0</f>
        <v>0</v>
      </c>
      <c r="W251" s="151">
        <f>0</f>
        <v>0</v>
      </c>
      <c r="X251" s="151">
        <f>0</f>
        <v>0</v>
      </c>
      <c r="Y251" s="151">
        <f>0</f>
        <v>0</v>
      </c>
      <c r="Z251" s="200">
        <f>0</f>
        <v>0</v>
      </c>
      <c r="AA251" s="142">
        <f t="shared" si="9"/>
        <v>26</v>
      </c>
      <c r="AB251" s="123"/>
      <c r="AC251" s="154">
        <f t="shared" si="10"/>
        <v>26</v>
      </c>
      <c r="AD251" s="176">
        <v>44756</v>
      </c>
      <c r="AE251" s="177" t="s">
        <v>239</v>
      </c>
      <c r="AF251" s="84" t="s">
        <v>465</v>
      </c>
      <c r="AG251" s="149" t="s">
        <v>432</v>
      </c>
      <c r="AH251" s="177"/>
      <c r="AI251" s="85"/>
      <c r="AJ251" s="86">
        <v>52</v>
      </c>
      <c r="AK251" s="179">
        <v>0</v>
      </c>
      <c r="AL251" s="85" t="s">
        <v>466</v>
      </c>
      <c r="AM251" s="96"/>
      <c r="AN251" s="97"/>
      <c r="AO251" s="92"/>
    </row>
    <row r="252" spans="1:41" s="107" customFormat="1" ht="30.75" customHeight="1">
      <c r="A252" s="225">
        <v>248</v>
      </c>
      <c r="B252" s="234" t="s">
        <v>453</v>
      </c>
      <c r="C252" s="307" t="s">
        <v>454</v>
      </c>
      <c r="D252" s="217"/>
      <c r="E252" s="217"/>
      <c r="F252" s="317" t="s">
        <v>462</v>
      </c>
      <c r="G252" s="318" t="s">
        <v>464</v>
      </c>
      <c r="H252" s="211" t="s">
        <v>464</v>
      </c>
      <c r="I252" s="311" t="s">
        <v>168</v>
      </c>
      <c r="J252" s="213"/>
      <c r="K252" s="213"/>
      <c r="L252" s="213"/>
      <c r="M252" s="213"/>
      <c r="N252" s="216" t="s">
        <v>80</v>
      </c>
      <c r="O252" s="323">
        <v>1</v>
      </c>
      <c r="P252" s="151">
        <f>0</f>
        <v>0</v>
      </c>
      <c r="Q252" s="151">
        <f>0</f>
        <v>0</v>
      </c>
      <c r="R252" s="151">
        <f>0</f>
        <v>0</v>
      </c>
      <c r="S252" s="151">
        <f>0</f>
        <v>0</v>
      </c>
      <c r="T252" s="151">
        <f>0</f>
        <v>0</v>
      </c>
      <c r="U252" s="151">
        <f>0</f>
        <v>0</v>
      </c>
      <c r="V252" s="151">
        <f>0</f>
        <v>0</v>
      </c>
      <c r="W252" s="151">
        <f>0</f>
        <v>0</v>
      </c>
      <c r="X252" s="151">
        <f>0</f>
        <v>0</v>
      </c>
      <c r="Y252" s="151">
        <f>0</f>
        <v>0</v>
      </c>
      <c r="Z252" s="200">
        <f>0</f>
        <v>0</v>
      </c>
      <c r="AA252" s="142">
        <f t="shared" si="9"/>
        <v>1</v>
      </c>
      <c r="AB252" s="123"/>
      <c r="AC252" s="154">
        <f t="shared" si="10"/>
        <v>1</v>
      </c>
      <c r="AD252" s="176">
        <v>44756</v>
      </c>
      <c r="AE252" s="177" t="s">
        <v>239</v>
      </c>
      <c r="AF252" s="84" t="s">
        <v>467</v>
      </c>
      <c r="AG252" s="149" t="s">
        <v>432</v>
      </c>
      <c r="AH252" s="177"/>
      <c r="AI252" s="85"/>
      <c r="AJ252" s="86">
        <v>2</v>
      </c>
      <c r="AK252" s="179">
        <v>0</v>
      </c>
      <c r="AL252" s="85" t="s">
        <v>468</v>
      </c>
      <c r="AM252" s="96"/>
      <c r="AN252" s="97"/>
      <c r="AO252" s="92"/>
    </row>
    <row r="253" spans="1:41" s="107" customFormat="1" ht="30.75" customHeight="1">
      <c r="A253" s="233">
        <v>249</v>
      </c>
      <c r="B253" s="234"/>
      <c r="C253" s="307" t="s">
        <v>239</v>
      </c>
      <c r="D253" s="217"/>
      <c r="E253" s="217"/>
      <c r="F253" s="317" t="s">
        <v>277</v>
      </c>
      <c r="G253" s="318"/>
      <c r="H253" s="211" t="s">
        <v>278</v>
      </c>
      <c r="I253" s="311" t="s">
        <v>168</v>
      </c>
      <c r="J253" s="213"/>
      <c r="K253" s="213"/>
      <c r="L253" s="213"/>
      <c r="M253" s="213" t="s">
        <v>446</v>
      </c>
      <c r="N253" s="216" t="s">
        <v>80</v>
      </c>
      <c r="O253" s="323">
        <v>7</v>
      </c>
      <c r="P253" s="151">
        <f>0</f>
        <v>0</v>
      </c>
      <c r="Q253" s="151">
        <f>0</f>
        <v>0</v>
      </c>
      <c r="R253" s="151">
        <f>0</f>
        <v>0</v>
      </c>
      <c r="S253" s="151">
        <f>0</f>
        <v>0</v>
      </c>
      <c r="T253" s="151">
        <f>0</f>
        <v>0</v>
      </c>
      <c r="U253" s="151">
        <f>0</f>
        <v>0</v>
      </c>
      <c r="V253" s="151">
        <f>0</f>
        <v>0</v>
      </c>
      <c r="W253" s="151">
        <f>0</f>
        <v>0</v>
      </c>
      <c r="X253" s="151">
        <f>0</f>
        <v>0</v>
      </c>
      <c r="Y253" s="151">
        <f>0</f>
        <v>0</v>
      </c>
      <c r="Z253" s="200">
        <f>0</f>
        <v>0</v>
      </c>
      <c r="AA253" s="142">
        <f t="shared" si="9"/>
        <v>7</v>
      </c>
      <c r="AB253" s="123">
        <f>0</f>
        <v>0</v>
      </c>
      <c r="AC253" s="154">
        <f t="shared" si="10"/>
        <v>7</v>
      </c>
      <c r="AD253" s="176">
        <v>44694</v>
      </c>
      <c r="AE253" s="177" t="s">
        <v>239</v>
      </c>
      <c r="AF253" s="84" t="s">
        <v>279</v>
      </c>
      <c r="AG253" s="149" t="s">
        <v>432</v>
      </c>
      <c r="AH253" s="177"/>
      <c r="AI253" s="85"/>
      <c r="AJ253" s="86">
        <v>30</v>
      </c>
      <c r="AK253" s="179">
        <f t="shared" ref="AK253:AK316" si="12">AC253-AJ253</f>
        <v>-23</v>
      </c>
      <c r="AL253" s="85" t="s">
        <v>442</v>
      </c>
      <c r="AM253" s="96"/>
      <c r="AN253" s="97"/>
      <c r="AO253" s="180"/>
    </row>
    <row r="254" spans="1:41" s="107" customFormat="1" ht="30.75" customHeight="1">
      <c r="A254" s="225">
        <v>250</v>
      </c>
      <c r="B254" s="234"/>
      <c r="C254" s="307" t="s">
        <v>239</v>
      </c>
      <c r="D254" s="84"/>
      <c r="E254" s="212"/>
      <c r="F254" s="314" t="s">
        <v>277</v>
      </c>
      <c r="G254" s="315"/>
      <c r="H254" s="316" t="s">
        <v>281</v>
      </c>
      <c r="I254" s="313" t="s">
        <v>168</v>
      </c>
      <c r="J254" s="213" t="s">
        <v>447</v>
      </c>
      <c r="K254" s="213"/>
      <c r="L254" s="213"/>
      <c r="M254" s="213" t="s">
        <v>448</v>
      </c>
      <c r="N254" s="216" t="s">
        <v>80</v>
      </c>
      <c r="O254" s="323">
        <v>2</v>
      </c>
      <c r="P254" s="151">
        <f>0</f>
        <v>0</v>
      </c>
      <c r="Q254" s="151">
        <f>0</f>
        <v>0</v>
      </c>
      <c r="R254" s="151">
        <f>0</f>
        <v>0</v>
      </c>
      <c r="S254" s="151">
        <f>0</f>
        <v>0</v>
      </c>
      <c r="T254" s="151">
        <f>0</f>
        <v>0</v>
      </c>
      <c r="U254" s="151">
        <f>0</f>
        <v>0</v>
      </c>
      <c r="V254" s="151">
        <f>0</f>
        <v>0</v>
      </c>
      <c r="W254" s="151">
        <f>0</f>
        <v>0</v>
      </c>
      <c r="X254" s="151">
        <f>0</f>
        <v>0</v>
      </c>
      <c r="Y254" s="151">
        <f>0</f>
        <v>0</v>
      </c>
      <c r="Z254" s="200">
        <f>0</f>
        <v>0</v>
      </c>
      <c r="AA254" s="142">
        <f t="shared" si="9"/>
        <v>2</v>
      </c>
      <c r="AB254" s="123">
        <f>0</f>
        <v>0</v>
      </c>
      <c r="AC254" s="154">
        <f t="shared" si="10"/>
        <v>2</v>
      </c>
      <c r="AD254" s="176" t="s">
        <v>443</v>
      </c>
      <c r="AE254" s="177" t="s">
        <v>239</v>
      </c>
      <c r="AF254" s="84" t="s">
        <v>444</v>
      </c>
      <c r="AG254" s="149" t="s">
        <v>432</v>
      </c>
      <c r="AH254" s="177">
        <v>44874</v>
      </c>
      <c r="AI254" s="85"/>
      <c r="AJ254" s="86">
        <v>10</v>
      </c>
      <c r="AK254" s="179">
        <f t="shared" si="12"/>
        <v>-8</v>
      </c>
      <c r="AL254" s="85" t="s">
        <v>445</v>
      </c>
      <c r="AM254" s="96"/>
      <c r="AN254" s="97"/>
      <c r="AO254" s="180"/>
    </row>
    <row r="255" spans="1:41" s="288" customFormat="1" ht="30.75" customHeight="1">
      <c r="A255" s="225">
        <v>251</v>
      </c>
      <c r="B255" s="234"/>
      <c r="C255" s="307" t="s">
        <v>282</v>
      </c>
      <c r="D255" s="217"/>
      <c r="E255" s="217"/>
      <c r="F255" s="167" t="s">
        <v>296</v>
      </c>
      <c r="G255" s="178" t="s">
        <v>297</v>
      </c>
      <c r="H255" s="308">
        <v>282635</v>
      </c>
      <c r="I255" s="301" t="s">
        <v>184</v>
      </c>
      <c r="J255" s="213"/>
      <c r="K255" s="213"/>
      <c r="L255" s="213"/>
      <c r="M255" s="213"/>
      <c r="N255" s="216"/>
      <c r="O255" s="323">
        <f>0</f>
        <v>0</v>
      </c>
      <c r="P255" s="151">
        <f>0</f>
        <v>0</v>
      </c>
      <c r="Q255" s="151">
        <f>0</f>
        <v>0</v>
      </c>
      <c r="R255" s="151">
        <f>0</f>
        <v>0</v>
      </c>
      <c r="S255" s="151">
        <f>0</f>
        <v>0</v>
      </c>
      <c r="T255" s="151">
        <f>0</f>
        <v>0</v>
      </c>
      <c r="U255" s="151">
        <f>0</f>
        <v>0</v>
      </c>
      <c r="V255" s="151">
        <f>0</f>
        <v>0</v>
      </c>
      <c r="W255" s="151">
        <f>0</f>
        <v>0</v>
      </c>
      <c r="X255" s="151">
        <f>0</f>
        <v>0</v>
      </c>
      <c r="Y255" s="151">
        <f>0</f>
        <v>0</v>
      </c>
      <c r="Z255" s="200">
        <f>0</f>
        <v>0</v>
      </c>
      <c r="AA255" s="142">
        <f t="shared" si="9"/>
        <v>0</v>
      </c>
      <c r="AB255" s="123">
        <v>8</v>
      </c>
      <c r="AC255" s="154">
        <f t="shared" si="10"/>
        <v>-8</v>
      </c>
      <c r="AD255" s="176"/>
      <c r="AE255" s="177"/>
      <c r="AF255" s="84" t="s">
        <v>493</v>
      </c>
      <c r="AG255" s="178"/>
      <c r="AH255" s="177"/>
      <c r="AI255" s="85"/>
      <c r="AJ255" s="86" t="s">
        <v>298</v>
      </c>
      <c r="AK255" s="179" t="e">
        <f t="shared" si="12"/>
        <v>#VALUE!</v>
      </c>
      <c r="AL255" s="85" t="s">
        <v>299</v>
      </c>
      <c r="AM255" s="77"/>
      <c r="AN255" s="87"/>
      <c r="AO255" s="180"/>
    </row>
    <row r="256" spans="1:41" s="288" customFormat="1" ht="30.75" customHeight="1">
      <c r="A256" s="225">
        <v>252</v>
      </c>
      <c r="B256" s="234"/>
      <c r="C256" s="307" t="s">
        <v>424</v>
      </c>
      <c r="D256" s="214"/>
      <c r="E256" s="214"/>
      <c r="F256" s="292" t="s">
        <v>421</v>
      </c>
      <c r="G256" s="293" t="s">
        <v>406</v>
      </c>
      <c r="H256" s="306">
        <v>313095</v>
      </c>
      <c r="I256" s="311" t="s">
        <v>79</v>
      </c>
      <c r="J256" s="213"/>
      <c r="K256" s="213"/>
      <c r="L256" s="213"/>
      <c r="M256" s="213"/>
      <c r="N256" s="216"/>
      <c r="O256" s="323">
        <v>1</v>
      </c>
      <c r="P256" s="151">
        <f>0</f>
        <v>0</v>
      </c>
      <c r="Q256" s="151">
        <f>0</f>
        <v>0</v>
      </c>
      <c r="R256" s="151">
        <f>0</f>
        <v>0</v>
      </c>
      <c r="S256" s="151">
        <f>0</f>
        <v>0</v>
      </c>
      <c r="T256" s="151">
        <f>0</f>
        <v>0</v>
      </c>
      <c r="U256" s="151">
        <f>0</f>
        <v>0</v>
      </c>
      <c r="V256" s="151">
        <f>0</f>
        <v>0</v>
      </c>
      <c r="W256" s="151">
        <f>0</f>
        <v>0</v>
      </c>
      <c r="X256" s="151">
        <f>0</f>
        <v>0</v>
      </c>
      <c r="Y256" s="151">
        <f>0</f>
        <v>0</v>
      </c>
      <c r="Z256" s="200">
        <f>0</f>
        <v>0</v>
      </c>
      <c r="AA256" s="143">
        <f t="shared" si="9"/>
        <v>1</v>
      </c>
      <c r="AB256" s="159">
        <v>0</v>
      </c>
      <c r="AC256" s="169">
        <f t="shared" si="10"/>
        <v>1</v>
      </c>
      <c r="AD256" s="186">
        <v>44854</v>
      </c>
      <c r="AE256" s="187" t="s">
        <v>239</v>
      </c>
      <c r="AF256" s="171" t="s">
        <v>425</v>
      </c>
      <c r="AG256" s="198" t="s">
        <v>428</v>
      </c>
      <c r="AH256" s="187"/>
      <c r="AI256" s="88"/>
      <c r="AJ256" s="89">
        <v>1</v>
      </c>
      <c r="AK256" s="189">
        <f t="shared" si="12"/>
        <v>0</v>
      </c>
      <c r="AL256" s="88" t="s">
        <v>1532</v>
      </c>
      <c r="AM256" s="83"/>
      <c r="AN256" s="90"/>
      <c r="AO256" s="190"/>
    </row>
    <row r="257" spans="1:41" s="288" customFormat="1" ht="30.75" customHeight="1">
      <c r="A257" s="233">
        <v>253</v>
      </c>
      <c r="B257" s="234"/>
      <c r="C257" s="307" t="s">
        <v>424</v>
      </c>
      <c r="D257" s="130"/>
      <c r="E257" s="213"/>
      <c r="F257" s="513" t="s">
        <v>91</v>
      </c>
      <c r="G257" s="517" t="s">
        <v>92</v>
      </c>
      <c r="H257" s="313" t="s">
        <v>93</v>
      </c>
      <c r="I257" s="313" t="s">
        <v>79</v>
      </c>
      <c r="J257" s="213"/>
      <c r="K257" s="213"/>
      <c r="L257" s="213"/>
      <c r="M257" s="213"/>
      <c r="N257" s="216"/>
      <c r="O257" s="323">
        <v>7</v>
      </c>
      <c r="P257" s="151">
        <f>0</f>
        <v>0</v>
      </c>
      <c r="Q257" s="151">
        <f>0</f>
        <v>0</v>
      </c>
      <c r="R257" s="151">
        <f>0</f>
        <v>0</v>
      </c>
      <c r="S257" s="151">
        <f>0</f>
        <v>0</v>
      </c>
      <c r="T257" s="151">
        <f>0</f>
        <v>0</v>
      </c>
      <c r="U257" s="151">
        <f>0</f>
        <v>0</v>
      </c>
      <c r="V257" s="151">
        <f>0</f>
        <v>0</v>
      </c>
      <c r="W257" s="151">
        <f>0</f>
        <v>0</v>
      </c>
      <c r="X257" s="151">
        <f>0</f>
        <v>0</v>
      </c>
      <c r="Y257" s="151">
        <f>0</f>
        <v>0</v>
      </c>
      <c r="Z257" s="200">
        <f>0</f>
        <v>0</v>
      </c>
      <c r="AA257" s="142">
        <f t="shared" si="9"/>
        <v>7</v>
      </c>
      <c r="AB257" s="144">
        <v>8</v>
      </c>
      <c r="AC257" s="154">
        <f t="shared" si="10"/>
        <v>-1</v>
      </c>
      <c r="AD257" s="176">
        <v>44854</v>
      </c>
      <c r="AE257" s="177" t="s">
        <v>239</v>
      </c>
      <c r="AF257" s="84" t="s">
        <v>426</v>
      </c>
      <c r="AG257" s="178"/>
      <c r="AH257" s="177"/>
      <c r="AI257" s="85"/>
      <c r="AJ257" s="86"/>
      <c r="AK257" s="179">
        <f t="shared" si="12"/>
        <v>-1</v>
      </c>
      <c r="AL257" s="85"/>
      <c r="AM257" s="77"/>
      <c r="AN257" s="87"/>
      <c r="AO257" s="180"/>
    </row>
    <row r="258" spans="1:41" s="288" customFormat="1" ht="30.75" customHeight="1">
      <c r="A258" s="225">
        <v>254</v>
      </c>
      <c r="B258" s="234"/>
      <c r="C258" s="307" t="s">
        <v>239</v>
      </c>
      <c r="D258" s="217"/>
      <c r="E258" s="217"/>
      <c r="F258" s="167" t="s">
        <v>477</v>
      </c>
      <c r="G258" s="178" t="s">
        <v>478</v>
      </c>
      <c r="H258" s="308" t="s">
        <v>478</v>
      </c>
      <c r="I258" s="301" t="s">
        <v>479</v>
      </c>
      <c r="J258" s="213"/>
      <c r="K258" s="213"/>
      <c r="L258" s="213"/>
      <c r="M258" s="213"/>
      <c r="N258" s="216"/>
      <c r="O258" s="323">
        <v>2</v>
      </c>
      <c r="P258" s="151">
        <f>0</f>
        <v>0</v>
      </c>
      <c r="Q258" s="151">
        <f>0</f>
        <v>0</v>
      </c>
      <c r="R258" s="151">
        <f>0</f>
        <v>0</v>
      </c>
      <c r="S258" s="151">
        <f>0</f>
        <v>0</v>
      </c>
      <c r="T258" s="151">
        <f>0</f>
        <v>0</v>
      </c>
      <c r="U258" s="151">
        <f>0</f>
        <v>0</v>
      </c>
      <c r="V258" s="151">
        <f>0</f>
        <v>0</v>
      </c>
      <c r="W258" s="151">
        <f>0</f>
        <v>0</v>
      </c>
      <c r="X258" s="151">
        <f>0</f>
        <v>0</v>
      </c>
      <c r="Y258" s="151">
        <f>0</f>
        <v>0</v>
      </c>
      <c r="Z258" s="200">
        <f>0</f>
        <v>0</v>
      </c>
      <c r="AA258" s="174">
        <f t="shared" si="9"/>
        <v>2</v>
      </c>
      <c r="AB258" s="175">
        <v>2</v>
      </c>
      <c r="AC258" s="172">
        <f t="shared" si="10"/>
        <v>0</v>
      </c>
      <c r="AD258" s="176"/>
      <c r="AE258" s="177" t="s">
        <v>239</v>
      </c>
      <c r="AF258" s="368" t="s">
        <v>485</v>
      </c>
      <c r="AG258" s="178"/>
      <c r="AH258" s="177"/>
      <c r="AI258" s="85"/>
      <c r="AJ258" s="86">
        <v>2</v>
      </c>
      <c r="AK258" s="179">
        <f t="shared" si="12"/>
        <v>-2</v>
      </c>
      <c r="AL258" s="85" t="s">
        <v>580</v>
      </c>
      <c r="AM258" s="77"/>
      <c r="AN258" s="87"/>
      <c r="AO258" s="180"/>
    </row>
    <row r="259" spans="1:41" s="288" customFormat="1" ht="30.75" customHeight="1">
      <c r="A259" s="225">
        <v>255</v>
      </c>
      <c r="B259" s="234"/>
      <c r="C259" s="307" t="s">
        <v>239</v>
      </c>
      <c r="D259" s="217"/>
      <c r="E259" s="276"/>
      <c r="F259" s="167" t="s">
        <v>480</v>
      </c>
      <c r="G259" s="178" t="s">
        <v>497</v>
      </c>
      <c r="H259" s="178" t="s">
        <v>497</v>
      </c>
      <c r="I259" s="301" t="s">
        <v>479</v>
      </c>
      <c r="J259" s="213"/>
      <c r="K259" s="213"/>
      <c r="L259" s="213"/>
      <c r="M259" s="213"/>
      <c r="N259" s="216"/>
      <c r="O259" s="323">
        <v>2</v>
      </c>
      <c r="P259" s="151">
        <f>0</f>
        <v>0</v>
      </c>
      <c r="Q259" s="151">
        <f>0</f>
        <v>0</v>
      </c>
      <c r="R259" s="151">
        <f>0</f>
        <v>0</v>
      </c>
      <c r="S259" s="151">
        <f>0</f>
        <v>0</v>
      </c>
      <c r="T259" s="151">
        <f>0</f>
        <v>0</v>
      </c>
      <c r="U259" s="151">
        <f>0</f>
        <v>0</v>
      </c>
      <c r="V259" s="151">
        <f>0</f>
        <v>0</v>
      </c>
      <c r="W259" s="151">
        <f>0</f>
        <v>0</v>
      </c>
      <c r="X259" s="151">
        <f>0</f>
        <v>0</v>
      </c>
      <c r="Y259" s="151">
        <f>0</f>
        <v>0</v>
      </c>
      <c r="Z259" s="200">
        <f>0</f>
        <v>0</v>
      </c>
      <c r="AA259" s="174">
        <f t="shared" si="9"/>
        <v>2</v>
      </c>
      <c r="AB259" s="175">
        <v>3</v>
      </c>
      <c r="AC259" s="172">
        <f t="shared" si="10"/>
        <v>-1</v>
      </c>
      <c r="AD259" s="176">
        <v>44976</v>
      </c>
      <c r="AE259" s="177" t="s">
        <v>239</v>
      </c>
      <c r="AF259" s="551" t="s">
        <v>44</v>
      </c>
      <c r="AG259" s="178"/>
      <c r="AH259" s="177"/>
      <c r="AI259" s="85"/>
      <c r="AJ259" s="86" t="s">
        <v>284</v>
      </c>
      <c r="AK259" s="179" t="e">
        <f t="shared" si="12"/>
        <v>#VALUE!</v>
      </c>
      <c r="AL259" s="85" t="s">
        <v>1418</v>
      </c>
      <c r="AM259" s="77"/>
      <c r="AN259" s="87"/>
      <c r="AO259" s="180"/>
    </row>
    <row r="260" spans="1:41" s="288" customFormat="1" ht="30.75" customHeight="1">
      <c r="A260" s="225">
        <v>259</v>
      </c>
      <c r="B260" s="234"/>
      <c r="C260" s="307" t="s">
        <v>239</v>
      </c>
      <c r="D260" s="217"/>
      <c r="E260" s="217"/>
      <c r="F260" s="167" t="s">
        <v>206</v>
      </c>
      <c r="G260" s="178" t="s">
        <v>207</v>
      </c>
      <c r="H260" s="308" t="s">
        <v>207</v>
      </c>
      <c r="I260" s="301" t="s">
        <v>479</v>
      </c>
      <c r="J260" s="213"/>
      <c r="K260" s="213"/>
      <c r="L260" s="213"/>
      <c r="M260" s="213"/>
      <c r="N260" s="216"/>
      <c r="O260" s="323">
        <v>2</v>
      </c>
      <c r="P260" s="151">
        <f>0</f>
        <v>0</v>
      </c>
      <c r="Q260" s="151">
        <f>0</f>
        <v>0</v>
      </c>
      <c r="R260" s="151">
        <f>0</f>
        <v>0</v>
      </c>
      <c r="S260" s="151">
        <f>0</f>
        <v>0</v>
      </c>
      <c r="T260" s="151">
        <f>0</f>
        <v>0</v>
      </c>
      <c r="U260" s="151">
        <f>0</f>
        <v>0</v>
      </c>
      <c r="V260" s="151">
        <f>0</f>
        <v>0</v>
      </c>
      <c r="W260" s="151">
        <f>0</f>
        <v>0</v>
      </c>
      <c r="X260" s="151">
        <f>0</f>
        <v>0</v>
      </c>
      <c r="Y260" s="151">
        <f>0</f>
        <v>0</v>
      </c>
      <c r="Z260" s="200">
        <f>0</f>
        <v>0</v>
      </c>
      <c r="AA260" s="174">
        <f t="shared" si="9"/>
        <v>2</v>
      </c>
      <c r="AB260" s="175">
        <v>2</v>
      </c>
      <c r="AC260" s="172">
        <f t="shared" si="10"/>
        <v>0</v>
      </c>
      <c r="AD260" s="176"/>
      <c r="AE260" s="177" t="s">
        <v>239</v>
      </c>
      <c r="AF260" s="164"/>
      <c r="AG260" s="178"/>
      <c r="AH260" s="177"/>
      <c r="AI260" s="85"/>
      <c r="AJ260" s="86" t="s">
        <v>295</v>
      </c>
      <c r="AK260" s="179" t="e">
        <f t="shared" si="12"/>
        <v>#VALUE!</v>
      </c>
      <c r="AL260" s="85" t="s">
        <v>1299</v>
      </c>
      <c r="AM260" s="77"/>
      <c r="AN260" s="87"/>
      <c r="AO260" s="180"/>
    </row>
    <row r="261" spans="1:41" s="288" customFormat="1" ht="30.75" customHeight="1">
      <c r="A261" s="225">
        <v>260</v>
      </c>
      <c r="B261" s="234"/>
      <c r="C261" s="307" t="s">
        <v>239</v>
      </c>
      <c r="D261" s="217"/>
      <c r="E261" s="217"/>
      <c r="F261" s="167" t="s">
        <v>208</v>
      </c>
      <c r="G261" s="178" t="s">
        <v>209</v>
      </c>
      <c r="H261" s="308" t="s">
        <v>209</v>
      </c>
      <c r="I261" s="301" t="s">
        <v>479</v>
      </c>
      <c r="J261" s="213"/>
      <c r="K261" s="213"/>
      <c r="L261" s="213"/>
      <c r="M261" s="213"/>
      <c r="N261" s="216"/>
      <c r="O261" s="323">
        <v>1</v>
      </c>
      <c r="P261" s="151">
        <f>0</f>
        <v>0</v>
      </c>
      <c r="Q261" s="151">
        <f>0</f>
        <v>0</v>
      </c>
      <c r="R261" s="151">
        <f>0</f>
        <v>0</v>
      </c>
      <c r="S261" s="151">
        <f>0</f>
        <v>0</v>
      </c>
      <c r="T261" s="151">
        <f>0</f>
        <v>0</v>
      </c>
      <c r="U261" s="151">
        <f>0</f>
        <v>0</v>
      </c>
      <c r="V261" s="151">
        <f>0</f>
        <v>0</v>
      </c>
      <c r="W261" s="151">
        <f>0</f>
        <v>0</v>
      </c>
      <c r="X261" s="151">
        <f>0</f>
        <v>0</v>
      </c>
      <c r="Y261" s="151">
        <f>0</f>
        <v>0</v>
      </c>
      <c r="Z261" s="200">
        <f>0</f>
        <v>0</v>
      </c>
      <c r="AA261" s="174">
        <f t="shared" si="9"/>
        <v>1</v>
      </c>
      <c r="AB261" s="175">
        <v>1</v>
      </c>
      <c r="AC261" s="172">
        <f t="shared" si="10"/>
        <v>0</v>
      </c>
      <c r="AD261" s="176">
        <v>44906</v>
      </c>
      <c r="AE261" s="177" t="s">
        <v>239</v>
      </c>
      <c r="AF261" s="164"/>
      <c r="AG261" s="178"/>
      <c r="AH261" s="177"/>
      <c r="AI261" s="85"/>
      <c r="AJ261" s="86" t="s">
        <v>284</v>
      </c>
      <c r="AK261" s="179" t="e">
        <f t="shared" si="12"/>
        <v>#VALUE!</v>
      </c>
      <c r="AL261" s="85" t="s">
        <v>502</v>
      </c>
      <c r="AM261" s="77"/>
      <c r="AN261" s="87"/>
      <c r="AO261" s="180"/>
    </row>
    <row r="262" spans="1:41" s="289" customFormat="1" ht="30.75" customHeight="1">
      <c r="A262" s="233">
        <v>261</v>
      </c>
      <c r="B262" s="234"/>
      <c r="C262" s="307" t="s">
        <v>239</v>
      </c>
      <c r="D262" s="214"/>
      <c r="E262" s="214"/>
      <c r="F262" s="222" t="s">
        <v>210</v>
      </c>
      <c r="G262" s="188" t="s">
        <v>211</v>
      </c>
      <c r="H262" s="309" t="s">
        <v>211</v>
      </c>
      <c r="I262" s="301" t="s">
        <v>479</v>
      </c>
      <c r="J262" s="213"/>
      <c r="K262" s="213"/>
      <c r="L262" s="213"/>
      <c r="M262" s="213"/>
      <c r="N262" s="216"/>
      <c r="O262" s="391">
        <v>1</v>
      </c>
      <c r="P262" s="77">
        <f>0</f>
        <v>0</v>
      </c>
      <c r="Q262" s="77">
        <f>0</f>
        <v>0</v>
      </c>
      <c r="R262" s="77">
        <f>0</f>
        <v>0</v>
      </c>
      <c r="S262" s="77">
        <f>0</f>
        <v>0</v>
      </c>
      <c r="T262" s="77">
        <f>0</f>
        <v>0</v>
      </c>
      <c r="U262" s="77">
        <f>0</f>
        <v>0</v>
      </c>
      <c r="V262" s="77">
        <f>0</f>
        <v>0</v>
      </c>
      <c r="W262" s="77">
        <f>0</f>
        <v>0</v>
      </c>
      <c r="X262" s="77">
        <f>0</f>
        <v>0</v>
      </c>
      <c r="Y262" s="77">
        <f>0</f>
        <v>0</v>
      </c>
      <c r="Z262" s="392">
        <f>0</f>
        <v>0</v>
      </c>
      <c r="AA262" s="132">
        <f t="shared" ref="AA262:AA325" si="13">SUM(O262:Z262)</f>
        <v>1</v>
      </c>
      <c r="AB262" s="160">
        <v>0</v>
      </c>
      <c r="AC262" s="161">
        <f t="shared" ref="AC262:AC325" si="14">AA262-AB262</f>
        <v>1</v>
      </c>
      <c r="AD262" s="176" t="s">
        <v>1588</v>
      </c>
      <c r="AE262" s="177" t="s">
        <v>239</v>
      </c>
      <c r="AF262" s="369"/>
      <c r="AG262" s="369" t="s">
        <v>1393</v>
      </c>
      <c r="AH262" s="187"/>
      <c r="AI262" s="88" t="s">
        <v>1438</v>
      </c>
      <c r="AJ262" s="89">
        <v>1</v>
      </c>
      <c r="AK262" s="189">
        <f t="shared" si="12"/>
        <v>0</v>
      </c>
      <c r="AL262" s="88" t="s">
        <v>1606</v>
      </c>
      <c r="AM262" s="83"/>
      <c r="AN262" s="90"/>
      <c r="AO262" s="190"/>
    </row>
    <row r="263" spans="1:41" s="288" customFormat="1" ht="30.75" customHeight="1">
      <c r="A263" s="225">
        <v>262</v>
      </c>
      <c r="B263" s="234"/>
      <c r="C263" s="235" t="s">
        <v>239</v>
      </c>
      <c r="D263" s="214"/>
      <c r="E263" s="214"/>
      <c r="F263" s="222" t="s">
        <v>212</v>
      </c>
      <c r="G263" s="188" t="s">
        <v>213</v>
      </c>
      <c r="H263" s="309" t="s">
        <v>213</v>
      </c>
      <c r="I263" s="301" t="s">
        <v>479</v>
      </c>
      <c r="J263" s="213"/>
      <c r="K263" s="213"/>
      <c r="L263" s="213"/>
      <c r="M263" s="213"/>
      <c r="N263" s="224"/>
      <c r="O263" s="391">
        <v>1</v>
      </c>
      <c r="P263" s="77">
        <f>0</f>
        <v>0</v>
      </c>
      <c r="Q263" s="77">
        <f>0</f>
        <v>0</v>
      </c>
      <c r="R263" s="77">
        <f>0</f>
        <v>0</v>
      </c>
      <c r="S263" s="77">
        <f>0</f>
        <v>0</v>
      </c>
      <c r="T263" s="77">
        <f>0</f>
        <v>0</v>
      </c>
      <c r="U263" s="77">
        <f>0</f>
        <v>0</v>
      </c>
      <c r="V263" s="77">
        <f>0</f>
        <v>0</v>
      </c>
      <c r="W263" s="77">
        <f>0</f>
        <v>0</v>
      </c>
      <c r="X263" s="77">
        <f>0</f>
        <v>0</v>
      </c>
      <c r="Y263" s="77">
        <f>0</f>
        <v>0</v>
      </c>
      <c r="Z263" s="392">
        <f>0</f>
        <v>0</v>
      </c>
      <c r="AA263" s="132">
        <f t="shared" si="13"/>
        <v>1</v>
      </c>
      <c r="AB263" s="160">
        <v>1</v>
      </c>
      <c r="AC263" s="161">
        <f t="shared" si="14"/>
        <v>0</v>
      </c>
      <c r="AD263" s="186"/>
      <c r="AE263" s="177" t="s">
        <v>239</v>
      </c>
      <c r="AF263" s="369"/>
      <c r="AG263" s="188"/>
      <c r="AH263" s="187"/>
      <c r="AI263" s="88"/>
      <c r="AJ263" s="89" t="s">
        <v>284</v>
      </c>
      <c r="AK263" s="189" t="e">
        <f t="shared" si="12"/>
        <v>#VALUE!</v>
      </c>
      <c r="AL263" s="88" t="s">
        <v>1421</v>
      </c>
      <c r="AM263" s="83"/>
      <c r="AN263" s="90"/>
      <c r="AO263" s="190"/>
    </row>
    <row r="264" spans="1:41" s="289" customFormat="1" ht="30.75" customHeight="1">
      <c r="A264" s="225">
        <v>263</v>
      </c>
      <c r="B264" s="234"/>
      <c r="C264" s="307" t="s">
        <v>239</v>
      </c>
      <c r="D264" s="217"/>
      <c r="E264" s="217"/>
      <c r="F264" s="167" t="s">
        <v>214</v>
      </c>
      <c r="G264" s="178" t="s">
        <v>215</v>
      </c>
      <c r="H264" s="308" t="s">
        <v>215</v>
      </c>
      <c r="I264" s="301" t="s">
        <v>479</v>
      </c>
      <c r="J264" s="213"/>
      <c r="K264" s="213"/>
      <c r="L264" s="213"/>
      <c r="M264" s="213"/>
      <c r="N264" s="216"/>
      <c r="O264" s="391">
        <v>2</v>
      </c>
      <c r="P264" s="77">
        <f>0</f>
        <v>0</v>
      </c>
      <c r="Q264" s="77">
        <f>0</f>
        <v>0</v>
      </c>
      <c r="R264" s="77">
        <f>0</f>
        <v>0</v>
      </c>
      <c r="S264" s="77">
        <f>0</f>
        <v>0</v>
      </c>
      <c r="T264" s="77">
        <f>0</f>
        <v>0</v>
      </c>
      <c r="U264" s="77">
        <f>0</f>
        <v>0</v>
      </c>
      <c r="V264" s="77">
        <f>0</f>
        <v>0</v>
      </c>
      <c r="W264" s="77">
        <f>0</f>
        <v>0</v>
      </c>
      <c r="X264" s="77">
        <f>0</f>
        <v>0</v>
      </c>
      <c r="Y264" s="77">
        <f>0</f>
        <v>0</v>
      </c>
      <c r="Z264" s="392">
        <f>0</f>
        <v>0</v>
      </c>
      <c r="AA264" s="174">
        <f t="shared" si="13"/>
        <v>2</v>
      </c>
      <c r="AB264" s="175">
        <v>1</v>
      </c>
      <c r="AC264" s="172">
        <f t="shared" si="14"/>
        <v>1</v>
      </c>
      <c r="AD264" s="176" t="s">
        <v>1588</v>
      </c>
      <c r="AE264" s="177" t="s">
        <v>239</v>
      </c>
      <c r="AF264" s="164"/>
      <c r="AG264" s="164" t="s">
        <v>1415</v>
      </c>
      <c r="AH264" s="177"/>
      <c r="AI264" s="88" t="s">
        <v>1438</v>
      </c>
      <c r="AJ264" s="86" t="s">
        <v>1455</v>
      </c>
      <c r="AK264" s="179" t="e">
        <f t="shared" si="12"/>
        <v>#VALUE!</v>
      </c>
      <c r="AL264" s="85" t="s">
        <v>1607</v>
      </c>
      <c r="AM264" s="77"/>
      <c r="AN264" s="87"/>
      <c r="AO264" s="180"/>
    </row>
    <row r="265" spans="1:41" s="289" customFormat="1" ht="30.75" customHeight="1">
      <c r="A265" s="225">
        <v>264</v>
      </c>
      <c r="B265" s="234"/>
      <c r="C265" s="307" t="s">
        <v>239</v>
      </c>
      <c r="D265" s="217"/>
      <c r="E265" s="217"/>
      <c r="F265" s="167" t="s">
        <v>216</v>
      </c>
      <c r="G265" s="178" t="s">
        <v>217</v>
      </c>
      <c r="H265" s="308" t="s">
        <v>217</v>
      </c>
      <c r="I265" s="301" t="s">
        <v>479</v>
      </c>
      <c r="J265" s="213"/>
      <c r="K265" s="213"/>
      <c r="L265" s="213"/>
      <c r="M265" s="213"/>
      <c r="N265" s="224"/>
      <c r="O265" s="391">
        <v>1</v>
      </c>
      <c r="P265" s="77">
        <f>0</f>
        <v>0</v>
      </c>
      <c r="Q265" s="77">
        <f>0</f>
        <v>0</v>
      </c>
      <c r="R265" s="77">
        <f>0</f>
        <v>0</v>
      </c>
      <c r="S265" s="77">
        <f>0</f>
        <v>0</v>
      </c>
      <c r="T265" s="77">
        <f>0</f>
        <v>0</v>
      </c>
      <c r="U265" s="77">
        <f>0</f>
        <v>0</v>
      </c>
      <c r="V265" s="77">
        <f>0</f>
        <v>0</v>
      </c>
      <c r="W265" s="77">
        <f>0</f>
        <v>0</v>
      </c>
      <c r="X265" s="77">
        <f>0</f>
        <v>0</v>
      </c>
      <c r="Y265" s="77">
        <f>0</f>
        <v>0</v>
      </c>
      <c r="Z265" s="392">
        <f>0</f>
        <v>0</v>
      </c>
      <c r="AA265" s="174">
        <f t="shared" si="13"/>
        <v>1</v>
      </c>
      <c r="AB265" s="175">
        <v>0</v>
      </c>
      <c r="AC265" s="172">
        <f t="shared" si="14"/>
        <v>1</v>
      </c>
      <c r="AD265" s="176" t="s">
        <v>1588</v>
      </c>
      <c r="AE265" s="177" t="s">
        <v>239</v>
      </c>
      <c r="AF265" s="164"/>
      <c r="AG265" s="178"/>
      <c r="AH265" s="177"/>
      <c r="AI265" s="88" t="s">
        <v>1438</v>
      </c>
      <c r="AJ265" s="86">
        <v>1</v>
      </c>
      <c r="AK265" s="179">
        <f t="shared" si="12"/>
        <v>0</v>
      </c>
      <c r="AL265" s="85" t="s">
        <v>1606</v>
      </c>
      <c r="AM265" s="77"/>
      <c r="AN265" s="87"/>
      <c r="AO265" s="180"/>
    </row>
    <row r="266" spans="1:41" s="288" customFormat="1" ht="55.5" customHeight="1">
      <c r="A266" s="233">
        <v>265</v>
      </c>
      <c r="B266" s="234"/>
      <c r="C266" s="307" t="s">
        <v>239</v>
      </c>
      <c r="D266" s="217"/>
      <c r="E266" s="217"/>
      <c r="F266" s="167" t="s">
        <v>235</v>
      </c>
      <c r="G266" s="178" t="s">
        <v>236</v>
      </c>
      <c r="H266" s="308" t="s">
        <v>236</v>
      </c>
      <c r="I266" s="301" t="s">
        <v>479</v>
      </c>
      <c r="J266" s="213"/>
      <c r="K266" s="213"/>
      <c r="L266" s="213"/>
      <c r="M266" s="213"/>
      <c r="N266" s="216"/>
      <c r="O266" s="323">
        <v>4</v>
      </c>
      <c r="P266" s="151">
        <f>0</f>
        <v>0</v>
      </c>
      <c r="Q266" s="151">
        <f>0</f>
        <v>0</v>
      </c>
      <c r="R266" s="151">
        <f>0</f>
        <v>0</v>
      </c>
      <c r="S266" s="151">
        <f>0</f>
        <v>0</v>
      </c>
      <c r="T266" s="151">
        <f>0</f>
        <v>0</v>
      </c>
      <c r="U266" s="151">
        <f>0</f>
        <v>0</v>
      </c>
      <c r="V266" s="151">
        <f>0</f>
        <v>0</v>
      </c>
      <c r="W266" s="151">
        <f>0</f>
        <v>0</v>
      </c>
      <c r="X266" s="151">
        <f>0</f>
        <v>0</v>
      </c>
      <c r="Y266" s="151">
        <f>0</f>
        <v>0</v>
      </c>
      <c r="Z266" s="200">
        <f>0</f>
        <v>0</v>
      </c>
      <c r="AA266" s="174">
        <f t="shared" si="13"/>
        <v>4</v>
      </c>
      <c r="AB266" s="175">
        <v>4</v>
      </c>
      <c r="AC266" s="172">
        <f t="shared" si="14"/>
        <v>0</v>
      </c>
      <c r="AD266" s="176">
        <v>44906</v>
      </c>
      <c r="AE266" s="177" t="s">
        <v>239</v>
      </c>
      <c r="AF266" s="164" t="s">
        <v>496</v>
      </c>
      <c r="AG266" s="178"/>
      <c r="AH266" s="177"/>
      <c r="AI266" s="85"/>
      <c r="AJ266" s="86" t="s">
        <v>1293</v>
      </c>
      <c r="AK266" s="179" t="e">
        <f t="shared" si="12"/>
        <v>#VALUE!</v>
      </c>
      <c r="AL266" s="85" t="s">
        <v>1294</v>
      </c>
      <c r="AM266" s="77"/>
      <c r="AN266" s="87"/>
      <c r="AO266" s="180"/>
    </row>
    <row r="267" spans="1:41" s="288" customFormat="1" ht="30.75" customHeight="1">
      <c r="A267" s="225">
        <v>266</v>
      </c>
      <c r="B267" s="234"/>
      <c r="C267" s="307" t="s">
        <v>239</v>
      </c>
      <c r="D267" s="217"/>
      <c r="E267" s="276"/>
      <c r="F267" s="167" t="s">
        <v>481</v>
      </c>
      <c r="G267" s="178" t="s">
        <v>482</v>
      </c>
      <c r="H267" s="308" t="s">
        <v>482</v>
      </c>
      <c r="I267" s="301" t="s">
        <v>479</v>
      </c>
      <c r="J267" s="213"/>
      <c r="K267" s="213"/>
      <c r="L267" s="213"/>
      <c r="M267" s="213"/>
      <c r="N267" s="224"/>
      <c r="O267" s="323">
        <v>4</v>
      </c>
      <c r="P267" s="151">
        <f>0</f>
        <v>0</v>
      </c>
      <c r="Q267" s="151">
        <f>0</f>
        <v>0</v>
      </c>
      <c r="R267" s="151">
        <f>0</f>
        <v>0</v>
      </c>
      <c r="S267" s="151">
        <f>0</f>
        <v>0</v>
      </c>
      <c r="T267" s="151">
        <f>0</f>
        <v>0</v>
      </c>
      <c r="U267" s="151">
        <f>0</f>
        <v>0</v>
      </c>
      <c r="V267" s="151">
        <f>0</f>
        <v>0</v>
      </c>
      <c r="W267" s="151">
        <f>0</f>
        <v>0</v>
      </c>
      <c r="X267" s="151">
        <f>0</f>
        <v>0</v>
      </c>
      <c r="Y267" s="151">
        <f>0</f>
        <v>0</v>
      </c>
      <c r="Z267" s="200">
        <f>0</f>
        <v>0</v>
      </c>
      <c r="AA267" s="174">
        <f t="shared" si="13"/>
        <v>4</v>
      </c>
      <c r="AB267" s="175">
        <v>4</v>
      </c>
      <c r="AC267" s="172">
        <f t="shared" si="14"/>
        <v>0</v>
      </c>
      <c r="AD267" s="176">
        <v>44976</v>
      </c>
      <c r="AE267" s="177" t="s">
        <v>239</v>
      </c>
      <c r="AF267" s="164" t="s">
        <v>1426</v>
      </c>
      <c r="AG267" s="178"/>
      <c r="AH267" s="177"/>
      <c r="AI267" s="85"/>
      <c r="AJ267" s="86">
        <v>4</v>
      </c>
      <c r="AK267" s="179">
        <f t="shared" si="12"/>
        <v>-4</v>
      </c>
      <c r="AL267" s="85" t="s">
        <v>1490</v>
      </c>
      <c r="AM267" s="77"/>
      <c r="AN267" s="87"/>
      <c r="AO267" s="180"/>
    </row>
    <row r="268" spans="1:41" s="288" customFormat="1" ht="30.75" customHeight="1">
      <c r="A268" s="225">
        <v>267</v>
      </c>
      <c r="B268" s="234"/>
      <c r="C268" s="307" t="s">
        <v>239</v>
      </c>
      <c r="D268" s="217"/>
      <c r="E268" s="217"/>
      <c r="F268" s="167" t="s">
        <v>483</v>
      </c>
      <c r="G268" s="178" t="s">
        <v>484</v>
      </c>
      <c r="H268" s="308" t="s">
        <v>484</v>
      </c>
      <c r="I268" s="301" t="s">
        <v>479</v>
      </c>
      <c r="J268" s="213"/>
      <c r="K268" s="213"/>
      <c r="L268" s="213"/>
      <c r="M268" s="213"/>
      <c r="N268" s="216"/>
      <c r="O268" s="323">
        <v>4</v>
      </c>
      <c r="P268" s="151">
        <f>0</f>
        <v>0</v>
      </c>
      <c r="Q268" s="151">
        <f>0</f>
        <v>0</v>
      </c>
      <c r="R268" s="151">
        <f>0</f>
        <v>0</v>
      </c>
      <c r="S268" s="151">
        <f>0</f>
        <v>0</v>
      </c>
      <c r="T268" s="151">
        <f>0</f>
        <v>0</v>
      </c>
      <c r="U268" s="151">
        <f>0</f>
        <v>0</v>
      </c>
      <c r="V268" s="151">
        <f>0</f>
        <v>0</v>
      </c>
      <c r="W268" s="151">
        <f>0</f>
        <v>0</v>
      </c>
      <c r="X268" s="151">
        <f>0</f>
        <v>0</v>
      </c>
      <c r="Y268" s="151">
        <f>0</f>
        <v>0</v>
      </c>
      <c r="Z268" s="200">
        <f>0</f>
        <v>0</v>
      </c>
      <c r="AA268" s="174">
        <f t="shared" si="13"/>
        <v>4</v>
      </c>
      <c r="AB268" s="175">
        <v>0</v>
      </c>
      <c r="AC268" s="172">
        <f t="shared" si="14"/>
        <v>4</v>
      </c>
      <c r="AD268" s="176">
        <v>44906</v>
      </c>
      <c r="AE268" s="177" t="s">
        <v>239</v>
      </c>
      <c r="AF268" s="164" t="s">
        <v>292</v>
      </c>
      <c r="AG268" s="178"/>
      <c r="AH268" s="177"/>
      <c r="AI268" s="85"/>
      <c r="AJ268" s="86"/>
      <c r="AK268" s="179">
        <f t="shared" si="12"/>
        <v>4</v>
      </c>
      <c r="AL268" s="85"/>
      <c r="AM268" s="77"/>
      <c r="AN268" s="87"/>
      <c r="AO268" s="180"/>
    </row>
    <row r="269" spans="1:41" s="288" customFormat="1" ht="30.75" customHeight="1">
      <c r="A269" s="233">
        <v>269</v>
      </c>
      <c r="B269" s="234"/>
      <c r="C269" s="307" t="s">
        <v>239</v>
      </c>
      <c r="D269" s="217"/>
      <c r="E269" s="217"/>
      <c r="F269" s="167" t="s">
        <v>208</v>
      </c>
      <c r="G269" s="178" t="s">
        <v>242</v>
      </c>
      <c r="H269" s="308" t="s">
        <v>242</v>
      </c>
      <c r="I269" s="301" t="s">
        <v>479</v>
      </c>
      <c r="J269" s="213"/>
      <c r="K269" s="213"/>
      <c r="L269" s="213"/>
      <c r="M269" s="213"/>
      <c r="N269" s="216"/>
      <c r="O269" s="323">
        <v>1</v>
      </c>
      <c r="P269" s="151">
        <f>0</f>
        <v>0</v>
      </c>
      <c r="Q269" s="151">
        <f>0</f>
        <v>0</v>
      </c>
      <c r="R269" s="151">
        <f>0</f>
        <v>0</v>
      </c>
      <c r="S269" s="151">
        <f>0</f>
        <v>0</v>
      </c>
      <c r="T269" s="151">
        <f>0</f>
        <v>0</v>
      </c>
      <c r="U269" s="151">
        <f>0</f>
        <v>0</v>
      </c>
      <c r="V269" s="151">
        <f>0</f>
        <v>0</v>
      </c>
      <c r="W269" s="151">
        <f>0</f>
        <v>0</v>
      </c>
      <c r="X269" s="151">
        <f>0</f>
        <v>0</v>
      </c>
      <c r="Y269" s="151">
        <f>0</f>
        <v>0</v>
      </c>
      <c r="Z269" s="200">
        <f>0</f>
        <v>0</v>
      </c>
      <c r="AA269" s="174">
        <f t="shared" si="13"/>
        <v>1</v>
      </c>
      <c r="AB269" s="175">
        <v>1</v>
      </c>
      <c r="AC269" s="172">
        <f t="shared" si="14"/>
        <v>0</v>
      </c>
      <c r="AD269" s="176">
        <v>44906</v>
      </c>
      <c r="AE269" s="177" t="s">
        <v>239</v>
      </c>
      <c r="AF269" s="164" t="s">
        <v>495</v>
      </c>
      <c r="AG269" s="178"/>
      <c r="AH269" s="177"/>
      <c r="AI269" s="85"/>
      <c r="AJ269" s="86" t="s">
        <v>284</v>
      </c>
      <c r="AK269" s="179" t="e">
        <f t="shared" si="12"/>
        <v>#VALUE!</v>
      </c>
      <c r="AL269" s="85" t="s">
        <v>502</v>
      </c>
      <c r="AM269" s="77"/>
      <c r="AN269" s="87"/>
      <c r="AO269" s="180"/>
    </row>
    <row r="270" spans="1:41" s="288" customFormat="1" ht="30.75" customHeight="1">
      <c r="A270" s="225">
        <v>270</v>
      </c>
      <c r="B270" s="234"/>
      <c r="C270" s="307" t="s">
        <v>239</v>
      </c>
      <c r="D270" s="217"/>
      <c r="E270" s="217"/>
      <c r="F270" s="167" t="s">
        <v>243</v>
      </c>
      <c r="G270" s="178" t="s">
        <v>244</v>
      </c>
      <c r="H270" s="308" t="s">
        <v>244</v>
      </c>
      <c r="I270" s="301" t="s">
        <v>479</v>
      </c>
      <c r="J270" s="213"/>
      <c r="K270" s="213"/>
      <c r="L270" s="213"/>
      <c r="M270" s="213"/>
      <c r="N270" s="224"/>
      <c r="O270" s="323">
        <v>1</v>
      </c>
      <c r="P270" s="151">
        <f>0</f>
        <v>0</v>
      </c>
      <c r="Q270" s="151">
        <f>0</f>
        <v>0</v>
      </c>
      <c r="R270" s="151">
        <f>0</f>
        <v>0</v>
      </c>
      <c r="S270" s="151">
        <f>0</f>
        <v>0</v>
      </c>
      <c r="T270" s="151">
        <f>0</f>
        <v>0</v>
      </c>
      <c r="U270" s="151">
        <f>0</f>
        <v>0</v>
      </c>
      <c r="V270" s="151">
        <f>0</f>
        <v>0</v>
      </c>
      <c r="W270" s="151">
        <f>0</f>
        <v>0</v>
      </c>
      <c r="X270" s="151">
        <f>0</f>
        <v>0</v>
      </c>
      <c r="Y270" s="151">
        <f>0</f>
        <v>0</v>
      </c>
      <c r="Z270" s="200">
        <f>0</f>
        <v>0</v>
      </c>
      <c r="AA270" s="174">
        <f t="shared" si="13"/>
        <v>1</v>
      </c>
      <c r="AB270" s="175">
        <v>1</v>
      </c>
      <c r="AC270" s="172">
        <f t="shared" si="14"/>
        <v>0</v>
      </c>
      <c r="AD270" s="176"/>
      <c r="AE270" s="177" t="s">
        <v>239</v>
      </c>
      <c r="AF270" s="164" t="s">
        <v>485</v>
      </c>
      <c r="AG270" s="178"/>
      <c r="AH270" s="177"/>
      <c r="AI270" s="85"/>
      <c r="AJ270" s="86" t="s">
        <v>284</v>
      </c>
      <c r="AK270" s="179" t="e">
        <f t="shared" si="12"/>
        <v>#VALUE!</v>
      </c>
      <c r="AL270" s="85" t="s">
        <v>1299</v>
      </c>
      <c r="AM270" s="77"/>
      <c r="AN270" s="87"/>
      <c r="AO270" s="180"/>
    </row>
    <row r="271" spans="1:41" s="288" customFormat="1" ht="30.75" customHeight="1">
      <c r="A271" s="225">
        <v>271</v>
      </c>
      <c r="B271" s="234"/>
      <c r="C271" s="307" t="s">
        <v>239</v>
      </c>
      <c r="D271" s="217"/>
      <c r="E271" s="276"/>
      <c r="F271" s="167" t="s">
        <v>245</v>
      </c>
      <c r="G271" s="178" t="s">
        <v>246</v>
      </c>
      <c r="H271" s="308" t="s">
        <v>246</v>
      </c>
      <c r="I271" s="301" t="s">
        <v>479</v>
      </c>
      <c r="J271" s="213"/>
      <c r="K271" s="213"/>
      <c r="L271" s="213"/>
      <c r="M271" s="213"/>
      <c r="N271" s="216"/>
      <c r="O271" s="323">
        <v>1</v>
      </c>
      <c r="P271" s="151">
        <f>0</f>
        <v>0</v>
      </c>
      <c r="Q271" s="151">
        <f>0</f>
        <v>0</v>
      </c>
      <c r="R271" s="151">
        <f>0</f>
        <v>0</v>
      </c>
      <c r="S271" s="151">
        <f>0</f>
        <v>0</v>
      </c>
      <c r="T271" s="151">
        <f>0</f>
        <v>0</v>
      </c>
      <c r="U271" s="151">
        <f>0</f>
        <v>0</v>
      </c>
      <c r="V271" s="151">
        <f>0</f>
        <v>0</v>
      </c>
      <c r="W271" s="151">
        <f>0</f>
        <v>0</v>
      </c>
      <c r="X271" s="151">
        <f>0</f>
        <v>0</v>
      </c>
      <c r="Y271" s="151">
        <f>0</f>
        <v>0</v>
      </c>
      <c r="Z271" s="200">
        <f>0</f>
        <v>0</v>
      </c>
      <c r="AA271" s="174">
        <f t="shared" si="13"/>
        <v>1</v>
      </c>
      <c r="AB271" s="175">
        <v>1</v>
      </c>
      <c r="AC271" s="172">
        <f t="shared" si="14"/>
        <v>0</v>
      </c>
      <c r="AD271" s="176">
        <v>44976</v>
      </c>
      <c r="AE271" s="177" t="s">
        <v>239</v>
      </c>
      <c r="AF271" s="164" t="s">
        <v>1427</v>
      </c>
      <c r="AG271" s="164" t="s">
        <v>1416</v>
      </c>
      <c r="AH271" s="177"/>
      <c r="AI271" s="85"/>
      <c r="AJ271" s="86">
        <v>1</v>
      </c>
      <c r="AK271" s="179">
        <f t="shared" si="12"/>
        <v>-1</v>
      </c>
      <c r="AL271" s="85" t="s">
        <v>1460</v>
      </c>
      <c r="AM271" s="77"/>
      <c r="AN271" s="87"/>
      <c r="AO271" s="180"/>
    </row>
    <row r="272" spans="1:41" s="288" customFormat="1" ht="30.75" customHeight="1">
      <c r="A272" s="225">
        <v>272</v>
      </c>
      <c r="B272" s="234"/>
      <c r="C272" s="307" t="s">
        <v>239</v>
      </c>
      <c r="D272" s="217"/>
      <c r="E272" s="276"/>
      <c r="F272" s="167" t="s">
        <v>247</v>
      </c>
      <c r="G272" s="178" t="s">
        <v>248</v>
      </c>
      <c r="H272" s="308" t="s">
        <v>248</v>
      </c>
      <c r="I272" s="301" t="s">
        <v>479</v>
      </c>
      <c r="J272" s="213"/>
      <c r="K272" s="213"/>
      <c r="L272" s="213"/>
      <c r="M272" s="213"/>
      <c r="N272" s="224"/>
      <c r="O272" s="323">
        <v>3</v>
      </c>
      <c r="P272" s="151">
        <f>0</f>
        <v>0</v>
      </c>
      <c r="Q272" s="151">
        <f>0</f>
        <v>0</v>
      </c>
      <c r="R272" s="151">
        <f>0</f>
        <v>0</v>
      </c>
      <c r="S272" s="151">
        <f>0</f>
        <v>0</v>
      </c>
      <c r="T272" s="151">
        <f>0</f>
        <v>0</v>
      </c>
      <c r="U272" s="151">
        <f>0</f>
        <v>0</v>
      </c>
      <c r="V272" s="151">
        <f>0</f>
        <v>0</v>
      </c>
      <c r="W272" s="151">
        <f>0</f>
        <v>0</v>
      </c>
      <c r="X272" s="151">
        <f>0</f>
        <v>0</v>
      </c>
      <c r="Y272" s="151">
        <f>0</f>
        <v>0</v>
      </c>
      <c r="Z272" s="200">
        <f>0</f>
        <v>0</v>
      </c>
      <c r="AA272" s="174">
        <f t="shared" si="13"/>
        <v>3</v>
      </c>
      <c r="AB272" s="175">
        <v>3</v>
      </c>
      <c r="AC272" s="172">
        <f t="shared" si="14"/>
        <v>0</v>
      </c>
      <c r="AD272" s="176">
        <v>44976</v>
      </c>
      <c r="AE272" s="177" t="s">
        <v>239</v>
      </c>
      <c r="AF272" s="164" t="s">
        <v>1425</v>
      </c>
      <c r="AG272" s="178"/>
      <c r="AH272" s="177"/>
      <c r="AI272" s="85"/>
      <c r="AJ272" s="86">
        <v>2</v>
      </c>
      <c r="AK272" s="179">
        <f t="shared" si="12"/>
        <v>-2</v>
      </c>
      <c r="AL272" s="85" t="s">
        <v>1448</v>
      </c>
      <c r="AM272" s="77"/>
      <c r="AN272" s="87"/>
      <c r="AO272" s="180"/>
    </row>
    <row r="273" spans="1:41" s="107" customFormat="1" ht="30.75" customHeight="1">
      <c r="A273" s="233">
        <v>273</v>
      </c>
      <c r="B273" s="234"/>
      <c r="C273" s="307"/>
      <c r="D273" s="84"/>
      <c r="E273" s="212"/>
      <c r="F273" s="314" t="s">
        <v>267</v>
      </c>
      <c r="G273" s="315" t="s">
        <v>268</v>
      </c>
      <c r="H273" s="316" t="s">
        <v>268</v>
      </c>
      <c r="I273" s="313" t="s">
        <v>199</v>
      </c>
      <c r="J273" s="213" t="s">
        <v>269</v>
      </c>
      <c r="K273" s="213" t="s">
        <v>270</v>
      </c>
      <c r="L273" s="213"/>
      <c r="M273" s="213"/>
      <c r="N273" s="216" t="s">
        <v>71</v>
      </c>
      <c r="O273" s="323">
        <v>1</v>
      </c>
      <c r="P273" s="151">
        <f>0</f>
        <v>0</v>
      </c>
      <c r="Q273" s="151">
        <f>0</f>
        <v>0</v>
      </c>
      <c r="R273" s="151">
        <f>0</f>
        <v>0</v>
      </c>
      <c r="S273" s="151">
        <f>0</f>
        <v>0</v>
      </c>
      <c r="T273" s="151">
        <f>0</f>
        <v>0</v>
      </c>
      <c r="U273" s="151">
        <f>0</f>
        <v>0</v>
      </c>
      <c r="V273" s="151">
        <f>0</f>
        <v>0</v>
      </c>
      <c r="W273" s="151">
        <f>0</f>
        <v>0</v>
      </c>
      <c r="X273" s="151">
        <f>0</f>
        <v>0</v>
      </c>
      <c r="Y273" s="151">
        <f>0</f>
        <v>0</v>
      </c>
      <c r="Z273" s="200">
        <f>0</f>
        <v>0</v>
      </c>
      <c r="AA273" s="142">
        <f t="shared" si="13"/>
        <v>1</v>
      </c>
      <c r="AB273" s="123">
        <f>0</f>
        <v>0</v>
      </c>
      <c r="AC273" s="154">
        <f t="shared" si="14"/>
        <v>1</v>
      </c>
      <c r="AD273" s="176">
        <v>44756</v>
      </c>
      <c r="AE273" s="177" t="s">
        <v>239</v>
      </c>
      <c r="AF273" s="84" t="s">
        <v>271</v>
      </c>
      <c r="AG273" s="178"/>
      <c r="AH273" s="177"/>
      <c r="AI273" s="85"/>
      <c r="AJ273" s="86"/>
      <c r="AK273" s="179">
        <f t="shared" si="12"/>
        <v>1</v>
      </c>
      <c r="AL273" s="85"/>
      <c r="AM273" s="77"/>
      <c r="AN273" s="87"/>
      <c r="AO273" s="180"/>
    </row>
    <row r="274" spans="1:41" s="107" customFormat="1" ht="30.75" customHeight="1">
      <c r="A274" s="225">
        <v>274</v>
      </c>
      <c r="B274" s="234"/>
      <c r="C274" s="307"/>
      <c r="D274" s="84"/>
      <c r="E274" s="212"/>
      <c r="F274" s="314" t="s">
        <v>470</v>
      </c>
      <c r="G274" s="315" t="s">
        <v>473</v>
      </c>
      <c r="H274" s="316" t="s">
        <v>471</v>
      </c>
      <c r="I274" s="313" t="s">
        <v>148</v>
      </c>
      <c r="J274" s="213"/>
      <c r="K274" s="213"/>
      <c r="L274" s="213"/>
      <c r="M274" s="213"/>
      <c r="N274" s="224" t="s">
        <v>71</v>
      </c>
      <c r="O274" s="323">
        <v>6</v>
      </c>
      <c r="P274" s="151">
        <f>0</f>
        <v>0</v>
      </c>
      <c r="Q274" s="151">
        <f>0</f>
        <v>0</v>
      </c>
      <c r="R274" s="151">
        <f>0</f>
        <v>0</v>
      </c>
      <c r="S274" s="151">
        <f>0</f>
        <v>0</v>
      </c>
      <c r="T274" s="151">
        <f>0</f>
        <v>0</v>
      </c>
      <c r="U274" s="151">
        <f>0</f>
        <v>0</v>
      </c>
      <c r="V274" s="151">
        <f>0</f>
        <v>0</v>
      </c>
      <c r="W274" s="151">
        <f>0</f>
        <v>0</v>
      </c>
      <c r="X274" s="151">
        <f>0</f>
        <v>0</v>
      </c>
      <c r="Y274" s="151">
        <f>0</f>
        <v>0</v>
      </c>
      <c r="Z274" s="200">
        <f>0</f>
        <v>0</v>
      </c>
      <c r="AA274" s="142">
        <f t="shared" si="13"/>
        <v>6</v>
      </c>
      <c r="AB274" s="144"/>
      <c r="AC274" s="154">
        <f t="shared" si="14"/>
        <v>6</v>
      </c>
      <c r="AD274" s="176">
        <v>44756</v>
      </c>
      <c r="AE274" s="177" t="s">
        <v>239</v>
      </c>
      <c r="AF274" s="84" t="s">
        <v>273</v>
      </c>
      <c r="AG274" s="149"/>
      <c r="AH274" s="85"/>
      <c r="AI274" s="85"/>
      <c r="AJ274" s="86"/>
      <c r="AK274" s="179">
        <f t="shared" si="12"/>
        <v>6</v>
      </c>
      <c r="AL274" s="85"/>
      <c r="AM274" s="77"/>
      <c r="AN274" s="87"/>
      <c r="AO274" s="180"/>
    </row>
    <row r="275" spans="1:41" s="288" customFormat="1" ht="30.75" customHeight="1">
      <c r="A275" s="225">
        <v>275</v>
      </c>
      <c r="B275" s="226"/>
      <c r="C275" s="307"/>
      <c r="D275" s="217"/>
      <c r="E275" s="217"/>
      <c r="F275" s="317" t="s">
        <v>149</v>
      </c>
      <c r="G275" s="318" t="s">
        <v>472</v>
      </c>
      <c r="H275" s="211" t="s">
        <v>155</v>
      </c>
      <c r="I275" s="311" t="s">
        <v>148</v>
      </c>
      <c r="J275" s="213"/>
      <c r="K275" s="213"/>
      <c r="L275" s="213"/>
      <c r="M275" s="213"/>
      <c r="N275" s="216" t="s">
        <v>71</v>
      </c>
      <c r="O275" s="323">
        <v>14</v>
      </c>
      <c r="P275" s="151">
        <f>0</f>
        <v>0</v>
      </c>
      <c r="Q275" s="151">
        <f>0</f>
        <v>0</v>
      </c>
      <c r="R275" s="151">
        <f>0</f>
        <v>0</v>
      </c>
      <c r="S275" s="151">
        <f>0</f>
        <v>0</v>
      </c>
      <c r="T275" s="151">
        <f>0</f>
        <v>0</v>
      </c>
      <c r="U275" s="151">
        <f>0</f>
        <v>0</v>
      </c>
      <c r="V275" s="151">
        <f>0</f>
        <v>0</v>
      </c>
      <c r="W275" s="151">
        <f>0</f>
        <v>0</v>
      </c>
      <c r="X275" s="151">
        <f>0</f>
        <v>0</v>
      </c>
      <c r="Y275" s="151">
        <f>0</f>
        <v>0</v>
      </c>
      <c r="Z275" s="200">
        <f>0</f>
        <v>0</v>
      </c>
      <c r="AA275" s="142">
        <f t="shared" si="13"/>
        <v>14</v>
      </c>
      <c r="AB275" s="144">
        <v>26</v>
      </c>
      <c r="AC275" s="154">
        <f t="shared" si="14"/>
        <v>-12</v>
      </c>
      <c r="AD275" s="176">
        <v>44756</v>
      </c>
      <c r="AE275" s="177" t="s">
        <v>239</v>
      </c>
      <c r="AF275" s="84" t="s">
        <v>273</v>
      </c>
      <c r="AG275" s="149"/>
      <c r="AH275" s="85" t="s">
        <v>474</v>
      </c>
      <c r="AI275" s="85"/>
      <c r="AJ275" s="86">
        <v>26</v>
      </c>
      <c r="AK275" s="179">
        <f t="shared" si="12"/>
        <v>-38</v>
      </c>
      <c r="AL275" s="85" t="s">
        <v>548</v>
      </c>
      <c r="AM275" s="77"/>
      <c r="AN275" s="87"/>
      <c r="AO275" s="180"/>
    </row>
    <row r="276" spans="1:41" s="288" customFormat="1" ht="30.75" customHeight="1">
      <c r="A276" s="225">
        <v>276</v>
      </c>
      <c r="B276" s="234">
        <v>44943</v>
      </c>
      <c r="C276" s="235" t="s">
        <v>254</v>
      </c>
      <c r="D276" s="214" t="s">
        <v>775</v>
      </c>
      <c r="E276" s="214"/>
      <c r="F276" s="222" t="s">
        <v>776</v>
      </c>
      <c r="G276" s="214" t="s">
        <v>775</v>
      </c>
      <c r="H276" s="214" t="s">
        <v>775</v>
      </c>
      <c r="I276" s="301" t="s">
        <v>318</v>
      </c>
      <c r="J276" s="213"/>
      <c r="K276" s="213"/>
      <c r="L276" s="213"/>
      <c r="M276" s="213" t="s">
        <v>252</v>
      </c>
      <c r="N276" s="224" t="s">
        <v>252</v>
      </c>
      <c r="O276" s="323">
        <v>0</v>
      </c>
      <c r="P276" s="151">
        <f>0</f>
        <v>0</v>
      </c>
      <c r="Q276" s="151">
        <f>0</f>
        <v>0</v>
      </c>
      <c r="R276" s="151">
        <f>0</f>
        <v>0</v>
      </c>
      <c r="S276" s="151">
        <f>0</f>
        <v>0</v>
      </c>
      <c r="T276" s="151">
        <f>0</f>
        <v>0</v>
      </c>
      <c r="U276" s="151">
        <v>1</v>
      </c>
      <c r="V276" s="151">
        <f>0</f>
        <v>0</v>
      </c>
      <c r="W276" s="151">
        <f>0</f>
        <v>0</v>
      </c>
      <c r="X276" s="151">
        <f>0</f>
        <v>0</v>
      </c>
      <c r="Y276" s="151">
        <f>0</f>
        <v>0</v>
      </c>
      <c r="Z276" s="200">
        <f>0</f>
        <v>0</v>
      </c>
      <c r="AA276" s="143">
        <f t="shared" si="13"/>
        <v>1</v>
      </c>
      <c r="AB276" s="168">
        <v>1</v>
      </c>
      <c r="AC276" s="169">
        <f t="shared" si="14"/>
        <v>0</v>
      </c>
      <c r="AD276" s="186"/>
      <c r="AE276" s="187" t="s">
        <v>282</v>
      </c>
      <c r="AF276" s="171" t="s">
        <v>587</v>
      </c>
      <c r="AG276" s="188"/>
      <c r="AH276" s="187"/>
      <c r="AI276" s="88"/>
      <c r="AJ276" s="89" t="s">
        <v>284</v>
      </c>
      <c r="AK276" s="189" t="e">
        <f t="shared" si="12"/>
        <v>#VALUE!</v>
      </c>
      <c r="AL276" s="88" t="s">
        <v>1288</v>
      </c>
      <c r="AM276" s="83"/>
      <c r="AN276" s="90"/>
      <c r="AO276" s="190"/>
    </row>
    <row r="277" spans="1:41" s="288" customFormat="1" ht="30.75" customHeight="1">
      <c r="A277" s="233">
        <v>277</v>
      </c>
      <c r="B277" s="234">
        <v>44943</v>
      </c>
      <c r="C277" s="235" t="s">
        <v>254</v>
      </c>
      <c r="D277" s="214" t="s">
        <v>777</v>
      </c>
      <c r="E277" s="214"/>
      <c r="F277" s="222" t="s">
        <v>778</v>
      </c>
      <c r="G277" s="214" t="s">
        <v>777</v>
      </c>
      <c r="H277" s="214" t="s">
        <v>777</v>
      </c>
      <c r="I277" s="301" t="s">
        <v>318</v>
      </c>
      <c r="J277" s="213"/>
      <c r="K277" s="213"/>
      <c r="L277" s="213"/>
      <c r="M277" s="213" t="s">
        <v>252</v>
      </c>
      <c r="N277" s="224" t="s">
        <v>252</v>
      </c>
      <c r="O277" s="323">
        <v>0</v>
      </c>
      <c r="P277" s="151">
        <f>0</f>
        <v>0</v>
      </c>
      <c r="Q277" s="151">
        <f>0</f>
        <v>0</v>
      </c>
      <c r="R277" s="151">
        <f>0</f>
        <v>0</v>
      </c>
      <c r="S277" s="151">
        <f>0</f>
        <v>0</v>
      </c>
      <c r="T277" s="151">
        <f>0</f>
        <v>0</v>
      </c>
      <c r="U277" s="151">
        <v>3</v>
      </c>
      <c r="V277" s="151">
        <f>0</f>
        <v>0</v>
      </c>
      <c r="W277" s="151">
        <f>0</f>
        <v>0</v>
      </c>
      <c r="X277" s="151">
        <f>0</f>
        <v>0</v>
      </c>
      <c r="Y277" s="151">
        <f>0</f>
        <v>0</v>
      </c>
      <c r="Z277" s="200">
        <f>0</f>
        <v>0</v>
      </c>
      <c r="AA277" s="143">
        <f t="shared" si="13"/>
        <v>3</v>
      </c>
      <c r="AB277" s="168"/>
      <c r="AC277" s="169">
        <f t="shared" si="14"/>
        <v>3</v>
      </c>
      <c r="AD277" s="186">
        <v>44949</v>
      </c>
      <c r="AE277" s="187" t="s">
        <v>529</v>
      </c>
      <c r="AF277" s="171" t="s">
        <v>1230</v>
      </c>
      <c r="AG277" s="188"/>
      <c r="AH277" s="187" t="s">
        <v>1327</v>
      </c>
      <c r="AI277" s="88"/>
      <c r="AJ277" s="89">
        <v>3</v>
      </c>
      <c r="AK277" s="189">
        <f t="shared" si="12"/>
        <v>0</v>
      </c>
      <c r="AL277" s="88" t="s">
        <v>1472</v>
      </c>
      <c r="AM277" s="83"/>
      <c r="AN277" s="90"/>
      <c r="AO277" s="190"/>
    </row>
    <row r="278" spans="1:41" s="288" customFormat="1" ht="30.75" customHeight="1">
      <c r="A278" s="225">
        <v>278</v>
      </c>
      <c r="B278" s="234">
        <v>44944</v>
      </c>
      <c r="C278" s="307" t="s">
        <v>810</v>
      </c>
      <c r="D278" s="217" t="s">
        <v>779</v>
      </c>
      <c r="E278" s="217"/>
      <c r="F278" s="167" t="s">
        <v>780</v>
      </c>
      <c r="G278" s="178"/>
      <c r="H278" s="308" t="s">
        <v>779</v>
      </c>
      <c r="I278" s="301" t="s">
        <v>250</v>
      </c>
      <c r="J278" s="213"/>
      <c r="K278" s="213"/>
      <c r="L278" s="213"/>
      <c r="M278" s="213"/>
      <c r="N278" s="216" t="s">
        <v>807</v>
      </c>
      <c r="O278" s="323">
        <f>0</f>
        <v>0</v>
      </c>
      <c r="P278" s="151">
        <f>0</f>
        <v>0</v>
      </c>
      <c r="Q278" s="151">
        <f>0</f>
        <v>0</v>
      </c>
      <c r="R278" s="151">
        <v>6</v>
      </c>
      <c r="S278" s="151">
        <f>0</f>
        <v>0</v>
      </c>
      <c r="T278" s="151">
        <f>0</f>
        <v>0</v>
      </c>
      <c r="U278" s="151">
        <f>0</f>
        <v>0</v>
      </c>
      <c r="V278" s="151">
        <f>0</f>
        <v>0</v>
      </c>
      <c r="W278" s="151">
        <f>0</f>
        <v>0</v>
      </c>
      <c r="X278" s="151">
        <f>0</f>
        <v>0</v>
      </c>
      <c r="Y278" s="151">
        <f>0</f>
        <v>0</v>
      </c>
      <c r="Z278" s="200">
        <f>0</f>
        <v>0</v>
      </c>
      <c r="AA278" s="174">
        <f t="shared" si="13"/>
        <v>6</v>
      </c>
      <c r="AB278" s="175"/>
      <c r="AC278" s="172">
        <f t="shared" si="14"/>
        <v>6</v>
      </c>
      <c r="AD278" s="176"/>
      <c r="AE278" s="177" t="s">
        <v>529</v>
      </c>
      <c r="AF278" s="84" t="s">
        <v>44</v>
      </c>
      <c r="AG278" s="178"/>
      <c r="AH278" s="177"/>
      <c r="AI278" s="85"/>
      <c r="AJ278" s="86" t="s">
        <v>850</v>
      </c>
      <c r="AK278" s="179" t="e">
        <f t="shared" si="12"/>
        <v>#VALUE!</v>
      </c>
      <c r="AL278" s="85"/>
      <c r="AM278" s="77"/>
      <c r="AN278" s="87"/>
      <c r="AO278" s="180"/>
    </row>
    <row r="279" spans="1:41" s="288" customFormat="1" ht="30.75" customHeight="1">
      <c r="A279" s="233">
        <v>279</v>
      </c>
      <c r="B279" s="234">
        <v>44944</v>
      </c>
      <c r="C279" s="307" t="s">
        <v>810</v>
      </c>
      <c r="D279" s="217" t="s">
        <v>781</v>
      </c>
      <c r="E279" s="217"/>
      <c r="F279" s="167" t="s">
        <v>782</v>
      </c>
      <c r="G279" s="178"/>
      <c r="H279" s="308" t="s">
        <v>781</v>
      </c>
      <c r="I279" s="301" t="s">
        <v>369</v>
      </c>
      <c r="J279" s="213"/>
      <c r="K279" s="213"/>
      <c r="L279" s="213"/>
      <c r="M279" s="213"/>
      <c r="N279" s="216" t="s">
        <v>807</v>
      </c>
      <c r="O279" s="391">
        <f>0</f>
        <v>0</v>
      </c>
      <c r="P279" s="77">
        <f>0</f>
        <v>0</v>
      </c>
      <c r="Q279" s="77">
        <f>0</f>
        <v>0</v>
      </c>
      <c r="R279" s="77">
        <v>2</v>
      </c>
      <c r="S279" s="77">
        <f>0</f>
        <v>0</v>
      </c>
      <c r="T279" s="77">
        <f>0</f>
        <v>0</v>
      </c>
      <c r="U279" s="77">
        <f>0</f>
        <v>0</v>
      </c>
      <c r="V279" s="77">
        <f>0</f>
        <v>0</v>
      </c>
      <c r="W279" s="77">
        <f>0</f>
        <v>0</v>
      </c>
      <c r="X279" s="77">
        <f>0</f>
        <v>0</v>
      </c>
      <c r="Y279" s="77">
        <f>0</f>
        <v>0</v>
      </c>
      <c r="Z279" s="392">
        <f>0</f>
        <v>0</v>
      </c>
      <c r="AA279" s="174">
        <f t="shared" si="13"/>
        <v>2</v>
      </c>
      <c r="AB279" s="175"/>
      <c r="AC279" s="172">
        <f t="shared" si="14"/>
        <v>2</v>
      </c>
      <c r="AD279" s="176"/>
      <c r="AE279" s="177" t="s">
        <v>282</v>
      </c>
      <c r="AF279" s="84" t="s">
        <v>292</v>
      </c>
      <c r="AG279" s="178"/>
      <c r="AH279" s="177"/>
      <c r="AI279" s="85"/>
      <c r="AJ279" s="86"/>
      <c r="AK279" s="179">
        <f t="shared" si="12"/>
        <v>2</v>
      </c>
      <c r="AL279" s="85"/>
      <c r="AM279" s="77"/>
      <c r="AN279" s="87"/>
      <c r="AO279" s="180"/>
    </row>
    <row r="280" spans="1:41" s="288" customFormat="1" ht="30.75" customHeight="1">
      <c r="A280" s="225">
        <v>280</v>
      </c>
      <c r="B280" s="234">
        <v>44944</v>
      </c>
      <c r="C280" s="307" t="s">
        <v>810</v>
      </c>
      <c r="D280" s="217" t="s">
        <v>783</v>
      </c>
      <c r="E280" s="217"/>
      <c r="F280" s="167" t="s">
        <v>784</v>
      </c>
      <c r="G280" s="178"/>
      <c r="H280" s="308" t="s">
        <v>783</v>
      </c>
      <c r="I280" s="301" t="s">
        <v>369</v>
      </c>
      <c r="J280" s="213"/>
      <c r="K280" s="213"/>
      <c r="L280" s="213"/>
      <c r="M280" s="213"/>
      <c r="N280" s="216" t="s">
        <v>807</v>
      </c>
      <c r="O280" s="391">
        <f>0</f>
        <v>0</v>
      </c>
      <c r="P280" s="77">
        <f>0</f>
        <v>0</v>
      </c>
      <c r="Q280" s="77">
        <f>0</f>
        <v>0</v>
      </c>
      <c r="R280" s="77">
        <v>9</v>
      </c>
      <c r="S280" s="77">
        <f>0</f>
        <v>0</v>
      </c>
      <c r="T280" s="77">
        <f>0</f>
        <v>0</v>
      </c>
      <c r="U280" s="77">
        <f>0</f>
        <v>0</v>
      </c>
      <c r="V280" s="77">
        <f>0</f>
        <v>0</v>
      </c>
      <c r="W280" s="77">
        <f>0</f>
        <v>0</v>
      </c>
      <c r="X280" s="77">
        <f>0</f>
        <v>0</v>
      </c>
      <c r="Y280" s="77">
        <f>0</f>
        <v>0</v>
      </c>
      <c r="Z280" s="392">
        <f>0</f>
        <v>0</v>
      </c>
      <c r="AA280" s="174">
        <f t="shared" si="13"/>
        <v>9</v>
      </c>
      <c r="AB280" s="175"/>
      <c r="AC280" s="172">
        <f t="shared" si="14"/>
        <v>9</v>
      </c>
      <c r="AD280" s="176"/>
      <c r="AE280" s="177" t="s">
        <v>529</v>
      </c>
      <c r="AF280" s="84" t="s">
        <v>44</v>
      </c>
      <c r="AG280" s="178"/>
      <c r="AH280" s="177"/>
      <c r="AI280" s="85"/>
      <c r="AJ280" s="86"/>
      <c r="AK280" s="179">
        <f t="shared" si="12"/>
        <v>9</v>
      </c>
      <c r="AL280" s="85"/>
      <c r="AM280" s="77"/>
      <c r="AN280" s="87"/>
      <c r="AO280" s="180"/>
    </row>
    <row r="281" spans="1:41" s="288" customFormat="1" ht="30.75" customHeight="1">
      <c r="A281" s="233">
        <v>281</v>
      </c>
      <c r="B281" s="234">
        <v>44944</v>
      </c>
      <c r="C281" s="307" t="s">
        <v>810</v>
      </c>
      <c r="D281" s="217" t="s">
        <v>785</v>
      </c>
      <c r="E281" s="217"/>
      <c r="F281" s="167" t="s">
        <v>506</v>
      </c>
      <c r="G281" s="178"/>
      <c r="H281" s="308" t="s">
        <v>785</v>
      </c>
      <c r="I281" s="301" t="s">
        <v>369</v>
      </c>
      <c r="J281" s="213"/>
      <c r="K281" s="213"/>
      <c r="L281" s="213"/>
      <c r="M281" s="213"/>
      <c r="N281" s="216" t="s">
        <v>807</v>
      </c>
      <c r="O281" s="391">
        <f>0</f>
        <v>0</v>
      </c>
      <c r="P281" s="77">
        <f>0</f>
        <v>0</v>
      </c>
      <c r="Q281" s="77">
        <f>0</f>
        <v>0</v>
      </c>
      <c r="R281" s="77">
        <v>8</v>
      </c>
      <c r="S281" s="77">
        <f>0</f>
        <v>0</v>
      </c>
      <c r="T281" s="77">
        <f>0</f>
        <v>0</v>
      </c>
      <c r="U281" s="77">
        <f>0</f>
        <v>0</v>
      </c>
      <c r="V281" s="77">
        <f>0</f>
        <v>0</v>
      </c>
      <c r="W281" s="77">
        <f>0</f>
        <v>0</v>
      </c>
      <c r="X281" s="77">
        <f>0</f>
        <v>0</v>
      </c>
      <c r="Y281" s="77">
        <f>0</f>
        <v>0</v>
      </c>
      <c r="Z281" s="392">
        <f>0</f>
        <v>0</v>
      </c>
      <c r="AA281" s="174">
        <f t="shared" si="13"/>
        <v>8</v>
      </c>
      <c r="AB281" s="175"/>
      <c r="AC281" s="172">
        <f t="shared" si="14"/>
        <v>8</v>
      </c>
      <c r="AD281" s="176"/>
      <c r="AE281" s="177" t="s">
        <v>529</v>
      </c>
      <c r="AF281" s="84" t="s">
        <v>44</v>
      </c>
      <c r="AG281" s="178"/>
      <c r="AH281" s="177"/>
      <c r="AI281" s="85"/>
      <c r="AJ281" s="86"/>
      <c r="AK281" s="179">
        <f t="shared" si="12"/>
        <v>8</v>
      </c>
      <c r="AL281" s="85"/>
      <c r="AM281" s="77"/>
      <c r="AN281" s="87"/>
      <c r="AO281" s="180"/>
    </row>
    <row r="282" spans="1:41" s="288" customFormat="1" ht="30.75" customHeight="1">
      <c r="A282" s="225">
        <v>282</v>
      </c>
      <c r="B282" s="234">
        <v>44944</v>
      </c>
      <c r="C282" s="307" t="s">
        <v>810</v>
      </c>
      <c r="D282" s="217" t="s">
        <v>786</v>
      </c>
      <c r="E282" s="217"/>
      <c r="F282" s="167" t="s">
        <v>787</v>
      </c>
      <c r="G282" s="178"/>
      <c r="H282" s="308" t="s">
        <v>786</v>
      </c>
      <c r="I282" s="301" t="s">
        <v>369</v>
      </c>
      <c r="J282" s="213"/>
      <c r="K282" s="213"/>
      <c r="L282" s="213"/>
      <c r="M282" s="213"/>
      <c r="N282" s="216" t="s">
        <v>807</v>
      </c>
      <c r="O282" s="391">
        <f>0</f>
        <v>0</v>
      </c>
      <c r="P282" s="77">
        <f>0</f>
        <v>0</v>
      </c>
      <c r="Q282" s="77">
        <f>0</f>
        <v>0</v>
      </c>
      <c r="R282" s="77">
        <v>2</v>
      </c>
      <c r="S282" s="77">
        <f>0</f>
        <v>0</v>
      </c>
      <c r="T282" s="77">
        <f>0</f>
        <v>0</v>
      </c>
      <c r="U282" s="77">
        <f>0</f>
        <v>0</v>
      </c>
      <c r="V282" s="77">
        <f>0</f>
        <v>0</v>
      </c>
      <c r="W282" s="77">
        <f>0</f>
        <v>0</v>
      </c>
      <c r="X282" s="77">
        <f>0</f>
        <v>0</v>
      </c>
      <c r="Y282" s="77">
        <f>0</f>
        <v>0</v>
      </c>
      <c r="Z282" s="392">
        <f>0</f>
        <v>0</v>
      </c>
      <c r="AA282" s="174">
        <f t="shared" si="13"/>
        <v>2</v>
      </c>
      <c r="AB282" s="175"/>
      <c r="AC282" s="172">
        <f t="shared" si="14"/>
        <v>2</v>
      </c>
      <c r="AD282" s="176"/>
      <c r="AE282" s="177" t="s">
        <v>529</v>
      </c>
      <c r="AF282" s="84" t="s">
        <v>44</v>
      </c>
      <c r="AG282" s="178"/>
      <c r="AH282" s="177"/>
      <c r="AI282" s="85"/>
      <c r="AJ282" s="86"/>
      <c r="AK282" s="179">
        <f t="shared" si="12"/>
        <v>2</v>
      </c>
      <c r="AL282" s="85"/>
      <c r="AM282" s="77"/>
      <c r="AN282" s="87"/>
      <c r="AO282" s="180"/>
    </row>
    <row r="283" spans="1:41" s="289" customFormat="1" ht="30.75" customHeight="1">
      <c r="A283" s="233">
        <v>283</v>
      </c>
      <c r="B283" s="234">
        <v>44944</v>
      </c>
      <c r="C283" s="307" t="s">
        <v>810</v>
      </c>
      <c r="D283" s="217" t="s">
        <v>1282</v>
      </c>
      <c r="E283" s="217" t="s">
        <v>322</v>
      </c>
      <c r="F283" s="167" t="s">
        <v>1281</v>
      </c>
      <c r="G283" s="84" t="s">
        <v>1280</v>
      </c>
      <c r="H283" s="308" t="s">
        <v>1279</v>
      </c>
      <c r="I283" s="301" t="s">
        <v>616</v>
      </c>
      <c r="J283" s="213" t="s">
        <v>71</v>
      </c>
      <c r="K283" s="213"/>
      <c r="L283" s="213"/>
      <c r="M283" s="213"/>
      <c r="N283" s="216" t="s">
        <v>807</v>
      </c>
      <c r="O283" s="391">
        <f>0</f>
        <v>0</v>
      </c>
      <c r="P283" s="77">
        <f>0</f>
        <v>0</v>
      </c>
      <c r="Q283" s="77">
        <f>0</f>
        <v>0</v>
      </c>
      <c r="R283" s="77">
        <v>2</v>
      </c>
      <c r="S283" s="77">
        <f>0</f>
        <v>0</v>
      </c>
      <c r="T283" s="77">
        <f>0</f>
        <v>0</v>
      </c>
      <c r="U283" s="77">
        <f>0</f>
        <v>0</v>
      </c>
      <c r="V283" s="77">
        <f>0</f>
        <v>0</v>
      </c>
      <c r="W283" s="77">
        <f>0</f>
        <v>0</v>
      </c>
      <c r="X283" s="77">
        <f>0</f>
        <v>0</v>
      </c>
      <c r="Y283" s="77">
        <f>0</f>
        <v>0</v>
      </c>
      <c r="Z283" s="392">
        <f>0</f>
        <v>0</v>
      </c>
      <c r="AA283" s="174">
        <f t="shared" si="13"/>
        <v>2</v>
      </c>
      <c r="AB283" s="175"/>
      <c r="AC283" s="172">
        <f t="shared" si="14"/>
        <v>2</v>
      </c>
      <c r="AD283" s="170">
        <v>45013</v>
      </c>
      <c r="AE283" s="187" t="s">
        <v>239</v>
      </c>
      <c r="AF283" s="84" t="s">
        <v>1589</v>
      </c>
      <c r="AG283" s="178"/>
      <c r="AH283" s="177"/>
      <c r="AI283" s="88" t="s">
        <v>1438</v>
      </c>
      <c r="AJ283" s="86">
        <v>2</v>
      </c>
      <c r="AK283" s="179">
        <f t="shared" si="12"/>
        <v>0</v>
      </c>
      <c r="AL283" s="85" t="s">
        <v>1594</v>
      </c>
      <c r="AM283" s="77"/>
      <c r="AN283" s="87"/>
      <c r="AO283" s="180"/>
    </row>
    <row r="284" spans="1:41" s="289" customFormat="1" ht="30.75" customHeight="1">
      <c r="A284" s="225">
        <v>284</v>
      </c>
      <c r="B284" s="234">
        <v>44944</v>
      </c>
      <c r="C284" s="235" t="s">
        <v>810</v>
      </c>
      <c r="D284" s="504" t="s">
        <v>1566</v>
      </c>
      <c r="E284" s="377">
        <v>0</v>
      </c>
      <c r="F284" s="212" t="s">
        <v>649</v>
      </c>
      <c r="G284" s="211" t="s">
        <v>1565</v>
      </c>
      <c r="H284" s="211" t="s">
        <v>252</v>
      </c>
      <c r="I284" s="213" t="s">
        <v>647</v>
      </c>
      <c r="J284" s="213" t="s">
        <v>251</v>
      </c>
      <c r="K284" s="213" t="s">
        <v>650</v>
      </c>
      <c r="L284" s="213" t="s">
        <v>252</v>
      </c>
      <c r="M284" s="213" t="s">
        <v>651</v>
      </c>
      <c r="N284" s="216" t="s">
        <v>807</v>
      </c>
      <c r="O284" s="391">
        <f>0</f>
        <v>0</v>
      </c>
      <c r="P284" s="77">
        <f>0</f>
        <v>0</v>
      </c>
      <c r="Q284" s="77">
        <f>0</f>
        <v>0</v>
      </c>
      <c r="R284" s="77">
        <v>4</v>
      </c>
      <c r="S284" s="77">
        <f>0</f>
        <v>0</v>
      </c>
      <c r="T284" s="77">
        <f>0</f>
        <v>0</v>
      </c>
      <c r="U284" s="77">
        <f>0</f>
        <v>0</v>
      </c>
      <c r="V284" s="77">
        <f>0</f>
        <v>0</v>
      </c>
      <c r="W284" s="77">
        <f>0</f>
        <v>0</v>
      </c>
      <c r="X284" s="77">
        <f>0</f>
        <v>0</v>
      </c>
      <c r="Y284" s="77">
        <f>0</f>
        <v>0</v>
      </c>
      <c r="Z284" s="392">
        <f>0</f>
        <v>0</v>
      </c>
      <c r="AA284" s="483">
        <f t="shared" si="13"/>
        <v>4</v>
      </c>
      <c r="AB284" s="175"/>
      <c r="AC284" s="172">
        <f t="shared" si="14"/>
        <v>4</v>
      </c>
      <c r="AD284" s="176">
        <v>45030</v>
      </c>
      <c r="AE284" s="177" t="s">
        <v>239</v>
      </c>
      <c r="AF284" s="84" t="s">
        <v>1585</v>
      </c>
      <c r="AG284" s="178"/>
      <c r="AH284" s="177"/>
      <c r="AI284" s="88" t="s">
        <v>1438</v>
      </c>
      <c r="AJ284" s="86">
        <v>4</v>
      </c>
      <c r="AK284" s="179">
        <f t="shared" si="12"/>
        <v>0</v>
      </c>
      <c r="AL284" s="85" t="s">
        <v>1612</v>
      </c>
      <c r="AM284" s="77"/>
      <c r="AN284" s="87"/>
      <c r="AO284" s="180"/>
    </row>
    <row r="285" spans="1:41" s="289" customFormat="1" ht="30.75" customHeight="1">
      <c r="A285" s="233">
        <v>285</v>
      </c>
      <c r="B285" s="234">
        <v>44944</v>
      </c>
      <c r="C285" s="235" t="s">
        <v>810</v>
      </c>
      <c r="D285" s="504" t="s">
        <v>1563</v>
      </c>
      <c r="E285" s="377">
        <v>0</v>
      </c>
      <c r="F285" s="210" t="s">
        <v>1343</v>
      </c>
      <c r="G285" s="306" t="s">
        <v>1564</v>
      </c>
      <c r="H285" s="211" t="s">
        <v>646</v>
      </c>
      <c r="I285" s="213" t="s">
        <v>647</v>
      </c>
      <c r="J285" s="213" t="s">
        <v>251</v>
      </c>
      <c r="K285" s="213" t="s">
        <v>252</v>
      </c>
      <c r="L285" s="213" t="s">
        <v>252</v>
      </c>
      <c r="M285" s="213" t="s">
        <v>651</v>
      </c>
      <c r="N285" s="484" t="s">
        <v>1571</v>
      </c>
      <c r="O285" s="391">
        <f>0</f>
        <v>0</v>
      </c>
      <c r="P285" s="77">
        <f>0</f>
        <v>0</v>
      </c>
      <c r="Q285" s="77">
        <f>0</f>
        <v>0</v>
      </c>
      <c r="R285" s="77">
        <v>4</v>
      </c>
      <c r="S285" s="77">
        <f>0</f>
        <v>0</v>
      </c>
      <c r="T285" s="77">
        <f>0</f>
        <v>0</v>
      </c>
      <c r="U285" s="77">
        <f>0</f>
        <v>0</v>
      </c>
      <c r="V285" s="77">
        <f>0</f>
        <v>0</v>
      </c>
      <c r="W285" s="77">
        <f>0</f>
        <v>0</v>
      </c>
      <c r="X285" s="77">
        <f>0</f>
        <v>0</v>
      </c>
      <c r="Y285" s="77">
        <f>0</f>
        <v>0</v>
      </c>
      <c r="Z285" s="392">
        <f>0</f>
        <v>0</v>
      </c>
      <c r="AA285" s="483">
        <f t="shared" si="13"/>
        <v>4</v>
      </c>
      <c r="AB285" s="175"/>
      <c r="AC285" s="172">
        <f t="shared" si="14"/>
        <v>4</v>
      </c>
      <c r="AD285" s="176">
        <v>45030</v>
      </c>
      <c r="AE285" s="177" t="s">
        <v>239</v>
      </c>
      <c r="AF285" s="84" t="s">
        <v>1585</v>
      </c>
      <c r="AG285" s="178"/>
      <c r="AH285" s="177"/>
      <c r="AI285" s="88" t="s">
        <v>1438</v>
      </c>
      <c r="AJ285" s="86">
        <v>4</v>
      </c>
      <c r="AK285" s="179">
        <f t="shared" si="12"/>
        <v>0</v>
      </c>
      <c r="AL285" s="85" t="s">
        <v>1612</v>
      </c>
      <c r="AM285" s="77"/>
      <c r="AN285" s="87"/>
      <c r="AO285" s="180"/>
    </row>
    <row r="286" spans="1:41" s="289" customFormat="1" ht="30.75" customHeight="1">
      <c r="A286" s="225">
        <v>286</v>
      </c>
      <c r="B286" s="234">
        <v>44944</v>
      </c>
      <c r="C286" s="307" t="s">
        <v>810</v>
      </c>
      <c r="D286" s="217" t="s">
        <v>788</v>
      </c>
      <c r="E286" s="377"/>
      <c r="F286" s="167" t="s">
        <v>789</v>
      </c>
      <c r="G286" s="486" t="s">
        <v>1286</v>
      </c>
      <c r="H286" s="486" t="s">
        <v>1286</v>
      </c>
      <c r="I286" s="301" t="s">
        <v>1576</v>
      </c>
      <c r="J286" s="213"/>
      <c r="K286" s="213"/>
      <c r="L286" s="213"/>
      <c r="M286" s="213" t="s">
        <v>252</v>
      </c>
      <c r="N286" s="216" t="s">
        <v>807</v>
      </c>
      <c r="O286" s="391">
        <f>0</f>
        <v>0</v>
      </c>
      <c r="P286" s="77">
        <f>0</f>
        <v>0</v>
      </c>
      <c r="Q286" s="77">
        <f>0</f>
        <v>0</v>
      </c>
      <c r="R286" s="77">
        <v>18</v>
      </c>
      <c r="S286" s="77">
        <f>0</f>
        <v>0</v>
      </c>
      <c r="T286" s="77">
        <f>0</f>
        <v>0</v>
      </c>
      <c r="U286" s="77">
        <f>0</f>
        <v>0</v>
      </c>
      <c r="V286" s="77">
        <f>0</f>
        <v>0</v>
      </c>
      <c r="W286" s="77">
        <f>0</f>
        <v>0</v>
      </c>
      <c r="X286" s="77">
        <f>0</f>
        <v>0</v>
      </c>
      <c r="Y286" s="77">
        <f>0</f>
        <v>0</v>
      </c>
      <c r="Z286" s="392">
        <f>0</f>
        <v>0</v>
      </c>
      <c r="AA286" s="174">
        <f t="shared" si="13"/>
        <v>18</v>
      </c>
      <c r="AB286" s="175"/>
      <c r="AC286" s="172">
        <f t="shared" si="14"/>
        <v>18</v>
      </c>
      <c r="AD286" s="176">
        <v>45020</v>
      </c>
      <c r="AE286" s="177"/>
      <c r="AF286" s="84" t="s">
        <v>1575</v>
      </c>
      <c r="AG286" s="178"/>
      <c r="AH286" s="177"/>
      <c r="AI286" s="88" t="s">
        <v>1438</v>
      </c>
      <c r="AJ286" s="86">
        <v>18</v>
      </c>
      <c r="AK286" s="179">
        <f t="shared" si="12"/>
        <v>0</v>
      </c>
      <c r="AL286" s="85" t="s">
        <v>1592</v>
      </c>
      <c r="AM286" s="77"/>
      <c r="AN286" s="87"/>
      <c r="AO286" s="180"/>
    </row>
    <row r="287" spans="1:41" s="288" customFormat="1" ht="30.75" customHeight="1">
      <c r="A287" s="225">
        <v>288</v>
      </c>
      <c r="B287" s="234">
        <v>44944</v>
      </c>
      <c r="C287" s="307" t="s">
        <v>810</v>
      </c>
      <c r="D287" s="217" t="s">
        <v>344</v>
      </c>
      <c r="E287" s="217"/>
      <c r="F287" s="167" t="s">
        <v>345</v>
      </c>
      <c r="G287" s="178"/>
      <c r="H287" s="308" t="s">
        <v>1491</v>
      </c>
      <c r="I287" s="301" t="s">
        <v>227</v>
      </c>
      <c r="J287" s="213"/>
      <c r="K287" s="213"/>
      <c r="L287" s="213"/>
      <c r="M287" s="213"/>
      <c r="N287" s="216" t="s">
        <v>807</v>
      </c>
      <c r="O287" s="323">
        <f>0</f>
        <v>0</v>
      </c>
      <c r="P287" s="151">
        <f>0</f>
        <v>0</v>
      </c>
      <c r="Q287" s="151">
        <f>0</f>
        <v>0</v>
      </c>
      <c r="R287" s="151">
        <v>2</v>
      </c>
      <c r="S287" s="151">
        <f>0</f>
        <v>0</v>
      </c>
      <c r="T287" s="151">
        <f>0</f>
        <v>0</v>
      </c>
      <c r="U287" s="151">
        <f>0</f>
        <v>0</v>
      </c>
      <c r="V287" s="151">
        <f>0</f>
        <v>0</v>
      </c>
      <c r="W287" s="151">
        <f>0</f>
        <v>0</v>
      </c>
      <c r="X287" s="151">
        <f>0</f>
        <v>0</v>
      </c>
      <c r="Y287" s="151">
        <f>0</f>
        <v>0</v>
      </c>
      <c r="Z287" s="200">
        <f>0</f>
        <v>0</v>
      </c>
      <c r="AA287" s="174">
        <f t="shared" si="13"/>
        <v>2</v>
      </c>
      <c r="AB287" s="175"/>
      <c r="AC287" s="172">
        <f t="shared" si="14"/>
        <v>2</v>
      </c>
      <c r="AD287" s="176">
        <v>44967</v>
      </c>
      <c r="AE287" s="177" t="s">
        <v>282</v>
      </c>
      <c r="AF287" s="253" t="s">
        <v>1398</v>
      </c>
      <c r="AG287" s="178"/>
      <c r="AH287" s="177"/>
      <c r="AI287" s="85"/>
      <c r="AJ287" s="86">
        <v>2</v>
      </c>
      <c r="AK287" s="179">
        <f t="shared" si="12"/>
        <v>0</v>
      </c>
      <c r="AL287" s="85" t="s">
        <v>1489</v>
      </c>
      <c r="AM287" s="77"/>
      <c r="AN287" s="87"/>
      <c r="AO287" s="180"/>
    </row>
    <row r="288" spans="1:41" s="288" customFormat="1" ht="30.75" customHeight="1">
      <c r="A288" s="233">
        <v>289</v>
      </c>
      <c r="B288" s="234">
        <v>44944</v>
      </c>
      <c r="C288" s="307" t="s">
        <v>810</v>
      </c>
      <c r="D288" s="217" t="s">
        <v>351</v>
      </c>
      <c r="E288" s="217"/>
      <c r="F288" s="167" t="s">
        <v>349</v>
      </c>
      <c r="G288" s="178"/>
      <c r="H288" s="308" t="s">
        <v>351</v>
      </c>
      <c r="I288" s="301" t="s">
        <v>227</v>
      </c>
      <c r="J288" s="84"/>
      <c r="K288" s="84"/>
      <c r="L288" s="84"/>
      <c r="M288" s="84"/>
      <c r="N288" s="216" t="s">
        <v>807</v>
      </c>
      <c r="O288" s="323">
        <f>0</f>
        <v>0</v>
      </c>
      <c r="P288" s="151">
        <f>0</f>
        <v>0</v>
      </c>
      <c r="Q288" s="151">
        <f>0</f>
        <v>0</v>
      </c>
      <c r="R288" s="151">
        <v>2</v>
      </c>
      <c r="S288" s="151">
        <f>0</f>
        <v>0</v>
      </c>
      <c r="T288" s="151">
        <f>0</f>
        <v>0</v>
      </c>
      <c r="U288" s="151">
        <f>0</f>
        <v>0</v>
      </c>
      <c r="V288" s="151">
        <f>0</f>
        <v>0</v>
      </c>
      <c r="W288" s="151">
        <f>0</f>
        <v>0</v>
      </c>
      <c r="X288" s="151">
        <f>0</f>
        <v>0</v>
      </c>
      <c r="Y288" s="151">
        <f>0</f>
        <v>0</v>
      </c>
      <c r="Z288" s="200">
        <f>0</f>
        <v>0</v>
      </c>
      <c r="AA288" s="174">
        <f t="shared" si="13"/>
        <v>2</v>
      </c>
      <c r="AB288" s="175"/>
      <c r="AC288" s="172">
        <f t="shared" si="14"/>
        <v>2</v>
      </c>
      <c r="AD288" s="176">
        <v>44967</v>
      </c>
      <c r="AE288" s="177" t="s">
        <v>282</v>
      </c>
      <c r="AF288" s="253" t="s">
        <v>1398</v>
      </c>
      <c r="AG288" s="178"/>
      <c r="AH288" s="177"/>
      <c r="AI288" s="85"/>
      <c r="AJ288" s="86">
        <v>2</v>
      </c>
      <c r="AK288" s="179">
        <f t="shared" si="12"/>
        <v>0</v>
      </c>
      <c r="AL288" s="85" t="s">
        <v>1489</v>
      </c>
      <c r="AM288" s="77"/>
      <c r="AN288" s="87"/>
      <c r="AO288" s="180"/>
    </row>
    <row r="289" spans="1:41" s="288" customFormat="1" ht="30.75" customHeight="1">
      <c r="A289" s="225">
        <v>290</v>
      </c>
      <c r="B289" s="234">
        <v>44944</v>
      </c>
      <c r="C289" s="307" t="s">
        <v>810</v>
      </c>
      <c r="D289" s="217" t="s">
        <v>791</v>
      </c>
      <c r="E289" s="217"/>
      <c r="F289" s="167" t="s">
        <v>320</v>
      </c>
      <c r="G289" s="178"/>
      <c r="H289" s="308" t="s">
        <v>792</v>
      </c>
      <c r="I289" s="301" t="s">
        <v>318</v>
      </c>
      <c r="J289" s="84"/>
      <c r="K289" s="84"/>
      <c r="L289" s="84"/>
      <c r="M289" s="84"/>
      <c r="N289" s="216" t="s">
        <v>807</v>
      </c>
      <c r="O289" s="323">
        <f>0</f>
        <v>0</v>
      </c>
      <c r="P289" s="151">
        <f>0</f>
        <v>0</v>
      </c>
      <c r="Q289" s="151">
        <f>0</f>
        <v>0</v>
      </c>
      <c r="R289" s="151">
        <v>4</v>
      </c>
      <c r="S289" s="151">
        <f>0</f>
        <v>0</v>
      </c>
      <c r="T289" s="151">
        <f>0</f>
        <v>0</v>
      </c>
      <c r="U289" s="151">
        <f>0</f>
        <v>0</v>
      </c>
      <c r="V289" s="151">
        <f>0</f>
        <v>0</v>
      </c>
      <c r="W289" s="151">
        <f>0</f>
        <v>0</v>
      </c>
      <c r="X289" s="151">
        <f>0</f>
        <v>0</v>
      </c>
      <c r="Y289" s="151">
        <f>0</f>
        <v>0</v>
      </c>
      <c r="Z289" s="200">
        <f>0</f>
        <v>0</v>
      </c>
      <c r="AA289" s="174">
        <f t="shared" si="13"/>
        <v>4</v>
      </c>
      <c r="AB289" s="175"/>
      <c r="AC289" s="172">
        <f t="shared" si="14"/>
        <v>4</v>
      </c>
      <c r="AD289" s="186">
        <v>44949</v>
      </c>
      <c r="AE289" s="187" t="s">
        <v>529</v>
      </c>
      <c r="AF289" s="171" t="s">
        <v>1230</v>
      </c>
      <c r="AG289" s="178"/>
      <c r="AH289" s="187" t="s">
        <v>1327</v>
      </c>
      <c r="AI289" s="85"/>
      <c r="AJ289" s="86">
        <v>4</v>
      </c>
      <c r="AK289" s="179">
        <f t="shared" si="12"/>
        <v>0</v>
      </c>
      <c r="AL289" s="85" t="s">
        <v>1240</v>
      </c>
      <c r="AM289" s="77"/>
      <c r="AN289" s="87"/>
      <c r="AO289" s="180"/>
    </row>
    <row r="290" spans="1:41" s="288" customFormat="1" ht="30.75" customHeight="1">
      <c r="A290" s="233">
        <v>291</v>
      </c>
      <c r="B290" s="234">
        <v>44944</v>
      </c>
      <c r="C290" s="307" t="s">
        <v>810</v>
      </c>
      <c r="D290" s="217" t="s">
        <v>793</v>
      </c>
      <c r="E290" s="217"/>
      <c r="F290" s="167" t="s">
        <v>794</v>
      </c>
      <c r="G290" s="178"/>
      <c r="H290" s="308" t="s">
        <v>793</v>
      </c>
      <c r="I290" s="301" t="s">
        <v>227</v>
      </c>
      <c r="J290" s="84"/>
      <c r="K290" s="84"/>
      <c r="L290" s="84"/>
      <c r="M290" s="84"/>
      <c r="N290" s="216" t="s">
        <v>807</v>
      </c>
      <c r="O290" s="323">
        <f>0</f>
        <v>0</v>
      </c>
      <c r="P290" s="151">
        <f>0</f>
        <v>0</v>
      </c>
      <c r="Q290" s="151">
        <f>0</f>
        <v>0</v>
      </c>
      <c r="R290" s="151">
        <v>2</v>
      </c>
      <c r="S290" s="151">
        <f>0</f>
        <v>0</v>
      </c>
      <c r="T290" s="151">
        <f>0</f>
        <v>0</v>
      </c>
      <c r="U290" s="151">
        <f>0</f>
        <v>0</v>
      </c>
      <c r="V290" s="151">
        <f>0</f>
        <v>0</v>
      </c>
      <c r="W290" s="151">
        <f>0</f>
        <v>0</v>
      </c>
      <c r="X290" s="151">
        <f>0</f>
        <v>0</v>
      </c>
      <c r="Y290" s="151">
        <f>0</f>
        <v>0</v>
      </c>
      <c r="Z290" s="200">
        <f>0</f>
        <v>0</v>
      </c>
      <c r="AA290" s="174">
        <f t="shared" si="13"/>
        <v>2</v>
      </c>
      <c r="AB290" s="175"/>
      <c r="AC290" s="172">
        <f t="shared" si="14"/>
        <v>2</v>
      </c>
      <c r="AD290" s="176">
        <v>44967</v>
      </c>
      <c r="AE290" s="177" t="s">
        <v>282</v>
      </c>
      <c r="AF290" s="253" t="s">
        <v>1398</v>
      </c>
      <c r="AG290" s="178"/>
      <c r="AH290" s="177"/>
      <c r="AI290" s="85"/>
      <c r="AJ290" s="86">
        <v>2</v>
      </c>
      <c r="AK290" s="179">
        <f t="shared" si="12"/>
        <v>0</v>
      </c>
      <c r="AL290" s="85" t="s">
        <v>1489</v>
      </c>
      <c r="AM290" s="77"/>
      <c r="AN290" s="87"/>
      <c r="AO290" s="180"/>
    </row>
    <row r="291" spans="1:41" s="288" customFormat="1" ht="30.75" customHeight="1">
      <c r="A291" s="225">
        <v>292</v>
      </c>
      <c r="B291" s="234">
        <v>44944</v>
      </c>
      <c r="C291" s="307" t="s">
        <v>810</v>
      </c>
      <c r="D291" s="217" t="s">
        <v>795</v>
      </c>
      <c r="E291" s="217">
        <v>0</v>
      </c>
      <c r="F291" s="167" t="s">
        <v>627</v>
      </c>
      <c r="G291" s="178"/>
      <c r="H291" s="308" t="s">
        <v>252</v>
      </c>
      <c r="I291" s="301" t="s">
        <v>629</v>
      </c>
      <c r="J291" s="84"/>
      <c r="K291" s="84"/>
      <c r="L291" s="84"/>
      <c r="M291" s="84"/>
      <c r="N291" s="216" t="s">
        <v>807</v>
      </c>
      <c r="O291" s="323">
        <f>0</f>
        <v>0</v>
      </c>
      <c r="P291" s="151">
        <f>0</f>
        <v>0</v>
      </c>
      <c r="Q291" s="151">
        <f>0</f>
        <v>0</v>
      </c>
      <c r="R291" s="151">
        <v>1</v>
      </c>
      <c r="S291" s="151">
        <f>0</f>
        <v>0</v>
      </c>
      <c r="T291" s="151">
        <f>0</f>
        <v>0</v>
      </c>
      <c r="U291" s="151">
        <f>0</f>
        <v>0</v>
      </c>
      <c r="V291" s="151">
        <f>0</f>
        <v>0</v>
      </c>
      <c r="W291" s="151">
        <f>0</f>
        <v>0</v>
      </c>
      <c r="X291" s="151">
        <f>0</f>
        <v>0</v>
      </c>
      <c r="Y291" s="151">
        <f>0</f>
        <v>0</v>
      </c>
      <c r="Z291" s="200">
        <f>0</f>
        <v>0</v>
      </c>
      <c r="AA291" s="174">
        <f t="shared" si="13"/>
        <v>1</v>
      </c>
      <c r="AB291" s="175"/>
      <c r="AC291" s="172">
        <f t="shared" si="14"/>
        <v>1</v>
      </c>
      <c r="AD291" s="176"/>
      <c r="AE291" s="177" t="s">
        <v>529</v>
      </c>
      <c r="AF291" s="84" t="s">
        <v>44</v>
      </c>
      <c r="AG291" s="178"/>
      <c r="AH291" s="177"/>
      <c r="AI291" s="85"/>
      <c r="AJ291" s="86" t="s">
        <v>499</v>
      </c>
      <c r="AK291" s="179" t="e">
        <f t="shared" si="12"/>
        <v>#VALUE!</v>
      </c>
      <c r="AL291" s="85"/>
      <c r="AM291" s="77"/>
      <c r="AN291" s="87"/>
      <c r="AO291" s="180"/>
    </row>
    <row r="292" spans="1:41" s="288" customFormat="1" ht="30.75" customHeight="1">
      <c r="A292" s="233">
        <v>293</v>
      </c>
      <c r="B292" s="234">
        <v>44944</v>
      </c>
      <c r="C292" s="307" t="s">
        <v>810</v>
      </c>
      <c r="D292" s="217" t="s">
        <v>796</v>
      </c>
      <c r="E292" s="217"/>
      <c r="F292" s="167"/>
      <c r="G292" s="178"/>
      <c r="H292" s="308" t="s">
        <v>809</v>
      </c>
      <c r="I292" s="301" t="s">
        <v>318</v>
      </c>
      <c r="J292" s="84"/>
      <c r="K292" s="84"/>
      <c r="L292" s="84"/>
      <c r="M292" s="84"/>
      <c r="N292" s="216" t="s">
        <v>807</v>
      </c>
      <c r="O292" s="323">
        <f>0</f>
        <v>0</v>
      </c>
      <c r="P292" s="151">
        <f>0</f>
        <v>0</v>
      </c>
      <c r="Q292" s="151">
        <f>0</f>
        <v>0</v>
      </c>
      <c r="R292" s="151">
        <v>8</v>
      </c>
      <c r="S292" s="151">
        <f>0</f>
        <v>0</v>
      </c>
      <c r="T292" s="151">
        <f>0</f>
        <v>0</v>
      </c>
      <c r="U292" s="151">
        <f>0</f>
        <v>0</v>
      </c>
      <c r="V292" s="151">
        <f>0</f>
        <v>0</v>
      </c>
      <c r="W292" s="151">
        <f>0</f>
        <v>0</v>
      </c>
      <c r="X292" s="151">
        <f>0</f>
        <v>0</v>
      </c>
      <c r="Y292" s="151">
        <f>0</f>
        <v>0</v>
      </c>
      <c r="Z292" s="200">
        <f>0</f>
        <v>0</v>
      </c>
      <c r="AA292" s="174">
        <f t="shared" si="13"/>
        <v>8</v>
      </c>
      <c r="AB292" s="175"/>
      <c r="AC292" s="172">
        <f t="shared" si="14"/>
        <v>8</v>
      </c>
      <c r="AD292" s="186">
        <v>44949</v>
      </c>
      <c r="AE292" s="187" t="s">
        <v>529</v>
      </c>
      <c r="AF292" s="171" t="s">
        <v>1230</v>
      </c>
      <c r="AG292" s="178"/>
      <c r="AH292" s="187" t="s">
        <v>1327</v>
      </c>
      <c r="AI292" s="85"/>
      <c r="AJ292" s="86">
        <v>8</v>
      </c>
      <c r="AK292" s="179">
        <f t="shared" si="12"/>
        <v>0</v>
      </c>
      <c r="AL292" s="85" t="s">
        <v>1447</v>
      </c>
      <c r="AM292" s="77"/>
      <c r="AN292" s="87"/>
      <c r="AO292" s="180"/>
    </row>
    <row r="293" spans="1:41" s="288" customFormat="1" ht="30.75" customHeight="1">
      <c r="A293" s="225">
        <v>294</v>
      </c>
      <c r="B293" s="234">
        <v>44944</v>
      </c>
      <c r="C293" s="307" t="s">
        <v>810</v>
      </c>
      <c r="D293" s="217" t="s">
        <v>797</v>
      </c>
      <c r="E293" s="217"/>
      <c r="F293" s="167" t="s">
        <v>313</v>
      </c>
      <c r="G293" s="178"/>
      <c r="H293" s="308" t="s">
        <v>798</v>
      </c>
      <c r="I293" s="301" t="s">
        <v>629</v>
      </c>
      <c r="J293" s="84"/>
      <c r="K293" s="84"/>
      <c r="L293" s="84"/>
      <c r="M293" s="84"/>
      <c r="N293" s="216" t="s">
        <v>807</v>
      </c>
      <c r="O293" s="323">
        <f>0</f>
        <v>0</v>
      </c>
      <c r="P293" s="151">
        <f>0</f>
        <v>0</v>
      </c>
      <c r="Q293" s="151">
        <f>0</f>
        <v>0</v>
      </c>
      <c r="R293" s="151">
        <v>2</v>
      </c>
      <c r="S293" s="151">
        <f>0</f>
        <v>0</v>
      </c>
      <c r="T293" s="151">
        <f>0</f>
        <v>0</v>
      </c>
      <c r="U293" s="151">
        <f>0</f>
        <v>0</v>
      </c>
      <c r="V293" s="151">
        <f>0</f>
        <v>0</v>
      </c>
      <c r="W293" s="151">
        <f>0</f>
        <v>0</v>
      </c>
      <c r="X293" s="151">
        <f>0</f>
        <v>0</v>
      </c>
      <c r="Y293" s="151">
        <f>0</f>
        <v>0</v>
      </c>
      <c r="Z293" s="200">
        <f>0</f>
        <v>0</v>
      </c>
      <c r="AA293" s="174">
        <f t="shared" si="13"/>
        <v>2</v>
      </c>
      <c r="AB293" s="175"/>
      <c r="AC293" s="172">
        <f t="shared" si="14"/>
        <v>2</v>
      </c>
      <c r="AD293" s="176">
        <v>44946</v>
      </c>
      <c r="AE293" s="177" t="s">
        <v>282</v>
      </c>
      <c r="AF293" s="84" t="s">
        <v>1318</v>
      </c>
      <c r="AG293" s="178"/>
      <c r="AH293" s="177"/>
      <c r="AI293" s="85"/>
      <c r="AJ293" s="86">
        <v>2</v>
      </c>
      <c r="AK293" s="179">
        <f t="shared" si="12"/>
        <v>0</v>
      </c>
      <c r="AL293" s="85" t="s">
        <v>1325</v>
      </c>
      <c r="AM293" s="77"/>
      <c r="AN293" s="87"/>
      <c r="AO293" s="180"/>
    </row>
    <row r="294" spans="1:41" s="288" customFormat="1" ht="30.75" customHeight="1">
      <c r="A294" s="233">
        <v>295</v>
      </c>
      <c r="B294" s="234">
        <v>44944</v>
      </c>
      <c r="C294" s="307" t="s">
        <v>810</v>
      </c>
      <c r="D294" s="217" t="s">
        <v>711</v>
      </c>
      <c r="E294" s="217"/>
      <c r="F294" s="167" t="s">
        <v>383</v>
      </c>
      <c r="G294" s="178"/>
      <c r="H294" s="308" t="s">
        <v>680</v>
      </c>
      <c r="I294" s="301" t="s">
        <v>629</v>
      </c>
      <c r="J294" s="84"/>
      <c r="K294" s="84"/>
      <c r="L294" s="84"/>
      <c r="M294" s="84"/>
      <c r="N294" s="216" t="s">
        <v>807</v>
      </c>
      <c r="O294" s="323">
        <f>0</f>
        <v>0</v>
      </c>
      <c r="P294" s="151">
        <f>0</f>
        <v>0</v>
      </c>
      <c r="Q294" s="151">
        <f>0</f>
        <v>0</v>
      </c>
      <c r="R294" s="151">
        <v>2</v>
      </c>
      <c r="S294" s="151">
        <f>0</f>
        <v>0</v>
      </c>
      <c r="T294" s="151">
        <f>0</f>
        <v>0</v>
      </c>
      <c r="U294" s="151">
        <f>0</f>
        <v>0</v>
      </c>
      <c r="V294" s="151">
        <f>0</f>
        <v>0</v>
      </c>
      <c r="W294" s="151">
        <f>0</f>
        <v>0</v>
      </c>
      <c r="X294" s="151">
        <f>0</f>
        <v>0</v>
      </c>
      <c r="Y294" s="151">
        <f>0</f>
        <v>0</v>
      </c>
      <c r="Z294" s="200">
        <f>0</f>
        <v>0</v>
      </c>
      <c r="AA294" s="174">
        <f t="shared" si="13"/>
        <v>2</v>
      </c>
      <c r="AB294" s="175"/>
      <c r="AC294" s="172">
        <f t="shared" si="14"/>
        <v>2</v>
      </c>
      <c r="AD294" s="176"/>
      <c r="AE294" s="177" t="s">
        <v>529</v>
      </c>
      <c r="AF294" s="84"/>
      <c r="AG294" s="178"/>
      <c r="AH294" s="177"/>
      <c r="AI294" s="85"/>
      <c r="AJ294" s="86" t="s">
        <v>499</v>
      </c>
      <c r="AK294" s="179" t="e">
        <f t="shared" si="12"/>
        <v>#VALUE!</v>
      </c>
      <c r="AL294" s="85"/>
      <c r="AM294" s="77"/>
      <c r="AN294" s="87"/>
      <c r="AO294" s="180"/>
    </row>
    <row r="295" spans="1:41" s="288" customFormat="1" ht="30.75" customHeight="1">
      <c r="A295" s="225">
        <v>296</v>
      </c>
      <c r="B295" s="234">
        <v>44944</v>
      </c>
      <c r="C295" s="307" t="s">
        <v>810</v>
      </c>
      <c r="D295" s="308" t="s">
        <v>1285</v>
      </c>
      <c r="E295" s="217"/>
      <c r="F295" s="167" t="s">
        <v>672</v>
      </c>
      <c r="G295" s="178"/>
      <c r="H295" s="308" t="s">
        <v>1285</v>
      </c>
      <c r="I295" s="301" t="s">
        <v>333</v>
      </c>
      <c r="J295" s="84"/>
      <c r="K295" s="84"/>
      <c r="L295" s="84"/>
      <c r="M295" s="84"/>
      <c r="N295" s="216" t="s">
        <v>807</v>
      </c>
      <c r="O295" s="323">
        <f>0</f>
        <v>0</v>
      </c>
      <c r="P295" s="151">
        <f>0</f>
        <v>0</v>
      </c>
      <c r="Q295" s="151">
        <f>0</f>
        <v>0</v>
      </c>
      <c r="R295" s="151">
        <v>2</v>
      </c>
      <c r="S295" s="151">
        <f>0</f>
        <v>0</v>
      </c>
      <c r="T295" s="151">
        <f>0</f>
        <v>0</v>
      </c>
      <c r="U295" s="151">
        <f>0</f>
        <v>0</v>
      </c>
      <c r="V295" s="151">
        <f>0</f>
        <v>0</v>
      </c>
      <c r="W295" s="151">
        <f>0</f>
        <v>0</v>
      </c>
      <c r="X295" s="151">
        <f>0</f>
        <v>0</v>
      </c>
      <c r="Y295" s="151">
        <f>0</f>
        <v>0</v>
      </c>
      <c r="Z295" s="200">
        <f>0</f>
        <v>0</v>
      </c>
      <c r="AA295" s="174">
        <f t="shared" si="13"/>
        <v>2</v>
      </c>
      <c r="AB295" s="175"/>
      <c r="AC295" s="172">
        <f t="shared" si="14"/>
        <v>2</v>
      </c>
      <c r="AD295" s="176">
        <v>44956</v>
      </c>
      <c r="AE295" s="177" t="s">
        <v>282</v>
      </c>
      <c r="AF295" s="84"/>
      <c r="AG295" s="178"/>
      <c r="AH295" s="177" t="s">
        <v>1239</v>
      </c>
      <c r="AI295" s="85"/>
      <c r="AJ295" s="86">
        <v>2</v>
      </c>
      <c r="AK295" s="179">
        <f t="shared" si="12"/>
        <v>0</v>
      </c>
      <c r="AL295" s="85" t="s">
        <v>1454</v>
      </c>
      <c r="AM295" s="77"/>
      <c r="AN295" s="87"/>
      <c r="AO295" s="180"/>
    </row>
    <row r="296" spans="1:41" s="288" customFormat="1" ht="30.75" customHeight="1">
      <c r="A296" s="233">
        <v>297</v>
      </c>
      <c r="B296" s="234">
        <v>44944</v>
      </c>
      <c r="C296" s="307" t="s">
        <v>810</v>
      </c>
      <c r="D296" s="217" t="s">
        <v>799</v>
      </c>
      <c r="E296" s="217">
        <v>0</v>
      </c>
      <c r="F296" s="167" t="s">
        <v>627</v>
      </c>
      <c r="G296" s="178"/>
      <c r="H296" s="308" t="s">
        <v>252</v>
      </c>
      <c r="I296" s="301" t="s">
        <v>629</v>
      </c>
      <c r="J296" s="84"/>
      <c r="K296" s="84"/>
      <c r="L296" s="84"/>
      <c r="M296" s="84"/>
      <c r="N296" s="216" t="s">
        <v>807</v>
      </c>
      <c r="O296" s="323">
        <f>0</f>
        <v>0</v>
      </c>
      <c r="P296" s="151">
        <f>0</f>
        <v>0</v>
      </c>
      <c r="Q296" s="151">
        <f>0</f>
        <v>0</v>
      </c>
      <c r="R296" s="151">
        <v>1</v>
      </c>
      <c r="S296" s="151">
        <f>0</f>
        <v>0</v>
      </c>
      <c r="T296" s="151">
        <f>0</f>
        <v>0</v>
      </c>
      <c r="U296" s="151">
        <f>0</f>
        <v>0</v>
      </c>
      <c r="V296" s="151">
        <f>0</f>
        <v>0</v>
      </c>
      <c r="W296" s="151">
        <f>0</f>
        <v>0</v>
      </c>
      <c r="X296" s="151">
        <f>0</f>
        <v>0</v>
      </c>
      <c r="Y296" s="151">
        <f>0</f>
        <v>0</v>
      </c>
      <c r="Z296" s="200">
        <f>0</f>
        <v>0</v>
      </c>
      <c r="AA296" s="174">
        <f t="shared" si="13"/>
        <v>1</v>
      </c>
      <c r="AB296" s="175"/>
      <c r="AC296" s="172">
        <f t="shared" si="14"/>
        <v>1</v>
      </c>
      <c r="AD296" s="176">
        <v>44946</v>
      </c>
      <c r="AE296" s="177" t="s">
        <v>282</v>
      </c>
      <c r="AF296" s="253"/>
      <c r="AG296" s="178"/>
      <c r="AH296" s="177"/>
      <c r="AI296" s="85"/>
      <c r="AJ296" s="86">
        <v>1</v>
      </c>
      <c r="AK296" s="179">
        <f t="shared" si="12"/>
        <v>0</v>
      </c>
      <c r="AL296" s="85" t="s">
        <v>1240</v>
      </c>
      <c r="AM296" s="77"/>
      <c r="AN296" s="87"/>
      <c r="AO296" s="180"/>
    </row>
    <row r="297" spans="1:41" s="288" customFormat="1" ht="30.75" customHeight="1">
      <c r="A297" s="225">
        <v>298</v>
      </c>
      <c r="B297" s="234">
        <v>44944</v>
      </c>
      <c r="C297" s="307" t="s">
        <v>810</v>
      </c>
      <c r="D297" s="217" t="s">
        <v>253</v>
      </c>
      <c r="E297" s="217"/>
      <c r="F297" s="167" t="s">
        <v>249</v>
      </c>
      <c r="G297" s="178"/>
      <c r="H297" s="308" t="s">
        <v>253</v>
      </c>
      <c r="I297" s="301" t="s">
        <v>250</v>
      </c>
      <c r="J297" s="84"/>
      <c r="K297" s="84"/>
      <c r="L297" s="84"/>
      <c r="M297" s="84"/>
      <c r="N297" s="216" t="s">
        <v>807</v>
      </c>
      <c r="O297" s="323">
        <f>0</f>
        <v>0</v>
      </c>
      <c r="P297" s="151">
        <f>0</f>
        <v>0</v>
      </c>
      <c r="Q297" s="151">
        <f>0</f>
        <v>0</v>
      </c>
      <c r="R297" s="151">
        <v>7</v>
      </c>
      <c r="S297" s="151">
        <f>0</f>
        <v>0</v>
      </c>
      <c r="T297" s="151">
        <f>0</f>
        <v>0</v>
      </c>
      <c r="U297" s="151">
        <f>0</f>
        <v>0</v>
      </c>
      <c r="V297" s="151">
        <f>0</f>
        <v>0</v>
      </c>
      <c r="W297" s="151">
        <f>0</f>
        <v>0</v>
      </c>
      <c r="X297" s="151">
        <f>0</f>
        <v>0</v>
      </c>
      <c r="Y297" s="151">
        <f>0</f>
        <v>0</v>
      </c>
      <c r="Z297" s="200">
        <f>0</f>
        <v>0</v>
      </c>
      <c r="AA297" s="174">
        <f t="shared" si="13"/>
        <v>7</v>
      </c>
      <c r="AB297" s="175"/>
      <c r="AC297" s="172">
        <f t="shared" si="14"/>
        <v>7</v>
      </c>
      <c r="AD297" s="176"/>
      <c r="AE297" s="177" t="s">
        <v>529</v>
      </c>
      <c r="AF297" s="84"/>
      <c r="AG297" s="178"/>
      <c r="AH297" s="177"/>
      <c r="AI297" s="85"/>
      <c r="AJ297" s="86" t="s">
        <v>850</v>
      </c>
      <c r="AK297" s="179" t="e">
        <f t="shared" si="12"/>
        <v>#VALUE!</v>
      </c>
      <c r="AL297" s="85"/>
      <c r="AM297" s="77"/>
      <c r="AN297" s="87"/>
      <c r="AO297" s="180"/>
    </row>
    <row r="298" spans="1:41" s="288" customFormat="1" ht="30.75" customHeight="1">
      <c r="A298" s="233">
        <v>299</v>
      </c>
      <c r="B298" s="234">
        <v>44944</v>
      </c>
      <c r="C298" s="307" t="s">
        <v>810</v>
      </c>
      <c r="D298" s="217" t="s">
        <v>574</v>
      </c>
      <c r="E298" s="217"/>
      <c r="F298" s="167" t="s">
        <v>575</v>
      </c>
      <c r="G298" s="178"/>
      <c r="H298" s="217" t="s">
        <v>574</v>
      </c>
      <c r="I298" s="301" t="s">
        <v>250</v>
      </c>
      <c r="J298" s="84"/>
      <c r="K298" s="84"/>
      <c r="L298" s="84"/>
      <c r="M298" s="84"/>
      <c r="N298" s="216" t="s">
        <v>807</v>
      </c>
      <c r="O298" s="323">
        <f>0</f>
        <v>0</v>
      </c>
      <c r="P298" s="151">
        <f>0</f>
        <v>0</v>
      </c>
      <c r="Q298" s="151">
        <f>0</f>
        <v>0</v>
      </c>
      <c r="R298" s="151">
        <v>4</v>
      </c>
      <c r="S298" s="151">
        <f>0</f>
        <v>0</v>
      </c>
      <c r="T298" s="151">
        <f>0</f>
        <v>0</v>
      </c>
      <c r="U298" s="151">
        <f>0</f>
        <v>0</v>
      </c>
      <c r="V298" s="151">
        <f>0</f>
        <v>0</v>
      </c>
      <c r="W298" s="151">
        <f>0</f>
        <v>0</v>
      </c>
      <c r="X298" s="151">
        <f>0</f>
        <v>0</v>
      </c>
      <c r="Y298" s="151">
        <f>0</f>
        <v>0</v>
      </c>
      <c r="Z298" s="200">
        <f>0</f>
        <v>0</v>
      </c>
      <c r="AA298" s="174">
        <f t="shared" si="13"/>
        <v>4</v>
      </c>
      <c r="AB298" s="175"/>
      <c r="AC298" s="172">
        <f t="shared" si="14"/>
        <v>4</v>
      </c>
      <c r="AD298" s="176"/>
      <c r="AE298" s="177" t="s">
        <v>529</v>
      </c>
      <c r="AF298" s="84"/>
      <c r="AG298" s="178"/>
      <c r="AH298" s="177"/>
      <c r="AI298" s="85"/>
      <c r="AJ298" s="86" t="s">
        <v>850</v>
      </c>
      <c r="AK298" s="179" t="e">
        <f t="shared" si="12"/>
        <v>#VALUE!</v>
      </c>
      <c r="AL298" s="85"/>
      <c r="AM298" s="77"/>
      <c r="AN298" s="87"/>
      <c r="AO298" s="180"/>
    </row>
    <row r="299" spans="1:41" s="288" customFormat="1" ht="30.75" customHeight="1">
      <c r="A299" s="225">
        <v>300</v>
      </c>
      <c r="B299" s="234">
        <v>44944</v>
      </c>
      <c r="C299" s="307" t="s">
        <v>810</v>
      </c>
      <c r="D299" s="217" t="s">
        <v>800</v>
      </c>
      <c r="E299" s="217"/>
      <c r="F299" s="167" t="s">
        <v>801</v>
      </c>
      <c r="G299" s="178"/>
      <c r="H299" s="308" t="s">
        <v>800</v>
      </c>
      <c r="I299" s="301" t="s">
        <v>250</v>
      </c>
      <c r="J299" s="84"/>
      <c r="K299" s="84"/>
      <c r="L299" s="84"/>
      <c r="M299" s="84"/>
      <c r="N299" s="216" t="s">
        <v>807</v>
      </c>
      <c r="O299" s="323">
        <f>0</f>
        <v>0</v>
      </c>
      <c r="P299" s="151">
        <f>0</f>
        <v>0</v>
      </c>
      <c r="Q299" s="151">
        <f>0</f>
        <v>0</v>
      </c>
      <c r="R299" s="151">
        <v>4</v>
      </c>
      <c r="S299" s="151">
        <f>0</f>
        <v>0</v>
      </c>
      <c r="T299" s="151">
        <f>0</f>
        <v>0</v>
      </c>
      <c r="U299" s="151">
        <f>0</f>
        <v>0</v>
      </c>
      <c r="V299" s="151">
        <f>0</f>
        <v>0</v>
      </c>
      <c r="W299" s="151">
        <f>0</f>
        <v>0</v>
      </c>
      <c r="X299" s="151">
        <f>0</f>
        <v>0</v>
      </c>
      <c r="Y299" s="151">
        <f>0</f>
        <v>0</v>
      </c>
      <c r="Z299" s="200">
        <f>0</f>
        <v>0</v>
      </c>
      <c r="AA299" s="174">
        <f t="shared" si="13"/>
        <v>4</v>
      </c>
      <c r="AB299" s="175"/>
      <c r="AC299" s="172">
        <f t="shared" si="14"/>
        <v>4</v>
      </c>
      <c r="AD299" s="176"/>
      <c r="AE299" s="177" t="s">
        <v>529</v>
      </c>
      <c r="AF299" s="84"/>
      <c r="AG299" s="178"/>
      <c r="AH299" s="177"/>
      <c r="AI299" s="85"/>
      <c r="AJ299" s="86" t="s">
        <v>850</v>
      </c>
      <c r="AK299" s="179" t="e">
        <f t="shared" si="12"/>
        <v>#VALUE!</v>
      </c>
      <c r="AL299" s="85"/>
      <c r="AM299" s="77"/>
      <c r="AN299" s="87"/>
      <c r="AO299" s="180"/>
    </row>
    <row r="300" spans="1:41" s="288" customFormat="1" ht="30.75" customHeight="1">
      <c r="A300" s="233">
        <v>301</v>
      </c>
      <c r="B300" s="234">
        <v>44944</v>
      </c>
      <c r="C300" s="307" t="s">
        <v>810</v>
      </c>
      <c r="D300" s="217">
        <v>91137</v>
      </c>
      <c r="E300" s="217"/>
      <c r="F300" s="167" t="s">
        <v>802</v>
      </c>
      <c r="G300" s="178"/>
      <c r="H300" s="308">
        <v>91137</v>
      </c>
      <c r="I300" s="301" t="s">
        <v>250</v>
      </c>
      <c r="J300" s="84"/>
      <c r="K300" s="84"/>
      <c r="L300" s="84"/>
      <c r="M300" s="84"/>
      <c r="N300" s="216" t="s">
        <v>807</v>
      </c>
      <c r="O300" s="323">
        <f>0</f>
        <v>0</v>
      </c>
      <c r="P300" s="151">
        <f>0</f>
        <v>0</v>
      </c>
      <c r="Q300" s="151">
        <f>0</f>
        <v>0</v>
      </c>
      <c r="R300" s="151">
        <v>10</v>
      </c>
      <c r="S300" s="151">
        <f>0</f>
        <v>0</v>
      </c>
      <c r="T300" s="151">
        <f>0</f>
        <v>0</v>
      </c>
      <c r="U300" s="151">
        <f>0</f>
        <v>0</v>
      </c>
      <c r="V300" s="151">
        <f>0</f>
        <v>0</v>
      </c>
      <c r="W300" s="151">
        <f>0</f>
        <v>0</v>
      </c>
      <c r="X300" s="151">
        <f>0</f>
        <v>0</v>
      </c>
      <c r="Y300" s="151">
        <f>0</f>
        <v>0</v>
      </c>
      <c r="Z300" s="200">
        <f>0</f>
        <v>0</v>
      </c>
      <c r="AA300" s="174">
        <f t="shared" si="13"/>
        <v>10</v>
      </c>
      <c r="AB300" s="175"/>
      <c r="AC300" s="172">
        <f t="shared" si="14"/>
        <v>10</v>
      </c>
      <c r="AD300" s="176"/>
      <c r="AE300" s="177" t="s">
        <v>529</v>
      </c>
      <c r="AF300" s="84"/>
      <c r="AG300" s="178"/>
      <c r="AH300" s="177"/>
      <c r="AI300" s="85"/>
      <c r="AJ300" s="86" t="s">
        <v>850</v>
      </c>
      <c r="AK300" s="179" t="e">
        <f t="shared" si="12"/>
        <v>#VALUE!</v>
      </c>
      <c r="AL300" s="85"/>
      <c r="AM300" s="77"/>
      <c r="AN300" s="87"/>
      <c r="AO300" s="180"/>
    </row>
    <row r="301" spans="1:41" s="288" customFormat="1" ht="30.75" customHeight="1">
      <c r="A301" s="225">
        <v>302</v>
      </c>
      <c r="B301" s="234">
        <v>44944</v>
      </c>
      <c r="C301" s="307" t="s">
        <v>810</v>
      </c>
      <c r="D301" s="217" t="s">
        <v>808</v>
      </c>
      <c r="E301" s="217"/>
      <c r="F301" s="167" t="s">
        <v>252</v>
      </c>
      <c r="G301" s="178"/>
      <c r="H301" s="217" t="s">
        <v>808</v>
      </c>
      <c r="I301" s="301" t="s">
        <v>523</v>
      </c>
      <c r="J301" s="84"/>
      <c r="K301" s="84"/>
      <c r="L301" s="84"/>
      <c r="M301" s="84"/>
      <c r="N301" s="216" t="s">
        <v>807</v>
      </c>
      <c r="O301" s="323">
        <f>0</f>
        <v>0</v>
      </c>
      <c r="P301" s="151">
        <f>0</f>
        <v>0</v>
      </c>
      <c r="Q301" s="151">
        <f>0</f>
        <v>0</v>
      </c>
      <c r="R301" s="151">
        <v>2</v>
      </c>
      <c r="S301" s="151">
        <f>0</f>
        <v>0</v>
      </c>
      <c r="T301" s="151">
        <f>0</f>
        <v>0</v>
      </c>
      <c r="U301" s="151">
        <f>0</f>
        <v>0</v>
      </c>
      <c r="V301" s="151">
        <f>0</f>
        <v>0</v>
      </c>
      <c r="W301" s="151">
        <f>0</f>
        <v>0</v>
      </c>
      <c r="X301" s="151">
        <f>0</f>
        <v>0</v>
      </c>
      <c r="Y301" s="151">
        <f>0</f>
        <v>0</v>
      </c>
      <c r="Z301" s="200">
        <f>0</f>
        <v>0</v>
      </c>
      <c r="AA301" s="174">
        <f t="shared" si="13"/>
        <v>2</v>
      </c>
      <c r="AB301" s="175"/>
      <c r="AC301" s="172">
        <f t="shared" si="14"/>
        <v>2</v>
      </c>
      <c r="AD301" s="176"/>
      <c r="AE301" s="177" t="s">
        <v>529</v>
      </c>
      <c r="AF301" s="84"/>
      <c r="AG301" s="178"/>
      <c r="AH301" s="177" t="s">
        <v>738</v>
      </c>
      <c r="AI301" s="85"/>
      <c r="AJ301" s="86">
        <v>2</v>
      </c>
      <c r="AK301" s="179">
        <f t="shared" si="12"/>
        <v>0</v>
      </c>
      <c r="AL301" s="85" t="s">
        <v>1396</v>
      </c>
      <c r="AM301" s="77"/>
      <c r="AN301" s="87"/>
      <c r="AO301" s="180"/>
    </row>
    <row r="302" spans="1:41" s="288" customFormat="1" ht="30.75" customHeight="1">
      <c r="A302" s="233">
        <v>303</v>
      </c>
      <c r="B302" s="234">
        <v>44944</v>
      </c>
      <c r="C302" s="307" t="s">
        <v>810</v>
      </c>
      <c r="D302" s="217" t="s">
        <v>803</v>
      </c>
      <c r="E302" s="217"/>
      <c r="F302" s="167" t="s">
        <v>320</v>
      </c>
      <c r="G302" s="178"/>
      <c r="H302" s="308" t="s">
        <v>609</v>
      </c>
      <c r="I302" s="301" t="s">
        <v>318</v>
      </c>
      <c r="J302" s="84"/>
      <c r="K302" s="84"/>
      <c r="L302" s="84"/>
      <c r="M302" s="84"/>
      <c r="N302" s="216" t="s">
        <v>807</v>
      </c>
      <c r="O302" s="323">
        <f>0</f>
        <v>0</v>
      </c>
      <c r="P302" s="151">
        <f>0</f>
        <v>0</v>
      </c>
      <c r="Q302" s="151">
        <f>0</f>
        <v>0</v>
      </c>
      <c r="R302" s="151">
        <v>2</v>
      </c>
      <c r="S302" s="151">
        <f>0</f>
        <v>0</v>
      </c>
      <c r="T302" s="151">
        <f>0</f>
        <v>0</v>
      </c>
      <c r="U302" s="151">
        <f>0</f>
        <v>0</v>
      </c>
      <c r="V302" s="151">
        <f>0</f>
        <v>0</v>
      </c>
      <c r="W302" s="151">
        <f>0</f>
        <v>0</v>
      </c>
      <c r="X302" s="151">
        <f>0</f>
        <v>0</v>
      </c>
      <c r="Y302" s="151">
        <f>0</f>
        <v>0</v>
      </c>
      <c r="Z302" s="200">
        <f>0</f>
        <v>0</v>
      </c>
      <c r="AA302" s="174">
        <f t="shared" si="13"/>
        <v>2</v>
      </c>
      <c r="AB302" s="175"/>
      <c r="AC302" s="172">
        <f t="shared" si="14"/>
        <v>2</v>
      </c>
      <c r="AD302" s="186">
        <v>44949</v>
      </c>
      <c r="AE302" s="187" t="s">
        <v>529</v>
      </c>
      <c r="AF302" s="171"/>
      <c r="AG302" s="178"/>
      <c r="AH302" s="187" t="s">
        <v>1327</v>
      </c>
      <c r="AI302" s="85"/>
      <c r="AJ302" s="86">
        <v>2</v>
      </c>
      <c r="AK302" s="179">
        <f t="shared" si="12"/>
        <v>0</v>
      </c>
      <c r="AL302" s="85" t="s">
        <v>1240</v>
      </c>
      <c r="AM302" s="77"/>
      <c r="AN302" s="87"/>
      <c r="AO302" s="180"/>
    </row>
    <row r="303" spans="1:41" s="288" customFormat="1" ht="30.75" customHeight="1">
      <c r="A303" s="225">
        <v>304</v>
      </c>
      <c r="B303" s="234">
        <v>44944</v>
      </c>
      <c r="C303" s="307" t="s">
        <v>810</v>
      </c>
      <c r="D303" s="217" t="s">
        <v>610</v>
      </c>
      <c r="E303" s="217"/>
      <c r="F303" s="167" t="s">
        <v>377</v>
      </c>
      <c r="G303" s="178"/>
      <c r="H303" s="308" t="s">
        <v>610</v>
      </c>
      <c r="I303" s="301" t="s">
        <v>318</v>
      </c>
      <c r="J303" s="84"/>
      <c r="K303" s="84"/>
      <c r="L303" s="84"/>
      <c r="M303" s="84"/>
      <c r="N303" s="216" t="s">
        <v>807</v>
      </c>
      <c r="O303" s="323">
        <f>0</f>
        <v>0</v>
      </c>
      <c r="P303" s="151">
        <f>0</f>
        <v>0</v>
      </c>
      <c r="Q303" s="151">
        <f>0</f>
        <v>0</v>
      </c>
      <c r="R303" s="151">
        <v>2</v>
      </c>
      <c r="S303" s="151">
        <f>0</f>
        <v>0</v>
      </c>
      <c r="T303" s="151">
        <f>0</f>
        <v>0</v>
      </c>
      <c r="U303" s="151">
        <f>0</f>
        <v>0</v>
      </c>
      <c r="V303" s="151">
        <f>0</f>
        <v>0</v>
      </c>
      <c r="W303" s="151">
        <f>0</f>
        <v>0</v>
      </c>
      <c r="X303" s="151">
        <f>0</f>
        <v>0</v>
      </c>
      <c r="Y303" s="151">
        <f>0</f>
        <v>0</v>
      </c>
      <c r="Z303" s="200">
        <f>0</f>
        <v>0</v>
      </c>
      <c r="AA303" s="174">
        <f t="shared" si="13"/>
        <v>2</v>
      </c>
      <c r="AB303" s="175"/>
      <c r="AC303" s="172">
        <f t="shared" si="14"/>
        <v>2</v>
      </c>
      <c r="AD303" s="186">
        <v>44949</v>
      </c>
      <c r="AE303" s="187" t="s">
        <v>529</v>
      </c>
      <c r="AF303" s="171" t="s">
        <v>1230</v>
      </c>
      <c r="AG303" s="178"/>
      <c r="AH303" s="187" t="s">
        <v>1327</v>
      </c>
      <c r="AI303" s="85"/>
      <c r="AJ303" s="86">
        <v>2</v>
      </c>
      <c r="AK303" s="179">
        <f t="shared" si="12"/>
        <v>0</v>
      </c>
      <c r="AL303" s="85" t="s">
        <v>1447</v>
      </c>
      <c r="AM303" s="77"/>
      <c r="AN303" s="87"/>
      <c r="AO303" s="180"/>
    </row>
    <row r="304" spans="1:41" s="288" customFormat="1" ht="30.75" customHeight="1">
      <c r="A304" s="233">
        <v>305</v>
      </c>
      <c r="B304" s="234">
        <v>44944</v>
      </c>
      <c r="C304" s="307" t="s">
        <v>810</v>
      </c>
      <c r="D304" s="217" t="s">
        <v>804</v>
      </c>
      <c r="E304" s="217"/>
      <c r="F304" s="167" t="s">
        <v>349</v>
      </c>
      <c r="G304" s="178"/>
      <c r="H304" s="217" t="s">
        <v>804</v>
      </c>
      <c r="I304" s="301" t="s">
        <v>227</v>
      </c>
      <c r="J304" s="84"/>
      <c r="K304" s="84"/>
      <c r="L304" s="84"/>
      <c r="M304" s="84"/>
      <c r="N304" s="216" t="s">
        <v>807</v>
      </c>
      <c r="O304" s="323">
        <f>0</f>
        <v>0</v>
      </c>
      <c r="P304" s="151">
        <f>0</f>
        <v>0</v>
      </c>
      <c r="Q304" s="151">
        <f>0</f>
        <v>0</v>
      </c>
      <c r="R304" s="151">
        <v>2</v>
      </c>
      <c r="S304" s="151">
        <f>0</f>
        <v>0</v>
      </c>
      <c r="T304" s="151">
        <f>0</f>
        <v>0</v>
      </c>
      <c r="U304" s="151">
        <f>0</f>
        <v>0</v>
      </c>
      <c r="V304" s="151">
        <f>0</f>
        <v>0</v>
      </c>
      <c r="W304" s="151">
        <f>0</f>
        <v>0</v>
      </c>
      <c r="X304" s="151">
        <f>0</f>
        <v>0</v>
      </c>
      <c r="Y304" s="151">
        <f>0</f>
        <v>0</v>
      </c>
      <c r="Z304" s="200">
        <f>0</f>
        <v>0</v>
      </c>
      <c r="AA304" s="174">
        <f t="shared" si="13"/>
        <v>2</v>
      </c>
      <c r="AB304" s="175">
        <v>2</v>
      </c>
      <c r="AC304" s="172">
        <f t="shared" si="14"/>
        <v>0</v>
      </c>
      <c r="AD304" s="176"/>
      <c r="AE304" s="177" t="s">
        <v>529</v>
      </c>
      <c r="AF304" s="84" t="s">
        <v>44</v>
      </c>
      <c r="AG304" s="178"/>
      <c r="AH304" s="177"/>
      <c r="AI304" s="85"/>
      <c r="AJ304" s="86"/>
      <c r="AK304" s="179">
        <f t="shared" si="12"/>
        <v>0</v>
      </c>
      <c r="AL304" s="85" t="s">
        <v>851</v>
      </c>
      <c r="AM304" s="77"/>
      <c r="AN304" s="87"/>
      <c r="AO304" s="180"/>
    </row>
    <row r="305" spans="1:41" s="289" customFormat="1" ht="30.75" customHeight="1">
      <c r="A305" s="225">
        <v>306</v>
      </c>
      <c r="B305" s="234">
        <v>44944</v>
      </c>
      <c r="C305" s="307" t="s">
        <v>810</v>
      </c>
      <c r="D305" s="217" t="s">
        <v>1284</v>
      </c>
      <c r="E305" s="217" t="s">
        <v>322</v>
      </c>
      <c r="F305" s="167" t="s">
        <v>1281</v>
      </c>
      <c r="G305" s="84" t="s">
        <v>1283</v>
      </c>
      <c r="H305" s="308" t="s">
        <v>1278</v>
      </c>
      <c r="I305" s="301" t="s">
        <v>616</v>
      </c>
      <c r="J305" s="212" t="s">
        <v>71</v>
      </c>
      <c r="K305" s="84"/>
      <c r="L305" s="84"/>
      <c r="M305" s="84"/>
      <c r="N305" s="216" t="s">
        <v>807</v>
      </c>
      <c r="O305" s="391">
        <f>0</f>
        <v>0</v>
      </c>
      <c r="P305" s="77">
        <f>0</f>
        <v>0</v>
      </c>
      <c r="Q305" s="77">
        <f>0</f>
        <v>0</v>
      </c>
      <c r="R305" s="77">
        <v>2</v>
      </c>
      <c r="S305" s="77">
        <f>0</f>
        <v>0</v>
      </c>
      <c r="T305" s="77">
        <f>0</f>
        <v>0</v>
      </c>
      <c r="U305" s="77">
        <f>0</f>
        <v>0</v>
      </c>
      <c r="V305" s="77">
        <f>0</f>
        <v>0</v>
      </c>
      <c r="W305" s="77">
        <f>0</f>
        <v>0</v>
      </c>
      <c r="X305" s="77">
        <f>0</f>
        <v>0</v>
      </c>
      <c r="Y305" s="77">
        <f>0</f>
        <v>0</v>
      </c>
      <c r="Z305" s="392">
        <f>0</f>
        <v>0</v>
      </c>
      <c r="AA305" s="174">
        <f t="shared" si="13"/>
        <v>2</v>
      </c>
      <c r="AB305" s="175"/>
      <c r="AC305" s="172">
        <f t="shared" si="14"/>
        <v>2</v>
      </c>
      <c r="AD305" s="170">
        <v>45013</v>
      </c>
      <c r="AE305" s="187" t="s">
        <v>239</v>
      </c>
      <c r="AF305" s="84" t="s">
        <v>1589</v>
      </c>
      <c r="AG305" s="178"/>
      <c r="AH305" s="177"/>
      <c r="AI305" s="88" t="s">
        <v>1438</v>
      </c>
      <c r="AJ305" s="86">
        <v>2</v>
      </c>
      <c r="AK305" s="179">
        <f t="shared" si="12"/>
        <v>0</v>
      </c>
      <c r="AL305" s="85" t="s">
        <v>1594</v>
      </c>
      <c r="AM305" s="77"/>
      <c r="AN305" s="87"/>
      <c r="AO305" s="180"/>
    </row>
    <row r="306" spans="1:41" s="288" customFormat="1" ht="30.75" customHeight="1">
      <c r="A306" s="233">
        <v>309</v>
      </c>
      <c r="B306" s="234">
        <v>44944</v>
      </c>
      <c r="C306" s="307" t="s">
        <v>810</v>
      </c>
      <c r="D306" s="217" t="s">
        <v>394</v>
      </c>
      <c r="E306" s="217"/>
      <c r="F306" s="167" t="s">
        <v>395</v>
      </c>
      <c r="G306" s="178"/>
      <c r="H306" s="308" t="s">
        <v>394</v>
      </c>
      <c r="I306" s="301" t="s">
        <v>250</v>
      </c>
      <c r="J306" s="84"/>
      <c r="K306" s="84"/>
      <c r="L306" s="84"/>
      <c r="M306" s="84"/>
      <c r="N306" s="216" t="s">
        <v>807</v>
      </c>
      <c r="O306" s="323">
        <f>0</f>
        <v>0</v>
      </c>
      <c r="P306" s="151">
        <f>0</f>
        <v>0</v>
      </c>
      <c r="Q306" s="151">
        <f>0</f>
        <v>0</v>
      </c>
      <c r="R306" s="151">
        <v>3</v>
      </c>
      <c r="S306" s="151">
        <f>0</f>
        <v>0</v>
      </c>
      <c r="T306" s="151">
        <f>0</f>
        <v>0</v>
      </c>
      <c r="U306" s="151">
        <f>0</f>
        <v>0</v>
      </c>
      <c r="V306" s="151">
        <f>0</f>
        <v>0</v>
      </c>
      <c r="W306" s="151">
        <f>0</f>
        <v>0</v>
      </c>
      <c r="X306" s="151">
        <f>0</f>
        <v>0</v>
      </c>
      <c r="Y306" s="151">
        <f>0</f>
        <v>0</v>
      </c>
      <c r="Z306" s="200">
        <f>0</f>
        <v>0</v>
      </c>
      <c r="AA306" s="174">
        <f t="shared" si="13"/>
        <v>3</v>
      </c>
      <c r="AB306" s="175"/>
      <c r="AC306" s="172">
        <f t="shared" si="14"/>
        <v>3</v>
      </c>
      <c r="AD306" s="176"/>
      <c r="AE306" s="177" t="s">
        <v>529</v>
      </c>
      <c r="AF306" s="84" t="s">
        <v>44</v>
      </c>
      <c r="AG306" s="178"/>
      <c r="AH306" s="177"/>
      <c r="AI306" s="85"/>
      <c r="AJ306" s="86" t="s">
        <v>850</v>
      </c>
      <c r="AK306" s="179" t="e">
        <f t="shared" si="12"/>
        <v>#VALUE!</v>
      </c>
      <c r="AL306" s="85"/>
      <c r="AM306" s="77"/>
      <c r="AN306" s="87"/>
      <c r="AO306" s="180"/>
    </row>
    <row r="307" spans="1:41" s="288" customFormat="1" ht="30.75" customHeight="1">
      <c r="A307" s="225">
        <v>310</v>
      </c>
      <c r="B307" s="234">
        <v>44944</v>
      </c>
      <c r="C307" s="307" t="s">
        <v>810</v>
      </c>
      <c r="D307" s="217" t="s">
        <v>805</v>
      </c>
      <c r="E307" s="217"/>
      <c r="F307" s="167" t="s">
        <v>806</v>
      </c>
      <c r="G307" s="178"/>
      <c r="H307" s="308" t="s">
        <v>805</v>
      </c>
      <c r="I307" s="301" t="s">
        <v>369</v>
      </c>
      <c r="J307" s="84"/>
      <c r="K307" s="84"/>
      <c r="L307" s="84"/>
      <c r="M307" s="84"/>
      <c r="N307" s="216" t="s">
        <v>807</v>
      </c>
      <c r="O307" s="391">
        <f>0</f>
        <v>0</v>
      </c>
      <c r="P307" s="77">
        <f>0</f>
        <v>0</v>
      </c>
      <c r="Q307" s="77">
        <f>0</f>
        <v>0</v>
      </c>
      <c r="R307" s="77">
        <v>3</v>
      </c>
      <c r="S307" s="77">
        <f>0</f>
        <v>0</v>
      </c>
      <c r="T307" s="77">
        <f>0</f>
        <v>0</v>
      </c>
      <c r="U307" s="77">
        <f>0</f>
        <v>0</v>
      </c>
      <c r="V307" s="77">
        <f>0</f>
        <v>0</v>
      </c>
      <c r="W307" s="77">
        <f>0</f>
        <v>0</v>
      </c>
      <c r="X307" s="77">
        <f>0</f>
        <v>0</v>
      </c>
      <c r="Y307" s="77">
        <f>0</f>
        <v>0</v>
      </c>
      <c r="Z307" s="392">
        <f>0</f>
        <v>0</v>
      </c>
      <c r="AA307" s="174">
        <f t="shared" si="13"/>
        <v>3</v>
      </c>
      <c r="AB307" s="175"/>
      <c r="AC307" s="172">
        <f t="shared" si="14"/>
        <v>3</v>
      </c>
      <c r="AD307" s="176"/>
      <c r="AE307" s="177" t="s">
        <v>529</v>
      </c>
      <c r="AF307" s="84" t="s">
        <v>44</v>
      </c>
      <c r="AG307" s="178"/>
      <c r="AH307" s="177"/>
      <c r="AI307" s="85"/>
      <c r="AJ307" s="86"/>
      <c r="AK307" s="179">
        <f t="shared" si="12"/>
        <v>3</v>
      </c>
      <c r="AL307" s="85"/>
      <c r="AM307" s="77"/>
      <c r="AN307" s="87"/>
      <c r="AO307" s="180"/>
    </row>
    <row r="308" spans="1:41" s="288" customFormat="1" ht="30.75" customHeight="1">
      <c r="A308" s="233">
        <v>311</v>
      </c>
      <c r="B308" s="234">
        <v>44944</v>
      </c>
      <c r="C308" s="307" t="s">
        <v>306</v>
      </c>
      <c r="D308" s="217" t="s">
        <v>817</v>
      </c>
      <c r="E308" s="217" t="s">
        <v>338</v>
      </c>
      <c r="F308" s="167" t="s">
        <v>818</v>
      </c>
      <c r="G308" s="178" t="s">
        <v>817</v>
      </c>
      <c r="H308" s="308" t="s">
        <v>817</v>
      </c>
      <c r="I308" s="301" t="s">
        <v>523</v>
      </c>
      <c r="J308" s="84" t="s">
        <v>251</v>
      </c>
      <c r="K308" s="84" t="s">
        <v>252</v>
      </c>
      <c r="L308" s="84" t="s">
        <v>252</v>
      </c>
      <c r="M308" s="84"/>
      <c r="N308" s="216" t="s">
        <v>826</v>
      </c>
      <c r="O308" s="323">
        <f>0</f>
        <v>0</v>
      </c>
      <c r="P308" s="151">
        <f>0</f>
        <v>0</v>
      </c>
      <c r="Q308" s="151">
        <f>0</f>
        <v>0</v>
      </c>
      <c r="R308" s="151">
        <f>0</f>
        <v>0</v>
      </c>
      <c r="S308" s="151">
        <f>0</f>
        <v>0</v>
      </c>
      <c r="T308" s="151">
        <v>1</v>
      </c>
      <c r="U308" s="151">
        <f>0</f>
        <v>0</v>
      </c>
      <c r="V308" s="151">
        <f>0</f>
        <v>0</v>
      </c>
      <c r="W308" s="151">
        <f>0</f>
        <v>0</v>
      </c>
      <c r="X308" s="151">
        <f>0</f>
        <v>0</v>
      </c>
      <c r="Y308" s="151">
        <f>0</f>
        <v>0</v>
      </c>
      <c r="Z308" s="200">
        <f>0</f>
        <v>0</v>
      </c>
      <c r="AA308" s="174">
        <f t="shared" si="13"/>
        <v>1</v>
      </c>
      <c r="AB308" s="175"/>
      <c r="AC308" s="172">
        <f t="shared" si="14"/>
        <v>1</v>
      </c>
      <c r="AD308" s="176"/>
      <c r="AE308" s="177" t="s">
        <v>529</v>
      </c>
      <c r="AF308" s="84" t="s">
        <v>1229</v>
      </c>
      <c r="AG308" s="178"/>
      <c r="AH308" s="177" t="s">
        <v>738</v>
      </c>
      <c r="AI308" s="85"/>
      <c r="AJ308" s="86">
        <v>1</v>
      </c>
      <c r="AK308" s="179">
        <f t="shared" si="12"/>
        <v>0</v>
      </c>
      <c r="AL308" s="85" t="s">
        <v>1396</v>
      </c>
      <c r="AM308" s="77"/>
      <c r="AN308" s="87"/>
      <c r="AO308" s="180"/>
    </row>
    <row r="309" spans="1:41" s="288" customFormat="1" ht="30.75" customHeight="1">
      <c r="A309" s="225">
        <v>312</v>
      </c>
      <c r="B309" s="234">
        <v>44944</v>
      </c>
      <c r="C309" s="235" t="s">
        <v>306</v>
      </c>
      <c r="D309" s="214" t="s">
        <v>819</v>
      </c>
      <c r="E309" s="214" t="s">
        <v>328</v>
      </c>
      <c r="F309" s="222" t="s">
        <v>345</v>
      </c>
      <c r="G309" s="188" t="s">
        <v>825</v>
      </c>
      <c r="H309" s="309">
        <v>1453861</v>
      </c>
      <c r="I309" s="301" t="s">
        <v>329</v>
      </c>
      <c r="J309" s="171" t="s">
        <v>251</v>
      </c>
      <c r="K309" s="171" t="s">
        <v>252</v>
      </c>
      <c r="L309" s="171" t="s">
        <v>252</v>
      </c>
      <c r="M309" s="171"/>
      <c r="N309" s="224" t="s">
        <v>826</v>
      </c>
      <c r="O309" s="323">
        <f>0</f>
        <v>0</v>
      </c>
      <c r="P309" s="151">
        <f>0</f>
        <v>0</v>
      </c>
      <c r="Q309" s="151">
        <f>0</f>
        <v>0</v>
      </c>
      <c r="R309" s="151">
        <f>0</f>
        <v>0</v>
      </c>
      <c r="S309" s="151">
        <f>0</f>
        <v>0</v>
      </c>
      <c r="T309" s="151">
        <v>1</v>
      </c>
      <c r="U309" s="151">
        <f>0</f>
        <v>0</v>
      </c>
      <c r="V309" s="151">
        <f>0</f>
        <v>0</v>
      </c>
      <c r="W309" s="151">
        <f>0</f>
        <v>0</v>
      </c>
      <c r="X309" s="151">
        <f>0</f>
        <v>0</v>
      </c>
      <c r="Y309" s="151">
        <f>0</f>
        <v>0</v>
      </c>
      <c r="Z309" s="200">
        <f>0</f>
        <v>0</v>
      </c>
      <c r="AA309" s="132">
        <f t="shared" si="13"/>
        <v>1</v>
      </c>
      <c r="AB309" s="160"/>
      <c r="AC309" s="161">
        <f t="shared" si="14"/>
        <v>1</v>
      </c>
      <c r="AD309" s="186">
        <v>44965</v>
      </c>
      <c r="AE309" s="187" t="s">
        <v>282</v>
      </c>
      <c r="AF309" s="171" t="s">
        <v>1337</v>
      </c>
      <c r="AG309" s="188"/>
      <c r="AH309" s="186" t="s">
        <v>1499</v>
      </c>
      <c r="AI309" s="88"/>
      <c r="AJ309" s="89">
        <v>1</v>
      </c>
      <c r="AK309" s="189">
        <f t="shared" si="12"/>
        <v>0</v>
      </c>
      <c r="AL309" s="88" t="s">
        <v>1579</v>
      </c>
      <c r="AM309" s="83"/>
      <c r="AN309" s="90"/>
      <c r="AO309" s="190"/>
    </row>
    <row r="310" spans="1:41" s="288" customFormat="1" ht="30.75" customHeight="1">
      <c r="A310" s="233">
        <v>313</v>
      </c>
      <c r="B310" s="234">
        <v>44944</v>
      </c>
      <c r="C310" s="235" t="s">
        <v>306</v>
      </c>
      <c r="D310" s="214" t="s">
        <v>757</v>
      </c>
      <c r="E310" s="214">
        <v>0</v>
      </c>
      <c r="F310" s="222" t="s">
        <v>763</v>
      </c>
      <c r="G310" s="188" t="s">
        <v>757</v>
      </c>
      <c r="H310" s="309">
        <v>530029</v>
      </c>
      <c r="I310" s="301" t="s">
        <v>329</v>
      </c>
      <c r="J310" s="171" t="s">
        <v>251</v>
      </c>
      <c r="K310" s="171" t="s">
        <v>252</v>
      </c>
      <c r="L310" s="171" t="s">
        <v>252</v>
      </c>
      <c r="M310" s="171"/>
      <c r="N310" s="224" t="s">
        <v>826</v>
      </c>
      <c r="O310" s="323">
        <f>0</f>
        <v>0</v>
      </c>
      <c r="P310" s="151">
        <f>0</f>
        <v>0</v>
      </c>
      <c r="Q310" s="151">
        <f>0</f>
        <v>0</v>
      </c>
      <c r="R310" s="151">
        <f>0</f>
        <v>0</v>
      </c>
      <c r="S310" s="151">
        <f>0</f>
        <v>0</v>
      </c>
      <c r="T310" s="151">
        <v>1</v>
      </c>
      <c r="U310" s="151">
        <f>0</f>
        <v>0</v>
      </c>
      <c r="V310" s="151">
        <f>0</f>
        <v>0</v>
      </c>
      <c r="W310" s="151">
        <f>0</f>
        <v>0</v>
      </c>
      <c r="X310" s="151">
        <f>0</f>
        <v>0</v>
      </c>
      <c r="Y310" s="151">
        <f>0</f>
        <v>0</v>
      </c>
      <c r="Z310" s="200">
        <f>0</f>
        <v>0</v>
      </c>
      <c r="AA310" s="132">
        <f t="shared" si="13"/>
        <v>1</v>
      </c>
      <c r="AB310" s="160">
        <v>1</v>
      </c>
      <c r="AC310" s="161">
        <f t="shared" si="14"/>
        <v>0</v>
      </c>
      <c r="AD310" s="186"/>
      <c r="AE310" s="187" t="s">
        <v>529</v>
      </c>
      <c r="AF310" s="171" t="s">
        <v>44</v>
      </c>
      <c r="AG310" s="188"/>
      <c r="AH310" s="187"/>
      <c r="AI310" s="88"/>
      <c r="AJ310" s="89"/>
      <c r="AK310" s="189">
        <f t="shared" si="12"/>
        <v>0</v>
      </c>
      <c r="AL310" s="88" t="s">
        <v>851</v>
      </c>
      <c r="AM310" s="83"/>
      <c r="AN310" s="90"/>
      <c r="AO310" s="190"/>
    </row>
    <row r="311" spans="1:41" s="288" customFormat="1" ht="30.75" customHeight="1">
      <c r="A311" s="225">
        <v>314</v>
      </c>
      <c r="B311" s="234">
        <v>44944</v>
      </c>
      <c r="C311" s="235" t="s">
        <v>306</v>
      </c>
      <c r="D311" s="214" t="s">
        <v>823</v>
      </c>
      <c r="E311" s="214" t="s">
        <v>322</v>
      </c>
      <c r="F311" s="222" t="s">
        <v>672</v>
      </c>
      <c r="G311" s="188" t="s">
        <v>821</v>
      </c>
      <c r="H311" s="309" t="s">
        <v>822</v>
      </c>
      <c r="I311" s="301" t="s">
        <v>333</v>
      </c>
      <c r="J311" s="171" t="s">
        <v>251</v>
      </c>
      <c r="K311" s="171" t="s">
        <v>252</v>
      </c>
      <c r="L311" s="171" t="s">
        <v>252</v>
      </c>
      <c r="M311" s="171"/>
      <c r="N311" s="224" t="s">
        <v>826</v>
      </c>
      <c r="O311" s="323">
        <f>0</f>
        <v>0</v>
      </c>
      <c r="P311" s="151">
        <f>0</f>
        <v>0</v>
      </c>
      <c r="Q311" s="151">
        <f>0</f>
        <v>0</v>
      </c>
      <c r="R311" s="151">
        <f>0</f>
        <v>0</v>
      </c>
      <c r="S311" s="151">
        <f>0</f>
        <v>0</v>
      </c>
      <c r="T311" s="151">
        <v>1</v>
      </c>
      <c r="U311" s="151">
        <f>0</f>
        <v>0</v>
      </c>
      <c r="V311" s="151">
        <f>0</f>
        <v>0</v>
      </c>
      <c r="W311" s="151">
        <f>0</f>
        <v>0</v>
      </c>
      <c r="X311" s="151">
        <f>0</f>
        <v>0</v>
      </c>
      <c r="Y311" s="151">
        <f>0</f>
        <v>0</v>
      </c>
      <c r="Z311" s="200">
        <f>0</f>
        <v>0</v>
      </c>
      <c r="AA311" s="132">
        <f t="shared" si="13"/>
        <v>1</v>
      </c>
      <c r="AB311" s="160"/>
      <c r="AC311" s="161">
        <f t="shared" si="14"/>
        <v>1</v>
      </c>
      <c r="AD311" s="186">
        <v>44951</v>
      </c>
      <c r="AE311" s="187" t="s">
        <v>529</v>
      </c>
      <c r="AF311" s="84" t="s">
        <v>1247</v>
      </c>
      <c r="AG311" s="188"/>
      <c r="AH311" s="187" t="s">
        <v>1239</v>
      </c>
      <c r="AI311" s="88"/>
      <c r="AJ311" s="89">
        <v>1</v>
      </c>
      <c r="AK311" s="189">
        <f t="shared" si="12"/>
        <v>0</v>
      </c>
      <c r="AL311" s="85" t="s">
        <v>1454</v>
      </c>
      <c r="AM311" s="83"/>
      <c r="AN311" s="90"/>
      <c r="AO311" s="190"/>
    </row>
    <row r="312" spans="1:41" s="288" customFormat="1" ht="30.75" customHeight="1">
      <c r="A312" s="233">
        <v>315</v>
      </c>
      <c r="B312" s="234">
        <v>44944</v>
      </c>
      <c r="C312" s="235" t="s">
        <v>306</v>
      </c>
      <c r="D312" s="214" t="s">
        <v>820</v>
      </c>
      <c r="E312" s="214">
        <v>0</v>
      </c>
      <c r="F312" s="222" t="s">
        <v>355</v>
      </c>
      <c r="G312" s="188" t="s">
        <v>820</v>
      </c>
      <c r="H312" s="309" t="s">
        <v>820</v>
      </c>
      <c r="I312" s="301" t="s">
        <v>309</v>
      </c>
      <c r="J312" s="171" t="s">
        <v>251</v>
      </c>
      <c r="K312" s="171" t="s">
        <v>252</v>
      </c>
      <c r="L312" s="171" t="s">
        <v>252</v>
      </c>
      <c r="M312" s="171"/>
      <c r="N312" s="224" t="s">
        <v>826</v>
      </c>
      <c r="O312" s="323">
        <f>0</f>
        <v>0</v>
      </c>
      <c r="P312" s="151">
        <f>0</f>
        <v>0</v>
      </c>
      <c r="Q312" s="151">
        <f>0</f>
        <v>0</v>
      </c>
      <c r="R312" s="151">
        <f>0</f>
        <v>0</v>
      </c>
      <c r="S312" s="151">
        <f>0</f>
        <v>0</v>
      </c>
      <c r="T312" s="151">
        <v>8</v>
      </c>
      <c r="U312" s="151">
        <f>0</f>
        <v>0</v>
      </c>
      <c r="V312" s="151">
        <f>0</f>
        <v>0</v>
      </c>
      <c r="W312" s="151">
        <f>0</f>
        <v>0</v>
      </c>
      <c r="X312" s="151">
        <f>0</f>
        <v>0</v>
      </c>
      <c r="Y312" s="151">
        <f>0</f>
        <v>0</v>
      </c>
      <c r="Z312" s="200">
        <f>0</f>
        <v>0</v>
      </c>
      <c r="AA312" s="132">
        <f t="shared" si="13"/>
        <v>8</v>
      </c>
      <c r="AB312" s="160"/>
      <c r="AC312" s="161">
        <f t="shared" si="14"/>
        <v>8</v>
      </c>
      <c r="AD312" s="176">
        <v>44950</v>
      </c>
      <c r="AE312" s="177" t="s">
        <v>529</v>
      </c>
      <c r="AF312" s="130" t="s">
        <v>1238</v>
      </c>
      <c r="AG312" s="188"/>
      <c r="AH312" s="187" t="s">
        <v>1239</v>
      </c>
      <c r="AI312" s="88"/>
      <c r="AJ312" s="89">
        <v>8</v>
      </c>
      <c r="AK312" s="189">
        <f t="shared" si="12"/>
        <v>0</v>
      </c>
      <c r="AL312" s="88" t="s">
        <v>1454</v>
      </c>
      <c r="AM312" s="83"/>
      <c r="AN312" s="90"/>
      <c r="AO312" s="190"/>
    </row>
    <row r="313" spans="1:41" s="288" customFormat="1" ht="30.75" customHeight="1">
      <c r="A313" s="225">
        <v>316</v>
      </c>
      <c r="B313" s="234">
        <v>44944</v>
      </c>
      <c r="C313" s="235" t="s">
        <v>306</v>
      </c>
      <c r="D313" s="214" t="s">
        <v>824</v>
      </c>
      <c r="E313" s="214"/>
      <c r="F313" s="309" t="s">
        <v>827</v>
      </c>
      <c r="G313" s="309" t="s">
        <v>827</v>
      </c>
      <c r="H313" s="309" t="s">
        <v>827</v>
      </c>
      <c r="I313" s="301" t="s">
        <v>318</v>
      </c>
      <c r="J313" s="171"/>
      <c r="K313" s="171"/>
      <c r="L313" s="171"/>
      <c r="M313" s="309" t="s">
        <v>827</v>
      </c>
      <c r="N313" s="224" t="s">
        <v>826</v>
      </c>
      <c r="O313" s="391">
        <f>0</f>
        <v>0</v>
      </c>
      <c r="P313" s="77">
        <f>0</f>
        <v>0</v>
      </c>
      <c r="Q313" s="77">
        <f>0</f>
        <v>0</v>
      </c>
      <c r="R313" s="77">
        <f>0</f>
        <v>0</v>
      </c>
      <c r="S313" s="77">
        <f>0</f>
        <v>0</v>
      </c>
      <c r="T313" s="77">
        <v>1</v>
      </c>
      <c r="U313" s="77">
        <f>0</f>
        <v>0</v>
      </c>
      <c r="V313" s="77">
        <f>0</f>
        <v>0</v>
      </c>
      <c r="W313" s="77">
        <f>0</f>
        <v>0</v>
      </c>
      <c r="X313" s="77">
        <f>0</f>
        <v>0</v>
      </c>
      <c r="Y313" s="77">
        <f>0</f>
        <v>0</v>
      </c>
      <c r="Z313" s="392">
        <f>0</f>
        <v>0</v>
      </c>
      <c r="AA313" s="132">
        <f t="shared" si="13"/>
        <v>1</v>
      </c>
      <c r="AB313" s="160"/>
      <c r="AC313" s="161">
        <f t="shared" si="14"/>
        <v>1</v>
      </c>
      <c r="AD313" s="186"/>
      <c r="AE313" s="187"/>
      <c r="AF313" s="533" t="s">
        <v>1613</v>
      </c>
      <c r="AG313" s="103"/>
      <c r="AH313" s="98"/>
      <c r="AI313" s="88" t="s">
        <v>1438</v>
      </c>
      <c r="AJ313" s="89">
        <v>1</v>
      </c>
      <c r="AK313" s="189">
        <f t="shared" si="12"/>
        <v>0</v>
      </c>
      <c r="AL313" s="88" t="s">
        <v>1489</v>
      </c>
      <c r="AM313" s="83"/>
      <c r="AN313" s="90"/>
      <c r="AO313" s="190"/>
    </row>
    <row r="314" spans="1:41" s="288" customFormat="1" ht="30.75" customHeight="1">
      <c r="A314" s="233">
        <v>317</v>
      </c>
      <c r="B314" s="234">
        <v>44945</v>
      </c>
      <c r="C314" s="235" t="s">
        <v>306</v>
      </c>
      <c r="D314" s="214" t="s">
        <v>829</v>
      </c>
      <c r="E314" s="214">
        <v>0</v>
      </c>
      <c r="F314" s="222" t="s">
        <v>830</v>
      </c>
      <c r="G314" s="188" t="s">
        <v>831</v>
      </c>
      <c r="H314" s="309" t="s">
        <v>829</v>
      </c>
      <c r="I314" s="301" t="s">
        <v>523</v>
      </c>
      <c r="J314" s="171" t="s">
        <v>252</v>
      </c>
      <c r="K314" s="171" t="s">
        <v>252</v>
      </c>
      <c r="L314" s="171" t="s">
        <v>252</v>
      </c>
      <c r="M314" s="171"/>
      <c r="N314" s="224" t="s">
        <v>601</v>
      </c>
      <c r="O314" s="323">
        <f>0</f>
        <v>0</v>
      </c>
      <c r="P314" s="151">
        <f>0</f>
        <v>0</v>
      </c>
      <c r="Q314" s="151">
        <f>0</f>
        <v>0</v>
      </c>
      <c r="R314" s="151">
        <f>0</f>
        <v>0</v>
      </c>
      <c r="S314" s="151">
        <f>0</f>
        <v>0</v>
      </c>
      <c r="T314" s="151">
        <v>1</v>
      </c>
      <c r="U314" s="151">
        <f>0</f>
        <v>0</v>
      </c>
      <c r="V314" s="151">
        <f>0</f>
        <v>0</v>
      </c>
      <c r="W314" s="151">
        <f>0</f>
        <v>0</v>
      </c>
      <c r="X314" s="151">
        <f>0</f>
        <v>0</v>
      </c>
      <c r="Y314" s="151">
        <f>0</f>
        <v>0</v>
      </c>
      <c r="Z314" s="200">
        <f>0</f>
        <v>0</v>
      </c>
      <c r="AA314" s="143">
        <f t="shared" si="13"/>
        <v>1</v>
      </c>
      <c r="AB314" s="168">
        <v>1</v>
      </c>
      <c r="AC314" s="169">
        <f t="shared" si="14"/>
        <v>0</v>
      </c>
      <c r="AD314" s="186"/>
      <c r="AE314" s="187" t="s">
        <v>529</v>
      </c>
      <c r="AF314" s="171" t="s">
        <v>44</v>
      </c>
      <c r="AG314" s="188"/>
      <c r="AH314" s="187"/>
      <c r="AI314" s="88"/>
      <c r="AJ314" s="89" t="s">
        <v>499</v>
      </c>
      <c r="AK314" s="189" t="e">
        <f t="shared" si="12"/>
        <v>#VALUE!</v>
      </c>
      <c r="AL314" s="88" t="s">
        <v>851</v>
      </c>
      <c r="AM314" s="83"/>
      <c r="AN314" s="90"/>
      <c r="AO314" s="190"/>
    </row>
    <row r="315" spans="1:41" s="288" customFormat="1" ht="30.75" customHeight="1">
      <c r="A315" s="225">
        <v>318</v>
      </c>
      <c r="B315" s="234">
        <v>44945</v>
      </c>
      <c r="C315" s="235" t="s">
        <v>306</v>
      </c>
      <c r="D315" s="217" t="s">
        <v>832</v>
      </c>
      <c r="E315" s="217" t="s">
        <v>322</v>
      </c>
      <c r="F315" s="167" t="s">
        <v>833</v>
      </c>
      <c r="G315" s="178" t="s">
        <v>834</v>
      </c>
      <c r="H315" s="308" t="s">
        <v>832</v>
      </c>
      <c r="I315" s="301" t="s">
        <v>250</v>
      </c>
      <c r="J315" s="84" t="s">
        <v>251</v>
      </c>
      <c r="K315" s="84" t="s">
        <v>252</v>
      </c>
      <c r="L315" s="84" t="s">
        <v>252</v>
      </c>
      <c r="M315" s="84"/>
      <c r="N315" s="224" t="s">
        <v>601</v>
      </c>
      <c r="O315" s="323">
        <f>0</f>
        <v>0</v>
      </c>
      <c r="P315" s="151">
        <f>0</f>
        <v>0</v>
      </c>
      <c r="Q315" s="151">
        <f>0</f>
        <v>0</v>
      </c>
      <c r="R315" s="151">
        <f>0</f>
        <v>0</v>
      </c>
      <c r="S315" s="151">
        <f>0</f>
        <v>0</v>
      </c>
      <c r="T315" s="151">
        <v>4</v>
      </c>
      <c r="U315" s="151">
        <f>0</f>
        <v>0</v>
      </c>
      <c r="V315" s="151">
        <f>0</f>
        <v>0</v>
      </c>
      <c r="W315" s="151">
        <f>0</f>
        <v>0</v>
      </c>
      <c r="X315" s="151">
        <f>0</f>
        <v>0</v>
      </c>
      <c r="Y315" s="151">
        <f>0</f>
        <v>0</v>
      </c>
      <c r="Z315" s="200">
        <f>0</f>
        <v>0</v>
      </c>
      <c r="AA315" s="142">
        <f t="shared" si="13"/>
        <v>4</v>
      </c>
      <c r="AB315" s="123"/>
      <c r="AC315" s="154">
        <f t="shared" si="14"/>
        <v>4</v>
      </c>
      <c r="AD315" s="176"/>
      <c r="AE315" s="177" t="s">
        <v>529</v>
      </c>
      <c r="AF315" s="84" t="s">
        <v>44</v>
      </c>
      <c r="AG315" s="178"/>
      <c r="AH315" s="177"/>
      <c r="AI315" s="85"/>
      <c r="AJ315" s="86" t="s">
        <v>850</v>
      </c>
      <c r="AK315" s="179" t="e">
        <f t="shared" si="12"/>
        <v>#VALUE!</v>
      </c>
      <c r="AL315" s="85"/>
      <c r="AM315" s="77"/>
      <c r="AN315" s="87"/>
      <c r="AO315" s="180"/>
    </row>
    <row r="316" spans="1:41" s="288" customFormat="1" ht="30.75" customHeight="1">
      <c r="A316" s="233">
        <v>319</v>
      </c>
      <c r="B316" s="234">
        <v>44945</v>
      </c>
      <c r="C316" s="235" t="s">
        <v>306</v>
      </c>
      <c r="D316" s="214" t="s">
        <v>392</v>
      </c>
      <c r="E316" s="214" t="s">
        <v>361</v>
      </c>
      <c r="F316" s="222" t="s">
        <v>393</v>
      </c>
      <c r="G316" s="188" t="s">
        <v>392</v>
      </c>
      <c r="H316" s="309" t="s">
        <v>392</v>
      </c>
      <c r="I316" s="301" t="s">
        <v>250</v>
      </c>
      <c r="J316" s="171" t="s">
        <v>251</v>
      </c>
      <c r="K316" s="171" t="s">
        <v>252</v>
      </c>
      <c r="L316" s="171" t="s">
        <v>252</v>
      </c>
      <c r="M316" s="171"/>
      <c r="N316" s="224" t="s">
        <v>601</v>
      </c>
      <c r="O316" s="323">
        <f>0</f>
        <v>0</v>
      </c>
      <c r="P316" s="151">
        <f>0</f>
        <v>0</v>
      </c>
      <c r="Q316" s="151">
        <f>0</f>
        <v>0</v>
      </c>
      <c r="R316" s="151">
        <f>0</f>
        <v>0</v>
      </c>
      <c r="S316" s="151">
        <f>0</f>
        <v>0</v>
      </c>
      <c r="T316" s="151">
        <v>6</v>
      </c>
      <c r="U316" s="151">
        <f>0</f>
        <v>0</v>
      </c>
      <c r="V316" s="151">
        <f>0</f>
        <v>0</v>
      </c>
      <c r="W316" s="151">
        <f>0</f>
        <v>0</v>
      </c>
      <c r="X316" s="151">
        <f>0</f>
        <v>0</v>
      </c>
      <c r="Y316" s="151">
        <f>0</f>
        <v>0</v>
      </c>
      <c r="Z316" s="200">
        <f>0</f>
        <v>0</v>
      </c>
      <c r="AA316" s="143">
        <f t="shared" si="13"/>
        <v>6</v>
      </c>
      <c r="AB316" s="168"/>
      <c r="AC316" s="169">
        <f t="shared" si="14"/>
        <v>6</v>
      </c>
      <c r="AD316" s="186"/>
      <c r="AE316" s="177" t="s">
        <v>529</v>
      </c>
      <c r="AF316" s="171" t="s">
        <v>44</v>
      </c>
      <c r="AG316" s="188"/>
      <c r="AH316" s="187"/>
      <c r="AI316" s="88"/>
      <c r="AJ316" s="86" t="s">
        <v>850</v>
      </c>
      <c r="AK316" s="189" t="e">
        <f t="shared" si="12"/>
        <v>#VALUE!</v>
      </c>
      <c r="AL316" s="88"/>
      <c r="AM316" s="83"/>
      <c r="AN316" s="90"/>
      <c r="AO316" s="190"/>
    </row>
    <row r="317" spans="1:41" s="288" customFormat="1" ht="30.75" customHeight="1">
      <c r="A317" s="225">
        <v>320</v>
      </c>
      <c r="B317" s="234">
        <v>44945</v>
      </c>
      <c r="C317" s="235" t="s">
        <v>306</v>
      </c>
      <c r="D317" s="214">
        <v>92001</v>
      </c>
      <c r="E317" s="214" t="s">
        <v>322</v>
      </c>
      <c r="F317" s="222" t="s">
        <v>364</v>
      </c>
      <c r="G317" s="188">
        <v>92001</v>
      </c>
      <c r="H317" s="309">
        <v>92001</v>
      </c>
      <c r="I317" s="301" t="s">
        <v>250</v>
      </c>
      <c r="J317" s="171" t="s">
        <v>251</v>
      </c>
      <c r="K317" s="171" t="s">
        <v>252</v>
      </c>
      <c r="L317" s="171" t="s">
        <v>252</v>
      </c>
      <c r="M317" s="171"/>
      <c r="N317" s="224" t="s">
        <v>601</v>
      </c>
      <c r="O317" s="323">
        <f>0</f>
        <v>0</v>
      </c>
      <c r="P317" s="151">
        <f>0</f>
        <v>0</v>
      </c>
      <c r="Q317" s="151">
        <f>0</f>
        <v>0</v>
      </c>
      <c r="R317" s="151">
        <f>0</f>
        <v>0</v>
      </c>
      <c r="S317" s="151">
        <f>0</f>
        <v>0</v>
      </c>
      <c r="T317" s="151">
        <v>2</v>
      </c>
      <c r="U317" s="151">
        <f>0</f>
        <v>0</v>
      </c>
      <c r="V317" s="151">
        <f>0</f>
        <v>0</v>
      </c>
      <c r="W317" s="151">
        <f>0</f>
        <v>0</v>
      </c>
      <c r="X317" s="151">
        <f>0</f>
        <v>0</v>
      </c>
      <c r="Y317" s="151">
        <f>0</f>
        <v>0</v>
      </c>
      <c r="Z317" s="200">
        <f>0</f>
        <v>0</v>
      </c>
      <c r="AA317" s="143">
        <f t="shared" si="13"/>
        <v>2</v>
      </c>
      <c r="AB317" s="168"/>
      <c r="AC317" s="169">
        <f t="shared" si="14"/>
        <v>2</v>
      </c>
      <c r="AD317" s="186"/>
      <c r="AE317" s="187" t="s">
        <v>529</v>
      </c>
      <c r="AF317" s="171" t="s">
        <v>44</v>
      </c>
      <c r="AG317" s="188"/>
      <c r="AH317" s="187"/>
      <c r="AI317" s="88"/>
      <c r="AJ317" s="86" t="s">
        <v>850</v>
      </c>
      <c r="AK317" s="189" t="e">
        <f t="shared" ref="AK317:AK380" si="15">AC317-AJ317</f>
        <v>#VALUE!</v>
      </c>
      <c r="AL317" s="88"/>
      <c r="AM317" s="83"/>
      <c r="AN317" s="90"/>
      <c r="AO317" s="190"/>
    </row>
    <row r="318" spans="1:41" s="288" customFormat="1" ht="30.75" customHeight="1">
      <c r="A318" s="233">
        <v>321</v>
      </c>
      <c r="B318" s="234">
        <v>44945</v>
      </c>
      <c r="C318" s="235" t="s">
        <v>306</v>
      </c>
      <c r="D318" s="214" t="s">
        <v>835</v>
      </c>
      <c r="E318" s="214">
        <v>0</v>
      </c>
      <c r="F318" s="222" t="s">
        <v>836</v>
      </c>
      <c r="G318" s="188" t="s">
        <v>835</v>
      </c>
      <c r="H318" s="309" t="s">
        <v>835</v>
      </c>
      <c r="I318" s="301" t="s">
        <v>309</v>
      </c>
      <c r="J318" s="171" t="s">
        <v>251</v>
      </c>
      <c r="K318" s="171"/>
      <c r="L318" s="171"/>
      <c r="M318" s="171"/>
      <c r="N318" s="224" t="s">
        <v>601</v>
      </c>
      <c r="O318" s="323">
        <f>0</f>
        <v>0</v>
      </c>
      <c r="P318" s="151">
        <f>0</f>
        <v>0</v>
      </c>
      <c r="Q318" s="151">
        <f>0</f>
        <v>0</v>
      </c>
      <c r="R318" s="151">
        <f>0</f>
        <v>0</v>
      </c>
      <c r="S318" s="151">
        <f>0</f>
        <v>0</v>
      </c>
      <c r="T318" s="151">
        <v>1</v>
      </c>
      <c r="U318" s="151">
        <f>0</f>
        <v>0</v>
      </c>
      <c r="V318" s="151">
        <f>0</f>
        <v>0</v>
      </c>
      <c r="W318" s="151">
        <f>0</f>
        <v>0</v>
      </c>
      <c r="X318" s="151">
        <f>0</f>
        <v>0</v>
      </c>
      <c r="Y318" s="151">
        <f>0</f>
        <v>0</v>
      </c>
      <c r="Z318" s="200">
        <f>0</f>
        <v>0</v>
      </c>
      <c r="AA318" s="143">
        <f t="shared" si="13"/>
        <v>1</v>
      </c>
      <c r="AB318" s="168"/>
      <c r="AC318" s="169">
        <f t="shared" si="14"/>
        <v>1</v>
      </c>
      <c r="AD318" s="176">
        <v>44950</v>
      </c>
      <c r="AE318" s="177" t="s">
        <v>529</v>
      </c>
      <c r="AF318" s="130" t="s">
        <v>1238</v>
      </c>
      <c r="AG318" s="188"/>
      <c r="AH318" s="187" t="s">
        <v>1239</v>
      </c>
      <c r="AI318" s="88"/>
      <c r="AJ318" s="89">
        <v>1</v>
      </c>
      <c r="AK318" s="189">
        <f t="shared" si="15"/>
        <v>0</v>
      </c>
      <c r="AL318" s="88" t="s">
        <v>1454</v>
      </c>
      <c r="AM318" s="83"/>
      <c r="AN318" s="90"/>
      <c r="AO318" s="190"/>
    </row>
    <row r="319" spans="1:41" s="288" customFormat="1" ht="30.75" customHeight="1">
      <c r="A319" s="225">
        <v>322</v>
      </c>
      <c r="B319" s="234">
        <v>44945</v>
      </c>
      <c r="C319" s="235" t="s">
        <v>306</v>
      </c>
      <c r="D319" s="214" t="s">
        <v>837</v>
      </c>
      <c r="E319" s="214" t="s">
        <v>322</v>
      </c>
      <c r="F319" s="222" t="s">
        <v>838</v>
      </c>
      <c r="G319" s="188" t="s">
        <v>837</v>
      </c>
      <c r="H319" s="309" t="s">
        <v>837</v>
      </c>
      <c r="I319" s="301" t="s">
        <v>568</v>
      </c>
      <c r="J319" s="171" t="s">
        <v>251</v>
      </c>
      <c r="K319" s="171" t="s">
        <v>252</v>
      </c>
      <c r="L319" s="171" t="s">
        <v>252</v>
      </c>
      <c r="M319" s="171"/>
      <c r="N319" s="224" t="s">
        <v>601</v>
      </c>
      <c r="O319" s="323">
        <f>0</f>
        <v>0</v>
      </c>
      <c r="P319" s="151">
        <f>0</f>
        <v>0</v>
      </c>
      <c r="Q319" s="151">
        <f>0</f>
        <v>0</v>
      </c>
      <c r="R319" s="151">
        <f>0</f>
        <v>0</v>
      </c>
      <c r="S319" s="151">
        <f>0</f>
        <v>0</v>
      </c>
      <c r="T319" s="151">
        <v>2</v>
      </c>
      <c r="U319" s="151">
        <f>0</f>
        <v>0</v>
      </c>
      <c r="V319" s="151">
        <f>0</f>
        <v>0</v>
      </c>
      <c r="W319" s="151">
        <f>0</f>
        <v>0</v>
      </c>
      <c r="X319" s="151">
        <f>0</f>
        <v>0</v>
      </c>
      <c r="Y319" s="151">
        <f>0</f>
        <v>0</v>
      </c>
      <c r="Z319" s="200">
        <f>0</f>
        <v>0</v>
      </c>
      <c r="AA319" s="143">
        <f t="shared" si="13"/>
        <v>2</v>
      </c>
      <c r="AB319" s="168">
        <v>2</v>
      </c>
      <c r="AC319" s="169">
        <f t="shared" si="14"/>
        <v>0</v>
      </c>
      <c r="AD319" s="186"/>
      <c r="AE319" s="187" t="s">
        <v>529</v>
      </c>
      <c r="AF319" s="171" t="s">
        <v>44</v>
      </c>
      <c r="AG319" s="188"/>
      <c r="AH319" s="187"/>
      <c r="AI319" s="88"/>
      <c r="AJ319" s="89" t="s">
        <v>499</v>
      </c>
      <c r="AK319" s="189" t="e">
        <f t="shared" si="15"/>
        <v>#VALUE!</v>
      </c>
      <c r="AL319" s="88" t="s">
        <v>851</v>
      </c>
      <c r="AM319" s="83"/>
      <c r="AN319" s="90"/>
      <c r="AO319" s="190"/>
    </row>
    <row r="320" spans="1:41" s="288" customFormat="1" ht="30.75" customHeight="1">
      <c r="A320" s="233">
        <v>323</v>
      </c>
      <c r="B320" s="234">
        <v>44945</v>
      </c>
      <c r="C320" s="235" t="s">
        <v>306</v>
      </c>
      <c r="D320" s="217" t="s">
        <v>849</v>
      </c>
      <c r="E320" s="217" t="s">
        <v>322</v>
      </c>
      <c r="F320" s="167" t="s">
        <v>839</v>
      </c>
      <c r="G320" s="84" t="s">
        <v>849</v>
      </c>
      <c r="H320" s="308" t="s">
        <v>849</v>
      </c>
      <c r="I320" s="301" t="s">
        <v>846</v>
      </c>
      <c r="J320" s="84" t="s">
        <v>251</v>
      </c>
      <c r="K320" s="84" t="s">
        <v>252</v>
      </c>
      <c r="L320" s="84" t="s">
        <v>252</v>
      </c>
      <c r="M320" s="84"/>
      <c r="N320" s="224" t="s">
        <v>601</v>
      </c>
      <c r="O320" s="323">
        <f>0</f>
        <v>0</v>
      </c>
      <c r="P320" s="151">
        <f>0</f>
        <v>0</v>
      </c>
      <c r="Q320" s="151">
        <f>0</f>
        <v>0</v>
      </c>
      <c r="R320" s="151">
        <f>0</f>
        <v>0</v>
      </c>
      <c r="S320" s="151">
        <f>0</f>
        <v>0</v>
      </c>
      <c r="T320" s="151">
        <v>1</v>
      </c>
      <c r="U320" s="151">
        <f>0</f>
        <v>0</v>
      </c>
      <c r="V320" s="151">
        <f>0</f>
        <v>0</v>
      </c>
      <c r="W320" s="151">
        <f>0</f>
        <v>0</v>
      </c>
      <c r="X320" s="151">
        <f>0</f>
        <v>0</v>
      </c>
      <c r="Y320" s="151">
        <f>0</f>
        <v>0</v>
      </c>
      <c r="Z320" s="200">
        <f>0</f>
        <v>0</v>
      </c>
      <c r="AA320" s="174">
        <f t="shared" si="13"/>
        <v>1</v>
      </c>
      <c r="AB320" s="175"/>
      <c r="AC320" s="172">
        <f t="shared" si="14"/>
        <v>1</v>
      </c>
      <c r="AD320" s="176">
        <v>44965</v>
      </c>
      <c r="AE320" s="177" t="s">
        <v>282</v>
      </c>
      <c r="AF320" s="253" t="s">
        <v>1336</v>
      </c>
      <c r="AG320" s="178"/>
      <c r="AH320" s="177"/>
      <c r="AI320" s="85"/>
      <c r="AJ320" s="86">
        <v>1</v>
      </c>
      <c r="AK320" s="179">
        <f t="shared" si="15"/>
        <v>0</v>
      </c>
      <c r="AL320" s="85" t="s">
        <v>1478</v>
      </c>
      <c r="AM320" s="77"/>
      <c r="AN320" s="87"/>
      <c r="AO320" s="180"/>
    </row>
    <row r="321" spans="1:41" s="288" customFormat="1" ht="30.75" customHeight="1">
      <c r="A321" s="225">
        <v>324</v>
      </c>
      <c r="B321" s="234">
        <v>44945</v>
      </c>
      <c r="C321" s="235" t="s">
        <v>306</v>
      </c>
      <c r="D321" s="217" t="s">
        <v>840</v>
      </c>
      <c r="E321" s="217">
        <v>0</v>
      </c>
      <c r="F321" s="167" t="s">
        <v>841</v>
      </c>
      <c r="G321" s="178" t="s">
        <v>840</v>
      </c>
      <c r="H321" s="308" t="s">
        <v>840</v>
      </c>
      <c r="I321" s="301" t="s">
        <v>846</v>
      </c>
      <c r="J321" s="84" t="s">
        <v>251</v>
      </c>
      <c r="K321" s="84" t="s">
        <v>252</v>
      </c>
      <c r="L321" s="84" t="s">
        <v>252</v>
      </c>
      <c r="M321" s="84"/>
      <c r="N321" s="224" t="s">
        <v>601</v>
      </c>
      <c r="O321" s="323">
        <f>0</f>
        <v>0</v>
      </c>
      <c r="P321" s="151">
        <f>0</f>
        <v>0</v>
      </c>
      <c r="Q321" s="151">
        <f>0</f>
        <v>0</v>
      </c>
      <c r="R321" s="151">
        <f>0</f>
        <v>0</v>
      </c>
      <c r="S321" s="151">
        <f>0</f>
        <v>0</v>
      </c>
      <c r="T321" s="151">
        <v>2</v>
      </c>
      <c r="U321" s="151">
        <f>0</f>
        <v>0</v>
      </c>
      <c r="V321" s="151">
        <f>0</f>
        <v>0</v>
      </c>
      <c r="W321" s="151">
        <f>0</f>
        <v>0</v>
      </c>
      <c r="X321" s="151">
        <f>0</f>
        <v>0</v>
      </c>
      <c r="Y321" s="151">
        <f>0</f>
        <v>0</v>
      </c>
      <c r="Z321" s="200">
        <f>0</f>
        <v>0</v>
      </c>
      <c r="AA321" s="174">
        <f t="shared" si="13"/>
        <v>2</v>
      </c>
      <c r="AB321" s="175"/>
      <c r="AC321" s="172">
        <f t="shared" si="14"/>
        <v>2</v>
      </c>
      <c r="AD321" s="176">
        <v>44965</v>
      </c>
      <c r="AE321" s="177" t="s">
        <v>282</v>
      </c>
      <c r="AF321" s="253" t="s">
        <v>1336</v>
      </c>
      <c r="AG321" s="178"/>
      <c r="AH321" s="177"/>
      <c r="AI321" s="85"/>
      <c r="AJ321" s="86">
        <v>2</v>
      </c>
      <c r="AK321" s="179">
        <f t="shared" si="15"/>
        <v>0</v>
      </c>
      <c r="AL321" s="85" t="s">
        <v>1478</v>
      </c>
      <c r="AM321" s="77"/>
      <c r="AN321" s="87"/>
      <c r="AO321" s="180"/>
    </row>
    <row r="322" spans="1:41" s="288" customFormat="1" ht="30.75" customHeight="1">
      <c r="A322" s="233">
        <v>325</v>
      </c>
      <c r="B322" s="234">
        <v>44945</v>
      </c>
      <c r="C322" s="235" t="s">
        <v>306</v>
      </c>
      <c r="D322" s="217" t="s">
        <v>842</v>
      </c>
      <c r="E322" s="217" t="s">
        <v>322</v>
      </c>
      <c r="F322" s="167" t="s">
        <v>843</v>
      </c>
      <c r="G322" s="178" t="s">
        <v>842</v>
      </c>
      <c r="H322" s="308" t="s">
        <v>842</v>
      </c>
      <c r="I322" s="301" t="s">
        <v>846</v>
      </c>
      <c r="J322" s="84" t="s">
        <v>251</v>
      </c>
      <c r="K322" s="84" t="s">
        <v>252</v>
      </c>
      <c r="L322" s="84" t="s">
        <v>252</v>
      </c>
      <c r="M322" s="84"/>
      <c r="N322" s="224" t="s">
        <v>601</v>
      </c>
      <c r="O322" s="323">
        <f>0</f>
        <v>0</v>
      </c>
      <c r="P322" s="151">
        <f>0</f>
        <v>0</v>
      </c>
      <c r="Q322" s="151">
        <f>0</f>
        <v>0</v>
      </c>
      <c r="R322" s="151">
        <f>0</f>
        <v>0</v>
      </c>
      <c r="S322" s="151">
        <f>0</f>
        <v>0</v>
      </c>
      <c r="T322" s="151">
        <v>2</v>
      </c>
      <c r="U322" s="151">
        <f>0</f>
        <v>0</v>
      </c>
      <c r="V322" s="151">
        <f>0</f>
        <v>0</v>
      </c>
      <c r="W322" s="151">
        <f>0</f>
        <v>0</v>
      </c>
      <c r="X322" s="151">
        <f>0</f>
        <v>0</v>
      </c>
      <c r="Y322" s="151">
        <f>0</f>
        <v>0</v>
      </c>
      <c r="Z322" s="200">
        <f>0</f>
        <v>0</v>
      </c>
      <c r="AA322" s="174">
        <f t="shared" si="13"/>
        <v>2</v>
      </c>
      <c r="AB322" s="175"/>
      <c r="AC322" s="172">
        <f t="shared" si="14"/>
        <v>2</v>
      </c>
      <c r="AD322" s="176">
        <v>44965</v>
      </c>
      <c r="AE322" s="177" t="s">
        <v>282</v>
      </c>
      <c r="AF322" s="253" t="s">
        <v>1336</v>
      </c>
      <c r="AG322" s="178"/>
      <c r="AH322" s="177"/>
      <c r="AI322" s="85"/>
      <c r="AJ322" s="86">
        <v>2</v>
      </c>
      <c r="AK322" s="179">
        <f t="shared" si="15"/>
        <v>0</v>
      </c>
      <c r="AL322" s="85" t="s">
        <v>1478</v>
      </c>
      <c r="AM322" s="77"/>
      <c r="AN322" s="87"/>
      <c r="AO322" s="180"/>
    </row>
    <row r="323" spans="1:41" s="288" customFormat="1" ht="30.75" customHeight="1">
      <c r="A323" s="225">
        <v>326</v>
      </c>
      <c r="B323" s="234">
        <v>44945</v>
      </c>
      <c r="C323" s="235" t="s">
        <v>306</v>
      </c>
      <c r="D323" s="214" t="s">
        <v>844</v>
      </c>
      <c r="E323" s="214">
        <v>0</v>
      </c>
      <c r="F323" s="222" t="s">
        <v>845</v>
      </c>
      <c r="G323" s="188" t="s">
        <v>844</v>
      </c>
      <c r="H323" s="309" t="s">
        <v>844</v>
      </c>
      <c r="I323" s="301" t="s">
        <v>846</v>
      </c>
      <c r="J323" s="171" t="s">
        <v>251</v>
      </c>
      <c r="K323" s="171" t="s">
        <v>252</v>
      </c>
      <c r="L323" s="171" t="s">
        <v>252</v>
      </c>
      <c r="M323" s="171"/>
      <c r="N323" s="224" t="s">
        <v>601</v>
      </c>
      <c r="O323" s="323">
        <f>0</f>
        <v>0</v>
      </c>
      <c r="P323" s="151">
        <f>0</f>
        <v>0</v>
      </c>
      <c r="Q323" s="151">
        <f>0</f>
        <v>0</v>
      </c>
      <c r="R323" s="151">
        <f>0</f>
        <v>0</v>
      </c>
      <c r="S323" s="151">
        <f>0</f>
        <v>0</v>
      </c>
      <c r="T323" s="151">
        <v>2</v>
      </c>
      <c r="U323" s="151">
        <f>0</f>
        <v>0</v>
      </c>
      <c r="V323" s="151">
        <f>0</f>
        <v>0</v>
      </c>
      <c r="W323" s="151">
        <f>0</f>
        <v>0</v>
      </c>
      <c r="X323" s="151">
        <f>0</f>
        <v>0</v>
      </c>
      <c r="Y323" s="151">
        <f>0</f>
        <v>0</v>
      </c>
      <c r="Z323" s="200">
        <f>0</f>
        <v>0</v>
      </c>
      <c r="AA323" s="132">
        <f t="shared" si="13"/>
        <v>2</v>
      </c>
      <c r="AB323" s="160"/>
      <c r="AC323" s="161">
        <f t="shared" si="14"/>
        <v>2</v>
      </c>
      <c r="AD323" s="186">
        <v>44965</v>
      </c>
      <c r="AE323" s="187" t="s">
        <v>282</v>
      </c>
      <c r="AF323" s="253" t="s">
        <v>1336</v>
      </c>
      <c r="AG323" s="188"/>
      <c r="AH323" s="187"/>
      <c r="AI323" s="88"/>
      <c r="AJ323" s="89">
        <v>2</v>
      </c>
      <c r="AK323" s="189">
        <f t="shared" si="15"/>
        <v>0</v>
      </c>
      <c r="AL323" s="88" t="s">
        <v>1478</v>
      </c>
      <c r="AM323" s="83"/>
      <c r="AN323" s="90"/>
      <c r="AO323" s="190"/>
    </row>
    <row r="324" spans="1:41" s="288" customFormat="1" ht="30.75" customHeight="1">
      <c r="A324" s="233">
        <v>327</v>
      </c>
      <c r="B324" s="234">
        <v>44945</v>
      </c>
      <c r="C324" s="235" t="s">
        <v>306</v>
      </c>
      <c r="D324" s="214" t="s">
        <v>847</v>
      </c>
      <c r="E324" s="214" t="s">
        <v>322</v>
      </c>
      <c r="F324" s="222" t="s">
        <v>848</v>
      </c>
      <c r="G324" s="188" t="s">
        <v>847</v>
      </c>
      <c r="H324" s="309" t="s">
        <v>847</v>
      </c>
      <c r="I324" s="232" t="s">
        <v>509</v>
      </c>
      <c r="J324" s="171"/>
      <c r="K324" s="171" t="s">
        <v>252</v>
      </c>
      <c r="L324" s="171" t="s">
        <v>252</v>
      </c>
      <c r="M324" s="224" t="s">
        <v>601</v>
      </c>
      <c r="N324" s="216" t="s">
        <v>71</v>
      </c>
      <c r="O324" s="391">
        <f>0</f>
        <v>0</v>
      </c>
      <c r="P324" s="77">
        <f>0</f>
        <v>0</v>
      </c>
      <c r="Q324" s="77">
        <f>0</f>
        <v>0</v>
      </c>
      <c r="R324" s="77">
        <f>0</f>
        <v>0</v>
      </c>
      <c r="S324" s="77">
        <f>0</f>
        <v>0</v>
      </c>
      <c r="T324" s="77">
        <v>1</v>
      </c>
      <c r="U324" s="77">
        <f>0</f>
        <v>0</v>
      </c>
      <c r="V324" s="77">
        <f>0</f>
        <v>0</v>
      </c>
      <c r="W324" s="77">
        <f>0</f>
        <v>0</v>
      </c>
      <c r="X324" s="77">
        <f>0</f>
        <v>0</v>
      </c>
      <c r="Y324" s="77">
        <f>0</f>
        <v>0</v>
      </c>
      <c r="Z324" s="392">
        <f>0</f>
        <v>0</v>
      </c>
      <c r="AA324" s="132">
        <f t="shared" si="13"/>
        <v>1</v>
      </c>
      <c r="AB324" s="160"/>
      <c r="AC324" s="161">
        <f t="shared" si="14"/>
        <v>1</v>
      </c>
      <c r="AD324" s="170" t="s">
        <v>1586</v>
      </c>
      <c r="AE324" s="187" t="s">
        <v>239</v>
      </c>
      <c r="AF324" s="84" t="s">
        <v>1587</v>
      </c>
      <c r="AG324" s="188"/>
      <c r="AH324" s="187"/>
      <c r="AI324" s="88" t="s">
        <v>1438</v>
      </c>
      <c r="AJ324" s="89"/>
      <c r="AK324" s="189">
        <f t="shared" si="15"/>
        <v>1</v>
      </c>
      <c r="AL324" s="88"/>
      <c r="AM324" s="83"/>
      <c r="AN324" s="90"/>
      <c r="AO324" s="190"/>
    </row>
    <row r="325" spans="1:41" s="288" customFormat="1" ht="30.75" customHeight="1">
      <c r="A325" s="225">
        <v>328</v>
      </c>
      <c r="B325" s="234">
        <v>44945</v>
      </c>
      <c r="C325" s="235" t="s">
        <v>856</v>
      </c>
      <c r="D325" s="214" t="s">
        <v>852</v>
      </c>
      <c r="E325" s="214"/>
      <c r="F325" s="511" t="s">
        <v>853</v>
      </c>
      <c r="G325" s="215" t="s">
        <v>854</v>
      </c>
      <c r="H325" s="215"/>
      <c r="I325" s="530" t="s">
        <v>318</v>
      </c>
      <c r="J325" s="215" t="s">
        <v>868</v>
      </c>
      <c r="K325" s="215"/>
      <c r="L325" s="215"/>
      <c r="M325" s="521" t="s">
        <v>855</v>
      </c>
      <c r="N325" s="216" t="s">
        <v>943</v>
      </c>
      <c r="O325" s="323">
        <f>0</f>
        <v>0</v>
      </c>
      <c r="P325" s="151">
        <v>2</v>
      </c>
      <c r="Q325" s="151">
        <v>0</v>
      </c>
      <c r="R325" s="151">
        <v>0</v>
      </c>
      <c r="S325" s="151">
        <v>0</v>
      </c>
      <c r="T325" s="151">
        <v>0</v>
      </c>
      <c r="U325" s="151">
        <v>0</v>
      </c>
      <c r="V325" s="151">
        <f>0</f>
        <v>0</v>
      </c>
      <c r="W325" s="151">
        <v>0</v>
      </c>
      <c r="X325" s="151">
        <f>0</f>
        <v>0</v>
      </c>
      <c r="Y325" s="151">
        <f>0</f>
        <v>0</v>
      </c>
      <c r="Z325" s="200">
        <f>0</f>
        <v>0</v>
      </c>
      <c r="AA325" s="143">
        <f t="shared" si="13"/>
        <v>2</v>
      </c>
      <c r="AB325" s="168"/>
      <c r="AC325" s="169">
        <f t="shared" si="14"/>
        <v>2</v>
      </c>
      <c r="AD325" s="186">
        <v>44964</v>
      </c>
      <c r="AE325" s="187" t="s">
        <v>529</v>
      </c>
      <c r="AF325" s="171" t="s">
        <v>1328</v>
      </c>
      <c r="AG325" s="188"/>
      <c r="AH325" s="187" t="s">
        <v>1327</v>
      </c>
      <c r="AI325" s="88"/>
      <c r="AJ325" s="89">
        <v>2</v>
      </c>
      <c r="AK325" s="189">
        <f t="shared" si="15"/>
        <v>0</v>
      </c>
      <c r="AL325" s="91" t="s">
        <v>1483</v>
      </c>
      <c r="AM325" s="83"/>
      <c r="AN325" s="90"/>
      <c r="AO325" s="190"/>
    </row>
    <row r="326" spans="1:41" s="288" customFormat="1" ht="30.75" customHeight="1">
      <c r="A326" s="233">
        <v>329</v>
      </c>
      <c r="B326" s="234">
        <v>44945</v>
      </c>
      <c r="C326" s="235" t="s">
        <v>856</v>
      </c>
      <c r="D326" s="217" t="s">
        <v>857</v>
      </c>
      <c r="E326" s="217" t="s">
        <v>322</v>
      </c>
      <c r="F326" s="167" t="s">
        <v>858</v>
      </c>
      <c r="G326" s="178" t="s">
        <v>857</v>
      </c>
      <c r="H326" s="84" t="s">
        <v>252</v>
      </c>
      <c r="I326" s="194" t="s">
        <v>227</v>
      </c>
      <c r="J326" s="84" t="s">
        <v>251</v>
      </c>
      <c r="K326" s="84" t="s">
        <v>252</v>
      </c>
      <c r="L326" s="84" t="s">
        <v>252</v>
      </c>
      <c r="M326" s="84"/>
      <c r="N326" s="216" t="s">
        <v>946</v>
      </c>
      <c r="O326" s="323">
        <v>0</v>
      </c>
      <c r="P326" s="151">
        <v>2</v>
      </c>
      <c r="Q326" s="151">
        <v>0</v>
      </c>
      <c r="R326" s="151">
        <v>0</v>
      </c>
      <c r="S326" s="151">
        <v>0</v>
      </c>
      <c r="T326" s="151">
        <v>0</v>
      </c>
      <c r="U326" s="151">
        <v>0</v>
      </c>
      <c r="V326" s="151">
        <f>0</f>
        <v>0</v>
      </c>
      <c r="W326" s="151">
        <v>0</v>
      </c>
      <c r="X326" s="151">
        <f>0</f>
        <v>0</v>
      </c>
      <c r="Y326" s="151">
        <f>0</f>
        <v>0</v>
      </c>
      <c r="Z326" s="200">
        <f>0</f>
        <v>0</v>
      </c>
      <c r="AA326" s="142">
        <f t="shared" ref="AA326:AA389" si="16">SUM(O326:Z326)</f>
        <v>2</v>
      </c>
      <c r="AB326" s="123">
        <v>2</v>
      </c>
      <c r="AC326" s="154">
        <f t="shared" ref="AC326:AC389" si="17">AA326-AB326</f>
        <v>0</v>
      </c>
      <c r="AD326" s="176"/>
      <c r="AE326" s="177" t="s">
        <v>529</v>
      </c>
      <c r="AF326" s="84" t="s">
        <v>44</v>
      </c>
      <c r="AG326" s="178"/>
      <c r="AH326" s="177"/>
      <c r="AI326" s="85"/>
      <c r="AJ326" s="86" t="s">
        <v>1529</v>
      </c>
      <c r="AK326" s="179" t="e">
        <f t="shared" si="15"/>
        <v>#VALUE!</v>
      </c>
      <c r="AL326" s="85" t="s">
        <v>1530</v>
      </c>
      <c r="AM326" s="77"/>
      <c r="AN326" s="87"/>
      <c r="AO326" s="180"/>
    </row>
    <row r="327" spans="1:41" s="288" customFormat="1" ht="30.75" customHeight="1">
      <c r="A327" s="225">
        <v>330</v>
      </c>
      <c r="B327" s="234">
        <v>44945</v>
      </c>
      <c r="C327" s="235" t="s">
        <v>856</v>
      </c>
      <c r="D327" s="217" t="s">
        <v>859</v>
      </c>
      <c r="E327" s="377" t="s">
        <v>322</v>
      </c>
      <c r="F327" s="167" t="s">
        <v>749</v>
      </c>
      <c r="G327" s="178" t="s">
        <v>859</v>
      </c>
      <c r="H327" s="84" t="s">
        <v>859</v>
      </c>
      <c r="I327" s="194" t="s">
        <v>227</v>
      </c>
      <c r="J327" s="84" t="s">
        <v>251</v>
      </c>
      <c r="K327" s="84" t="s">
        <v>252</v>
      </c>
      <c r="L327" s="84" t="s">
        <v>252</v>
      </c>
      <c r="M327" s="84"/>
      <c r="N327" s="216" t="s">
        <v>945</v>
      </c>
      <c r="O327" s="323">
        <v>0</v>
      </c>
      <c r="P327" s="151">
        <v>1</v>
      </c>
      <c r="Q327" s="151">
        <v>0</v>
      </c>
      <c r="R327" s="151">
        <v>0</v>
      </c>
      <c r="S327" s="151">
        <v>0</v>
      </c>
      <c r="T327" s="151">
        <v>0</v>
      </c>
      <c r="U327" s="151">
        <v>0</v>
      </c>
      <c r="V327" s="151">
        <f>0</f>
        <v>0</v>
      </c>
      <c r="W327" s="151">
        <v>0</v>
      </c>
      <c r="X327" s="151">
        <f>0</f>
        <v>0</v>
      </c>
      <c r="Y327" s="151">
        <f>0</f>
        <v>0</v>
      </c>
      <c r="Z327" s="200">
        <f>0</f>
        <v>0</v>
      </c>
      <c r="AA327" s="174">
        <f t="shared" si="16"/>
        <v>1</v>
      </c>
      <c r="AB327" s="175"/>
      <c r="AC327" s="172">
        <f t="shared" si="17"/>
        <v>1</v>
      </c>
      <c r="AD327" s="176">
        <v>44967</v>
      </c>
      <c r="AE327" s="177" t="s">
        <v>282</v>
      </c>
      <c r="AF327" s="253" t="s">
        <v>1398</v>
      </c>
      <c r="AG327" s="178"/>
      <c r="AH327" s="177"/>
      <c r="AI327" s="85"/>
      <c r="AJ327" s="86">
        <v>1</v>
      </c>
      <c r="AK327" s="179">
        <f t="shared" si="15"/>
        <v>0</v>
      </c>
      <c r="AL327" s="85" t="s">
        <v>1489</v>
      </c>
      <c r="AM327" s="77"/>
      <c r="AN327" s="87"/>
      <c r="AO327" s="180"/>
    </row>
    <row r="328" spans="1:41" s="288" customFormat="1" ht="30.75" customHeight="1">
      <c r="A328" s="233">
        <v>331</v>
      </c>
      <c r="B328" s="234">
        <v>44945</v>
      </c>
      <c r="C328" s="235" t="s">
        <v>856</v>
      </c>
      <c r="D328" s="217" t="s">
        <v>860</v>
      </c>
      <c r="E328" s="377" t="s">
        <v>328</v>
      </c>
      <c r="F328" s="167" t="s">
        <v>349</v>
      </c>
      <c r="G328" s="178" t="s">
        <v>860</v>
      </c>
      <c r="H328" s="84" t="s">
        <v>860</v>
      </c>
      <c r="I328" s="194" t="s">
        <v>227</v>
      </c>
      <c r="J328" s="84" t="s">
        <v>252</v>
      </c>
      <c r="K328" s="84" t="s">
        <v>252</v>
      </c>
      <c r="L328" s="84" t="s">
        <v>252</v>
      </c>
      <c r="M328" s="84"/>
      <c r="N328" s="216" t="s">
        <v>948</v>
      </c>
      <c r="O328" s="323">
        <v>0</v>
      </c>
      <c r="P328" s="151">
        <v>1</v>
      </c>
      <c r="Q328" s="151">
        <v>0</v>
      </c>
      <c r="R328" s="151">
        <v>0</v>
      </c>
      <c r="S328" s="151">
        <v>0</v>
      </c>
      <c r="T328" s="151">
        <v>0</v>
      </c>
      <c r="U328" s="151">
        <v>0</v>
      </c>
      <c r="V328" s="151">
        <f>0</f>
        <v>0</v>
      </c>
      <c r="W328" s="151">
        <v>0</v>
      </c>
      <c r="X328" s="151">
        <f>0</f>
        <v>0</v>
      </c>
      <c r="Y328" s="151">
        <f>0</f>
        <v>0</v>
      </c>
      <c r="Z328" s="200">
        <f>0</f>
        <v>0</v>
      </c>
      <c r="AA328" s="174">
        <f t="shared" si="16"/>
        <v>1</v>
      </c>
      <c r="AB328" s="175"/>
      <c r="AC328" s="172">
        <f t="shared" si="17"/>
        <v>1</v>
      </c>
      <c r="AD328" s="176">
        <v>44967</v>
      </c>
      <c r="AE328" s="177" t="s">
        <v>282</v>
      </c>
      <c r="AF328" s="253" t="s">
        <v>1398</v>
      </c>
      <c r="AG328" s="178"/>
      <c r="AH328" s="177"/>
      <c r="AI328" s="85"/>
      <c r="AJ328" s="86">
        <v>1</v>
      </c>
      <c r="AK328" s="179">
        <f t="shared" si="15"/>
        <v>0</v>
      </c>
      <c r="AL328" s="85" t="s">
        <v>1489</v>
      </c>
      <c r="AM328" s="77"/>
      <c r="AN328" s="87"/>
      <c r="AO328" s="180"/>
    </row>
    <row r="329" spans="1:41" s="288" customFormat="1" ht="30.75" customHeight="1">
      <c r="A329" s="225">
        <v>332</v>
      </c>
      <c r="B329" s="234">
        <v>44945</v>
      </c>
      <c r="C329" s="235" t="s">
        <v>856</v>
      </c>
      <c r="D329" s="217" t="s">
        <v>861</v>
      </c>
      <c r="E329" s="217" t="s">
        <v>338</v>
      </c>
      <c r="F329" s="167" t="s">
        <v>349</v>
      </c>
      <c r="G329" s="178" t="s">
        <v>861</v>
      </c>
      <c r="H329" s="84" t="s">
        <v>861</v>
      </c>
      <c r="I329" s="223" t="s">
        <v>227</v>
      </c>
      <c r="J329" s="84" t="s">
        <v>251</v>
      </c>
      <c r="K329" s="84" t="s">
        <v>252</v>
      </c>
      <c r="L329" s="84" t="s">
        <v>252</v>
      </c>
      <c r="M329" s="84"/>
      <c r="N329" s="216" t="s">
        <v>947</v>
      </c>
      <c r="O329" s="323">
        <v>0</v>
      </c>
      <c r="P329" s="151">
        <v>2</v>
      </c>
      <c r="Q329" s="151">
        <v>0</v>
      </c>
      <c r="R329" s="151">
        <v>0</v>
      </c>
      <c r="S329" s="151">
        <v>0</v>
      </c>
      <c r="T329" s="151">
        <v>0</v>
      </c>
      <c r="U329" s="151">
        <v>0</v>
      </c>
      <c r="V329" s="151">
        <f>0</f>
        <v>0</v>
      </c>
      <c r="W329" s="151">
        <v>0</v>
      </c>
      <c r="X329" s="151">
        <f>0</f>
        <v>0</v>
      </c>
      <c r="Y329" s="151">
        <f>0</f>
        <v>0</v>
      </c>
      <c r="Z329" s="200">
        <f>0</f>
        <v>0</v>
      </c>
      <c r="AA329" s="174">
        <f t="shared" si="16"/>
        <v>2</v>
      </c>
      <c r="AB329" s="175"/>
      <c r="AC329" s="172">
        <f t="shared" si="17"/>
        <v>2</v>
      </c>
      <c r="AD329" s="176">
        <v>44967</v>
      </c>
      <c r="AE329" s="177" t="s">
        <v>282</v>
      </c>
      <c r="AF329" s="253" t="s">
        <v>1398</v>
      </c>
      <c r="AG329" s="178"/>
      <c r="AH329" s="177"/>
      <c r="AI329" s="85"/>
      <c r="AJ329" s="86">
        <v>2</v>
      </c>
      <c r="AK329" s="179">
        <f t="shared" si="15"/>
        <v>0</v>
      </c>
      <c r="AL329" s="85" t="s">
        <v>1494</v>
      </c>
      <c r="AM329" s="77"/>
      <c r="AN329" s="87"/>
      <c r="AO329" s="180"/>
    </row>
    <row r="330" spans="1:41" s="288" customFormat="1" ht="30.75" customHeight="1">
      <c r="A330" s="233">
        <v>333</v>
      </c>
      <c r="B330" s="234">
        <v>44945</v>
      </c>
      <c r="C330" s="235" t="s">
        <v>856</v>
      </c>
      <c r="D330" s="217" t="s">
        <v>862</v>
      </c>
      <c r="E330" s="377" t="s">
        <v>322</v>
      </c>
      <c r="F330" s="167" t="s">
        <v>749</v>
      </c>
      <c r="G330" s="178" t="s">
        <v>862</v>
      </c>
      <c r="H330" s="84" t="s">
        <v>862</v>
      </c>
      <c r="I330" s="194" t="s">
        <v>227</v>
      </c>
      <c r="J330" s="84" t="s">
        <v>251</v>
      </c>
      <c r="K330" s="84" t="s">
        <v>252</v>
      </c>
      <c r="L330" s="84" t="s">
        <v>252</v>
      </c>
      <c r="M330" s="84"/>
      <c r="N330" s="216" t="s">
        <v>945</v>
      </c>
      <c r="O330" s="323">
        <v>0</v>
      </c>
      <c r="P330" s="151">
        <v>1</v>
      </c>
      <c r="Q330" s="151">
        <v>0</v>
      </c>
      <c r="R330" s="151">
        <v>0</v>
      </c>
      <c r="S330" s="151">
        <v>0</v>
      </c>
      <c r="T330" s="151">
        <v>0</v>
      </c>
      <c r="U330" s="151">
        <v>0</v>
      </c>
      <c r="V330" s="151">
        <f>0</f>
        <v>0</v>
      </c>
      <c r="W330" s="151">
        <v>0</v>
      </c>
      <c r="X330" s="151">
        <f>0</f>
        <v>0</v>
      </c>
      <c r="Y330" s="151">
        <f>0</f>
        <v>0</v>
      </c>
      <c r="Z330" s="200">
        <f>0</f>
        <v>0</v>
      </c>
      <c r="AA330" s="174">
        <f t="shared" si="16"/>
        <v>1</v>
      </c>
      <c r="AB330" s="175"/>
      <c r="AC330" s="172">
        <f t="shared" si="17"/>
        <v>1</v>
      </c>
      <c r="AD330" s="176">
        <v>44967</v>
      </c>
      <c r="AE330" s="177" t="s">
        <v>282</v>
      </c>
      <c r="AF330" s="253" t="s">
        <v>1398</v>
      </c>
      <c r="AG330" s="178"/>
      <c r="AH330" s="177"/>
      <c r="AI330" s="85"/>
      <c r="AJ330" s="86">
        <v>1</v>
      </c>
      <c r="AK330" s="179">
        <f t="shared" si="15"/>
        <v>0</v>
      </c>
      <c r="AL330" s="85" t="s">
        <v>1489</v>
      </c>
      <c r="AM330" s="77"/>
      <c r="AN330" s="87"/>
      <c r="AO330" s="180"/>
    </row>
    <row r="331" spans="1:41" s="288" customFormat="1" ht="30.75" customHeight="1">
      <c r="A331" s="225">
        <v>334</v>
      </c>
      <c r="B331" s="234">
        <v>44945</v>
      </c>
      <c r="C331" s="235" t="s">
        <v>856</v>
      </c>
      <c r="D331" s="217" t="s">
        <v>889</v>
      </c>
      <c r="E331" s="377" t="s">
        <v>328</v>
      </c>
      <c r="F331" s="167" t="s">
        <v>1344</v>
      </c>
      <c r="G331" s="178" t="s">
        <v>863</v>
      </c>
      <c r="H331" s="84" t="s">
        <v>863</v>
      </c>
      <c r="I331" s="194" t="s">
        <v>227</v>
      </c>
      <c r="J331" s="84" t="s">
        <v>251</v>
      </c>
      <c r="K331" s="84" t="s">
        <v>252</v>
      </c>
      <c r="L331" s="84" t="s">
        <v>252</v>
      </c>
      <c r="M331" s="84"/>
      <c r="N331" s="216" t="s">
        <v>949</v>
      </c>
      <c r="O331" s="323">
        <v>0</v>
      </c>
      <c r="P331" s="151">
        <v>4</v>
      </c>
      <c r="Q331" s="151">
        <v>0</v>
      </c>
      <c r="R331" s="151">
        <v>0</v>
      </c>
      <c r="S331" s="151">
        <v>0</v>
      </c>
      <c r="T331" s="151">
        <v>0</v>
      </c>
      <c r="U331" s="151">
        <v>0</v>
      </c>
      <c r="V331" s="151">
        <f>0</f>
        <v>0</v>
      </c>
      <c r="W331" s="151">
        <v>0</v>
      </c>
      <c r="X331" s="151">
        <f>0</f>
        <v>0</v>
      </c>
      <c r="Y331" s="151">
        <f>0</f>
        <v>0</v>
      </c>
      <c r="Z331" s="200">
        <f>0</f>
        <v>0</v>
      </c>
      <c r="AA331" s="174">
        <f t="shared" si="16"/>
        <v>4</v>
      </c>
      <c r="AB331" s="175"/>
      <c r="AC331" s="172">
        <f t="shared" si="17"/>
        <v>4</v>
      </c>
      <c r="AD331" s="176">
        <v>44967</v>
      </c>
      <c r="AE331" s="177" t="s">
        <v>282</v>
      </c>
      <c r="AF331" s="253" t="s">
        <v>1398</v>
      </c>
      <c r="AG331" s="178"/>
      <c r="AH331" s="177"/>
      <c r="AI331" s="85"/>
      <c r="AJ331" s="86">
        <v>4</v>
      </c>
      <c r="AK331" s="179">
        <f t="shared" si="15"/>
        <v>0</v>
      </c>
      <c r="AL331" s="85" t="s">
        <v>1489</v>
      </c>
      <c r="AM331" s="77"/>
      <c r="AN331" s="87"/>
      <c r="AO331" s="180"/>
    </row>
    <row r="332" spans="1:41" s="288" customFormat="1" ht="30.75" customHeight="1">
      <c r="A332" s="233">
        <v>335</v>
      </c>
      <c r="B332" s="234">
        <v>44945</v>
      </c>
      <c r="C332" s="235" t="s">
        <v>856</v>
      </c>
      <c r="D332" s="217" t="s">
        <v>864</v>
      </c>
      <c r="E332" s="377">
        <v>0</v>
      </c>
      <c r="F332" s="167" t="s">
        <v>865</v>
      </c>
      <c r="G332" s="178" t="s">
        <v>864</v>
      </c>
      <c r="H332" s="84" t="s">
        <v>864</v>
      </c>
      <c r="I332" s="194" t="s">
        <v>626</v>
      </c>
      <c r="J332" s="84" t="s">
        <v>251</v>
      </c>
      <c r="K332" s="84" t="s">
        <v>252</v>
      </c>
      <c r="L332" s="84" t="s">
        <v>252</v>
      </c>
      <c r="M332" s="216" t="s">
        <v>866</v>
      </c>
      <c r="N332" s="216" t="s">
        <v>943</v>
      </c>
      <c r="O332" s="391">
        <v>0</v>
      </c>
      <c r="P332" s="77">
        <v>2</v>
      </c>
      <c r="Q332" s="77">
        <v>0</v>
      </c>
      <c r="R332" s="77">
        <v>0</v>
      </c>
      <c r="S332" s="77">
        <v>0</v>
      </c>
      <c r="T332" s="77">
        <v>0</v>
      </c>
      <c r="U332" s="77">
        <v>0</v>
      </c>
      <c r="V332" s="77">
        <f>0</f>
        <v>0</v>
      </c>
      <c r="W332" s="77">
        <v>0</v>
      </c>
      <c r="X332" s="77">
        <f>0</f>
        <v>0</v>
      </c>
      <c r="Y332" s="77">
        <f>0</f>
        <v>0</v>
      </c>
      <c r="Z332" s="392">
        <f>0</f>
        <v>0</v>
      </c>
      <c r="AA332" s="174">
        <f t="shared" si="16"/>
        <v>2</v>
      </c>
      <c r="AB332" s="175"/>
      <c r="AC332" s="172">
        <f t="shared" si="17"/>
        <v>2</v>
      </c>
      <c r="AD332" s="176" t="s">
        <v>1433</v>
      </c>
      <c r="AE332" s="177" t="s">
        <v>282</v>
      </c>
      <c r="AF332" s="84" t="s">
        <v>1435</v>
      </c>
      <c r="AG332" s="178"/>
      <c r="AH332" s="177"/>
      <c r="AI332" s="85"/>
      <c r="AJ332" s="86">
        <v>2</v>
      </c>
      <c r="AK332" s="179">
        <f t="shared" si="15"/>
        <v>0</v>
      </c>
      <c r="AL332" s="85" t="s">
        <v>1488</v>
      </c>
      <c r="AM332" s="77"/>
      <c r="AN332" s="87"/>
      <c r="AO332" s="180"/>
    </row>
    <row r="333" spans="1:41" s="310" customFormat="1" ht="30.75" customHeight="1">
      <c r="A333" s="319">
        <v>336</v>
      </c>
      <c r="B333" s="302">
        <v>44945</v>
      </c>
      <c r="C333" s="303" t="s">
        <v>856</v>
      </c>
      <c r="D333" s="219" t="s">
        <v>867</v>
      </c>
      <c r="E333" s="219">
        <v>0</v>
      </c>
      <c r="F333" s="220" t="s">
        <v>1345</v>
      </c>
      <c r="G333" s="135" t="s">
        <v>867</v>
      </c>
      <c r="H333" s="129" t="s">
        <v>867</v>
      </c>
      <c r="I333" s="525" t="s">
        <v>252</v>
      </c>
      <c r="J333" s="129" t="s">
        <v>868</v>
      </c>
      <c r="K333" s="129" t="s">
        <v>252</v>
      </c>
      <c r="L333" s="129" t="s">
        <v>252</v>
      </c>
      <c r="M333" s="221" t="s">
        <v>938</v>
      </c>
      <c r="N333" s="221" t="s">
        <v>1297</v>
      </c>
      <c r="O333" s="402">
        <v>0</v>
      </c>
      <c r="P333" s="206">
        <v>2</v>
      </c>
      <c r="Q333" s="206">
        <v>0</v>
      </c>
      <c r="R333" s="206">
        <v>0</v>
      </c>
      <c r="S333" s="206">
        <v>0</v>
      </c>
      <c r="T333" s="206">
        <v>0</v>
      </c>
      <c r="U333" s="206">
        <v>0</v>
      </c>
      <c r="V333" s="206">
        <f>0</f>
        <v>0</v>
      </c>
      <c r="W333" s="206">
        <v>0</v>
      </c>
      <c r="X333" s="206">
        <f>0</f>
        <v>0</v>
      </c>
      <c r="Y333" s="206">
        <f>0</f>
        <v>0</v>
      </c>
      <c r="Z333" s="403">
        <f>0</f>
        <v>0</v>
      </c>
      <c r="AA333" s="204">
        <f t="shared" si="16"/>
        <v>2</v>
      </c>
      <c r="AB333" s="539"/>
      <c r="AC333" s="197">
        <f t="shared" si="17"/>
        <v>2</v>
      </c>
      <c r="AD333" s="163">
        <v>44950</v>
      </c>
      <c r="AE333" s="134" t="s">
        <v>529</v>
      </c>
      <c r="AF333" s="129" t="s">
        <v>1243</v>
      </c>
      <c r="AG333" s="221" t="s">
        <v>1297</v>
      </c>
      <c r="AH333" s="134"/>
      <c r="AI333" s="182"/>
      <c r="AJ333" s="205">
        <v>2</v>
      </c>
      <c r="AK333" s="136">
        <f t="shared" si="15"/>
        <v>0</v>
      </c>
      <c r="AL333" s="182" t="s">
        <v>1252</v>
      </c>
      <c r="AM333" s="206"/>
      <c r="AN333" s="207"/>
      <c r="AO333" s="137"/>
    </row>
    <row r="334" spans="1:41" s="288" customFormat="1" ht="30.75" customHeight="1">
      <c r="A334" s="233">
        <v>337</v>
      </c>
      <c r="B334" s="234">
        <v>44945</v>
      </c>
      <c r="C334" s="235" t="s">
        <v>856</v>
      </c>
      <c r="D334" s="217" t="s">
        <v>869</v>
      </c>
      <c r="E334" s="217" t="s">
        <v>322</v>
      </c>
      <c r="F334" s="167" t="s">
        <v>870</v>
      </c>
      <c r="G334" s="178" t="s">
        <v>869</v>
      </c>
      <c r="H334" s="84" t="s">
        <v>869</v>
      </c>
      <c r="I334" s="194" t="s">
        <v>309</v>
      </c>
      <c r="J334" s="84" t="s">
        <v>251</v>
      </c>
      <c r="K334" s="84" t="s">
        <v>252</v>
      </c>
      <c r="L334" s="84" t="s">
        <v>252</v>
      </c>
      <c r="M334" s="84"/>
      <c r="N334" s="216" t="s">
        <v>943</v>
      </c>
      <c r="O334" s="323">
        <v>0</v>
      </c>
      <c r="P334" s="151">
        <v>4</v>
      </c>
      <c r="Q334" s="151">
        <v>0</v>
      </c>
      <c r="R334" s="151">
        <v>0</v>
      </c>
      <c r="S334" s="151">
        <v>0</v>
      </c>
      <c r="T334" s="151">
        <v>0</v>
      </c>
      <c r="U334" s="151">
        <v>0</v>
      </c>
      <c r="V334" s="151">
        <f>0</f>
        <v>0</v>
      </c>
      <c r="W334" s="151">
        <v>0</v>
      </c>
      <c r="X334" s="151">
        <f>0</f>
        <v>0</v>
      </c>
      <c r="Y334" s="151">
        <f>0</f>
        <v>0</v>
      </c>
      <c r="Z334" s="200">
        <f>0</f>
        <v>0</v>
      </c>
      <c r="AA334" s="142">
        <f t="shared" si="16"/>
        <v>4</v>
      </c>
      <c r="AB334" s="123"/>
      <c r="AC334" s="154">
        <f t="shared" si="17"/>
        <v>4</v>
      </c>
      <c r="AD334" s="176">
        <v>44950</v>
      </c>
      <c r="AE334" s="177" t="s">
        <v>529</v>
      </c>
      <c r="AF334" s="130" t="s">
        <v>1238</v>
      </c>
      <c r="AG334" s="178"/>
      <c r="AH334" s="187" t="s">
        <v>1239</v>
      </c>
      <c r="AI334" s="85"/>
      <c r="AJ334" s="86">
        <v>4</v>
      </c>
      <c r="AK334" s="179">
        <f t="shared" si="15"/>
        <v>0</v>
      </c>
      <c r="AL334" s="85" t="s">
        <v>1596</v>
      </c>
      <c r="AM334" s="77"/>
      <c r="AN334" s="87"/>
      <c r="AO334" s="180"/>
    </row>
    <row r="335" spans="1:41" s="288" customFormat="1" ht="30.75" customHeight="1">
      <c r="A335" s="225">
        <v>338</v>
      </c>
      <c r="B335" s="234">
        <v>44945</v>
      </c>
      <c r="C335" s="235" t="s">
        <v>856</v>
      </c>
      <c r="D335" s="217" t="s">
        <v>307</v>
      </c>
      <c r="E335" s="217">
        <v>0</v>
      </c>
      <c r="F335" s="167" t="s">
        <v>308</v>
      </c>
      <c r="G335" s="178" t="s">
        <v>307</v>
      </c>
      <c r="H335" s="84" t="s">
        <v>307</v>
      </c>
      <c r="I335" s="194" t="s">
        <v>309</v>
      </c>
      <c r="J335" s="84" t="s">
        <v>251</v>
      </c>
      <c r="K335" s="84" t="s">
        <v>252</v>
      </c>
      <c r="L335" s="84" t="s">
        <v>252</v>
      </c>
      <c r="M335" s="84"/>
      <c r="N335" s="216" t="s">
        <v>949</v>
      </c>
      <c r="O335" s="323">
        <v>0</v>
      </c>
      <c r="P335" s="151">
        <v>18</v>
      </c>
      <c r="Q335" s="151">
        <v>0</v>
      </c>
      <c r="R335" s="151">
        <v>0</v>
      </c>
      <c r="S335" s="151">
        <v>0</v>
      </c>
      <c r="T335" s="151">
        <v>0</v>
      </c>
      <c r="U335" s="151">
        <v>0</v>
      </c>
      <c r="V335" s="151">
        <f>0</f>
        <v>0</v>
      </c>
      <c r="W335" s="151">
        <v>0</v>
      </c>
      <c r="X335" s="151">
        <f>0</f>
        <v>0</v>
      </c>
      <c r="Y335" s="151">
        <f>0</f>
        <v>0</v>
      </c>
      <c r="Z335" s="200">
        <f>0</f>
        <v>0</v>
      </c>
      <c r="AA335" s="142">
        <f t="shared" si="16"/>
        <v>18</v>
      </c>
      <c r="AB335" s="123">
        <v>13</v>
      </c>
      <c r="AC335" s="154">
        <f t="shared" si="17"/>
        <v>5</v>
      </c>
      <c r="AD335" s="176"/>
      <c r="AE335" s="177" t="s">
        <v>529</v>
      </c>
      <c r="AF335" s="84" t="s">
        <v>44</v>
      </c>
      <c r="AG335" s="178"/>
      <c r="AH335" s="187"/>
      <c r="AI335" s="85"/>
      <c r="AJ335" s="86" t="s">
        <v>1572</v>
      </c>
      <c r="AK335" s="179" t="e">
        <f t="shared" si="15"/>
        <v>#VALUE!</v>
      </c>
      <c r="AL335" s="85" t="s">
        <v>1573</v>
      </c>
      <c r="AM335" s="77"/>
      <c r="AN335" s="87"/>
      <c r="AO335" s="180"/>
    </row>
    <row r="336" spans="1:41" s="288" customFormat="1" ht="30.75" customHeight="1">
      <c r="A336" s="233">
        <v>339</v>
      </c>
      <c r="B336" s="234">
        <v>44945</v>
      </c>
      <c r="C336" s="235" t="s">
        <v>856</v>
      </c>
      <c r="D336" s="217" t="s">
        <v>871</v>
      </c>
      <c r="E336" s="217" t="s">
        <v>328</v>
      </c>
      <c r="F336" s="167" t="s">
        <v>377</v>
      </c>
      <c r="G336" s="178" t="s">
        <v>871</v>
      </c>
      <c r="H336" s="84" t="s">
        <v>871</v>
      </c>
      <c r="I336" s="194" t="s">
        <v>318</v>
      </c>
      <c r="J336" s="84" t="s">
        <v>251</v>
      </c>
      <c r="K336" s="84" t="s">
        <v>252</v>
      </c>
      <c r="L336" s="84" t="s">
        <v>252</v>
      </c>
      <c r="M336" s="84"/>
      <c r="N336" s="216" t="s">
        <v>943</v>
      </c>
      <c r="O336" s="323">
        <v>0</v>
      </c>
      <c r="P336" s="151">
        <v>8</v>
      </c>
      <c r="Q336" s="151">
        <v>0</v>
      </c>
      <c r="R336" s="151">
        <v>0</v>
      </c>
      <c r="S336" s="151">
        <v>0</v>
      </c>
      <c r="T336" s="151">
        <v>0</v>
      </c>
      <c r="U336" s="151">
        <v>0</v>
      </c>
      <c r="V336" s="151">
        <f>0</f>
        <v>0</v>
      </c>
      <c r="W336" s="151">
        <v>0</v>
      </c>
      <c r="X336" s="151">
        <f>0</f>
        <v>0</v>
      </c>
      <c r="Y336" s="151">
        <f>0</f>
        <v>0</v>
      </c>
      <c r="Z336" s="200">
        <f>0</f>
        <v>0</v>
      </c>
      <c r="AA336" s="142">
        <f t="shared" si="16"/>
        <v>8</v>
      </c>
      <c r="AB336" s="123"/>
      <c r="AC336" s="154">
        <f t="shared" si="17"/>
        <v>8</v>
      </c>
      <c r="AD336" s="176">
        <v>44964</v>
      </c>
      <c r="AE336" s="187" t="s">
        <v>529</v>
      </c>
      <c r="AF336" s="171" t="s">
        <v>1328</v>
      </c>
      <c r="AG336" s="178"/>
      <c r="AH336" s="187" t="s">
        <v>1327</v>
      </c>
      <c r="AI336" s="85"/>
      <c r="AJ336" s="86">
        <v>8</v>
      </c>
      <c r="AK336" s="179">
        <f t="shared" si="15"/>
        <v>0</v>
      </c>
      <c r="AL336" s="85" t="s">
        <v>1483</v>
      </c>
      <c r="AM336" s="77"/>
      <c r="AN336" s="87"/>
      <c r="AO336" s="180"/>
    </row>
    <row r="337" spans="1:41" s="288" customFormat="1" ht="30.75" customHeight="1">
      <c r="A337" s="225">
        <v>340</v>
      </c>
      <c r="B337" s="234">
        <v>44945</v>
      </c>
      <c r="C337" s="235" t="s">
        <v>856</v>
      </c>
      <c r="D337" s="217" t="s">
        <v>872</v>
      </c>
      <c r="E337" s="217" t="s">
        <v>322</v>
      </c>
      <c r="F337" s="167" t="s">
        <v>873</v>
      </c>
      <c r="G337" s="178" t="s">
        <v>872</v>
      </c>
      <c r="H337" s="84" t="s">
        <v>874</v>
      </c>
      <c r="I337" s="194" t="s">
        <v>318</v>
      </c>
      <c r="J337" s="84" t="s">
        <v>251</v>
      </c>
      <c r="K337" s="84" t="s">
        <v>252</v>
      </c>
      <c r="L337" s="84" t="s">
        <v>252</v>
      </c>
      <c r="M337" s="216" t="s">
        <v>875</v>
      </c>
      <c r="N337" s="216" t="s">
        <v>943</v>
      </c>
      <c r="O337" s="323">
        <v>0</v>
      </c>
      <c r="P337" s="151">
        <v>2</v>
      </c>
      <c r="Q337" s="151">
        <v>0</v>
      </c>
      <c r="R337" s="151">
        <v>0</v>
      </c>
      <c r="S337" s="151">
        <v>0</v>
      </c>
      <c r="T337" s="151">
        <v>0</v>
      </c>
      <c r="U337" s="151">
        <v>0</v>
      </c>
      <c r="V337" s="151">
        <f>0</f>
        <v>0</v>
      </c>
      <c r="W337" s="151">
        <v>0</v>
      </c>
      <c r="X337" s="151">
        <f>0</f>
        <v>0</v>
      </c>
      <c r="Y337" s="151">
        <f>0</f>
        <v>0</v>
      </c>
      <c r="Z337" s="200">
        <f>0</f>
        <v>0</v>
      </c>
      <c r="AA337" s="142">
        <f t="shared" si="16"/>
        <v>2</v>
      </c>
      <c r="AB337" s="123">
        <v>2</v>
      </c>
      <c r="AC337" s="154">
        <f t="shared" si="17"/>
        <v>0</v>
      </c>
      <c r="AD337" s="176"/>
      <c r="AE337" s="187" t="s">
        <v>529</v>
      </c>
      <c r="AF337" s="171" t="s">
        <v>44</v>
      </c>
      <c r="AG337" s="178"/>
      <c r="AH337" s="177"/>
      <c r="AI337" s="85"/>
      <c r="AJ337" s="86"/>
      <c r="AK337" s="179">
        <f t="shared" si="15"/>
        <v>0</v>
      </c>
      <c r="AL337" s="85" t="s">
        <v>1240</v>
      </c>
      <c r="AM337" s="77"/>
      <c r="AN337" s="87"/>
      <c r="AO337" s="180"/>
    </row>
    <row r="338" spans="1:41" s="288" customFormat="1" ht="30.75" customHeight="1">
      <c r="A338" s="233">
        <v>341</v>
      </c>
      <c r="B338" s="234">
        <v>44945</v>
      </c>
      <c r="C338" s="235" t="s">
        <v>856</v>
      </c>
      <c r="D338" s="217" t="s">
        <v>876</v>
      </c>
      <c r="E338" s="217" t="s">
        <v>338</v>
      </c>
      <c r="F338" s="167" t="s">
        <v>377</v>
      </c>
      <c r="G338" s="178" t="s">
        <v>876</v>
      </c>
      <c r="H338" s="84" t="s">
        <v>876</v>
      </c>
      <c r="I338" s="194" t="s">
        <v>318</v>
      </c>
      <c r="J338" s="84" t="s">
        <v>251</v>
      </c>
      <c r="K338" s="84" t="s">
        <v>252</v>
      </c>
      <c r="L338" s="84" t="s">
        <v>252</v>
      </c>
      <c r="M338" s="84"/>
      <c r="N338" s="216" t="s">
        <v>945</v>
      </c>
      <c r="O338" s="323">
        <v>0</v>
      </c>
      <c r="P338" s="151">
        <v>4</v>
      </c>
      <c r="Q338" s="151">
        <v>0</v>
      </c>
      <c r="R338" s="151">
        <v>0</v>
      </c>
      <c r="S338" s="151">
        <v>0</v>
      </c>
      <c r="T338" s="151">
        <v>0</v>
      </c>
      <c r="U338" s="151">
        <v>0</v>
      </c>
      <c r="V338" s="151">
        <f>0</f>
        <v>0</v>
      </c>
      <c r="W338" s="151">
        <v>0</v>
      </c>
      <c r="X338" s="151">
        <f>0</f>
        <v>0</v>
      </c>
      <c r="Y338" s="151">
        <f>0</f>
        <v>0</v>
      </c>
      <c r="Z338" s="200">
        <f>0</f>
        <v>0</v>
      </c>
      <c r="AA338" s="142">
        <f t="shared" si="16"/>
        <v>4</v>
      </c>
      <c r="AB338" s="123"/>
      <c r="AC338" s="154">
        <f t="shared" si="17"/>
        <v>4</v>
      </c>
      <c r="AD338" s="176">
        <v>44964</v>
      </c>
      <c r="AE338" s="187" t="s">
        <v>529</v>
      </c>
      <c r="AF338" s="171" t="s">
        <v>1328</v>
      </c>
      <c r="AG338" s="178"/>
      <c r="AH338" s="177" t="s">
        <v>1327</v>
      </c>
      <c r="AI338" s="85"/>
      <c r="AJ338" s="86">
        <v>4</v>
      </c>
      <c r="AK338" s="179">
        <f t="shared" si="15"/>
        <v>0</v>
      </c>
      <c r="AL338" s="85" t="s">
        <v>1483</v>
      </c>
      <c r="AM338" s="77"/>
      <c r="AN338" s="87"/>
      <c r="AO338" s="180"/>
    </row>
    <row r="339" spans="1:41" s="288" customFormat="1" ht="30.75" customHeight="1">
      <c r="A339" s="225">
        <v>342</v>
      </c>
      <c r="B339" s="234">
        <v>44945</v>
      </c>
      <c r="C339" s="235" t="s">
        <v>856</v>
      </c>
      <c r="D339" s="217" t="s">
        <v>877</v>
      </c>
      <c r="E339" s="377">
        <v>0</v>
      </c>
      <c r="F339" s="167" t="s">
        <v>267</v>
      </c>
      <c r="G339" s="84" t="s">
        <v>878</v>
      </c>
      <c r="H339" s="84" t="s">
        <v>268</v>
      </c>
      <c r="I339" s="194" t="s">
        <v>199</v>
      </c>
      <c r="J339" s="84" t="s">
        <v>648</v>
      </c>
      <c r="K339" s="84" t="s">
        <v>252</v>
      </c>
      <c r="L339" s="84" t="s">
        <v>252</v>
      </c>
      <c r="M339" s="216" t="s">
        <v>269</v>
      </c>
      <c r="N339" s="216" t="s">
        <v>945</v>
      </c>
      <c r="O339" s="323">
        <v>0</v>
      </c>
      <c r="P339" s="151">
        <v>1</v>
      </c>
      <c r="Q339" s="151">
        <v>0</v>
      </c>
      <c r="R339" s="151">
        <v>0</v>
      </c>
      <c r="S339" s="151">
        <v>0</v>
      </c>
      <c r="T339" s="151">
        <v>0</v>
      </c>
      <c r="U339" s="151">
        <v>0</v>
      </c>
      <c r="V339" s="151">
        <f>0</f>
        <v>0</v>
      </c>
      <c r="W339" s="151">
        <v>0</v>
      </c>
      <c r="X339" s="151">
        <f>0</f>
        <v>0</v>
      </c>
      <c r="Y339" s="151">
        <f>0</f>
        <v>0</v>
      </c>
      <c r="Z339" s="200">
        <f>0</f>
        <v>0</v>
      </c>
      <c r="AA339" s="174">
        <f t="shared" si="16"/>
        <v>1</v>
      </c>
      <c r="AB339" s="175"/>
      <c r="AC339" s="172">
        <f t="shared" si="17"/>
        <v>1</v>
      </c>
      <c r="AD339" s="176">
        <v>44970</v>
      </c>
      <c r="AE339" s="177" t="s">
        <v>282</v>
      </c>
      <c r="AF339" s="84" t="s">
        <v>1404</v>
      </c>
      <c r="AG339" s="178"/>
      <c r="AH339" s="177"/>
      <c r="AI339" s="85" t="s">
        <v>1446</v>
      </c>
      <c r="AJ339" s="86">
        <v>1</v>
      </c>
      <c r="AK339" s="179">
        <f t="shared" si="15"/>
        <v>0</v>
      </c>
      <c r="AL339" s="85" t="s">
        <v>1532</v>
      </c>
      <c r="AM339" s="77"/>
      <c r="AN339" s="87"/>
      <c r="AO339" s="180"/>
    </row>
    <row r="340" spans="1:41" s="288" customFormat="1" ht="30.75" customHeight="1">
      <c r="A340" s="233">
        <v>343</v>
      </c>
      <c r="B340" s="234">
        <v>44945</v>
      </c>
      <c r="C340" s="235" t="s">
        <v>856</v>
      </c>
      <c r="D340" s="217" t="s">
        <v>879</v>
      </c>
      <c r="E340" s="217" t="s">
        <v>328</v>
      </c>
      <c r="F340" s="167" t="s">
        <v>942</v>
      </c>
      <c r="G340" s="84" t="s">
        <v>880</v>
      </c>
      <c r="H340" s="84">
        <v>34571</v>
      </c>
      <c r="I340" s="194" t="s">
        <v>329</v>
      </c>
      <c r="J340" s="84" t="s">
        <v>251</v>
      </c>
      <c r="K340" s="84" t="s">
        <v>252</v>
      </c>
      <c r="L340" s="84" t="s">
        <v>252</v>
      </c>
      <c r="M340" s="84"/>
      <c r="N340" s="216" t="s">
        <v>943</v>
      </c>
      <c r="O340" s="323">
        <v>0</v>
      </c>
      <c r="P340" s="151">
        <v>2</v>
      </c>
      <c r="Q340" s="151">
        <v>0</v>
      </c>
      <c r="R340" s="151">
        <v>0</v>
      </c>
      <c r="S340" s="151">
        <v>0</v>
      </c>
      <c r="T340" s="151">
        <v>0</v>
      </c>
      <c r="U340" s="151">
        <v>0</v>
      </c>
      <c r="V340" s="151">
        <f>0</f>
        <v>0</v>
      </c>
      <c r="W340" s="151">
        <v>0</v>
      </c>
      <c r="X340" s="151">
        <f>0</f>
        <v>0</v>
      </c>
      <c r="Y340" s="151">
        <f>0</f>
        <v>0</v>
      </c>
      <c r="Z340" s="200">
        <f>0</f>
        <v>0</v>
      </c>
      <c r="AA340" s="174">
        <f t="shared" si="16"/>
        <v>2</v>
      </c>
      <c r="AB340" s="175"/>
      <c r="AC340" s="172">
        <f t="shared" si="17"/>
        <v>2</v>
      </c>
      <c r="AD340" s="176">
        <v>44965</v>
      </c>
      <c r="AE340" s="177" t="s">
        <v>282</v>
      </c>
      <c r="AF340" s="84" t="s">
        <v>1337</v>
      </c>
      <c r="AG340" s="178"/>
      <c r="AH340" s="176" t="s">
        <v>1499</v>
      </c>
      <c r="AI340" s="85"/>
      <c r="AJ340" s="86">
        <v>2</v>
      </c>
      <c r="AK340" s="179">
        <f t="shared" si="15"/>
        <v>0</v>
      </c>
      <c r="AL340" s="85" t="s">
        <v>1579</v>
      </c>
      <c r="AM340" s="77"/>
      <c r="AN340" s="87"/>
      <c r="AO340" s="180"/>
    </row>
    <row r="341" spans="1:41" s="288" customFormat="1" ht="30.75" customHeight="1">
      <c r="A341" s="225">
        <v>344</v>
      </c>
      <c r="B341" s="234">
        <v>44945</v>
      </c>
      <c r="C341" s="235" t="s">
        <v>856</v>
      </c>
      <c r="D341" s="217" t="s">
        <v>881</v>
      </c>
      <c r="E341" s="217" t="s">
        <v>328</v>
      </c>
      <c r="F341" s="167" t="s">
        <v>882</v>
      </c>
      <c r="G341" s="178" t="s">
        <v>881</v>
      </c>
      <c r="H341" s="84" t="s">
        <v>252</v>
      </c>
      <c r="I341" s="194" t="s">
        <v>227</v>
      </c>
      <c r="J341" s="84" t="s">
        <v>251</v>
      </c>
      <c r="K341" s="84" t="s">
        <v>252</v>
      </c>
      <c r="L341" s="84" t="s">
        <v>252</v>
      </c>
      <c r="M341" s="84"/>
      <c r="N341" s="216" t="s">
        <v>945</v>
      </c>
      <c r="O341" s="323">
        <v>0</v>
      </c>
      <c r="P341" s="151">
        <v>1</v>
      </c>
      <c r="Q341" s="151">
        <v>0</v>
      </c>
      <c r="R341" s="151">
        <v>0</v>
      </c>
      <c r="S341" s="151">
        <v>0</v>
      </c>
      <c r="T341" s="151">
        <v>0</v>
      </c>
      <c r="U341" s="151">
        <v>0</v>
      </c>
      <c r="V341" s="151">
        <f>0</f>
        <v>0</v>
      </c>
      <c r="W341" s="151">
        <v>0</v>
      </c>
      <c r="X341" s="151">
        <f>0</f>
        <v>0</v>
      </c>
      <c r="Y341" s="151">
        <f>0</f>
        <v>0</v>
      </c>
      <c r="Z341" s="200">
        <f>0</f>
        <v>0</v>
      </c>
      <c r="AA341" s="142">
        <f t="shared" si="16"/>
        <v>1</v>
      </c>
      <c r="AB341" s="123">
        <v>1</v>
      </c>
      <c r="AC341" s="154">
        <f t="shared" si="17"/>
        <v>0</v>
      </c>
      <c r="AD341" s="176"/>
      <c r="AE341" s="177" t="s">
        <v>529</v>
      </c>
      <c r="AF341" s="84" t="s">
        <v>44</v>
      </c>
      <c r="AG341" s="178"/>
      <c r="AH341" s="177"/>
      <c r="AI341" s="85"/>
      <c r="AJ341" s="86" t="s">
        <v>499</v>
      </c>
      <c r="AK341" s="179" t="e">
        <f t="shared" si="15"/>
        <v>#VALUE!</v>
      </c>
      <c r="AL341" s="85" t="s">
        <v>951</v>
      </c>
      <c r="AM341" s="77"/>
      <c r="AN341" s="87"/>
      <c r="AO341" s="180"/>
    </row>
    <row r="342" spans="1:41" s="288" customFormat="1" ht="30.75" customHeight="1">
      <c r="A342" s="233">
        <v>345</v>
      </c>
      <c r="B342" s="234">
        <v>44945</v>
      </c>
      <c r="C342" s="235" t="s">
        <v>856</v>
      </c>
      <c r="D342" s="217" t="s">
        <v>883</v>
      </c>
      <c r="E342" s="377">
        <v>0</v>
      </c>
      <c r="F342" s="167" t="s">
        <v>941</v>
      </c>
      <c r="G342" s="178" t="s">
        <v>883</v>
      </c>
      <c r="H342" s="84" t="s">
        <v>252</v>
      </c>
      <c r="I342" s="194" t="s">
        <v>227</v>
      </c>
      <c r="J342" s="84" t="s">
        <v>251</v>
      </c>
      <c r="K342" s="84" t="s">
        <v>252</v>
      </c>
      <c r="L342" s="84" t="s">
        <v>252</v>
      </c>
      <c r="M342" s="84"/>
      <c r="N342" s="216" t="s">
        <v>945</v>
      </c>
      <c r="O342" s="323">
        <v>0</v>
      </c>
      <c r="P342" s="151">
        <v>1</v>
      </c>
      <c r="Q342" s="151">
        <v>0</v>
      </c>
      <c r="R342" s="151">
        <v>0</v>
      </c>
      <c r="S342" s="151">
        <v>0</v>
      </c>
      <c r="T342" s="151">
        <v>0</v>
      </c>
      <c r="U342" s="151">
        <v>0</v>
      </c>
      <c r="V342" s="151">
        <f>0</f>
        <v>0</v>
      </c>
      <c r="W342" s="151">
        <v>0</v>
      </c>
      <c r="X342" s="151">
        <f>0</f>
        <v>0</v>
      </c>
      <c r="Y342" s="151">
        <f>0</f>
        <v>0</v>
      </c>
      <c r="Z342" s="200">
        <f>0</f>
        <v>0</v>
      </c>
      <c r="AA342" s="174">
        <f t="shared" si="16"/>
        <v>1</v>
      </c>
      <c r="AB342" s="175"/>
      <c r="AC342" s="172">
        <f t="shared" si="17"/>
        <v>1</v>
      </c>
      <c r="AD342" s="176">
        <v>44967</v>
      </c>
      <c r="AE342" s="177" t="s">
        <v>282</v>
      </c>
      <c r="AF342" s="253" t="s">
        <v>1398</v>
      </c>
      <c r="AG342" s="178"/>
      <c r="AH342" s="177"/>
      <c r="AI342" s="85"/>
      <c r="AJ342" s="86">
        <v>1</v>
      </c>
      <c r="AK342" s="179">
        <f t="shared" si="15"/>
        <v>0</v>
      </c>
      <c r="AL342" s="85" t="s">
        <v>1494</v>
      </c>
      <c r="AM342" s="77"/>
      <c r="AN342" s="87"/>
      <c r="AO342" s="180"/>
    </row>
    <row r="343" spans="1:41" s="288" customFormat="1" ht="30.75" customHeight="1">
      <c r="A343" s="225">
        <v>346</v>
      </c>
      <c r="B343" s="234">
        <v>44945</v>
      </c>
      <c r="C343" s="235" t="s">
        <v>856</v>
      </c>
      <c r="D343" s="217" t="s">
        <v>884</v>
      </c>
      <c r="E343" s="217">
        <v>0</v>
      </c>
      <c r="F343" s="167" t="s">
        <v>885</v>
      </c>
      <c r="G343" s="178" t="s">
        <v>886</v>
      </c>
      <c r="H343" s="84" t="s">
        <v>884</v>
      </c>
      <c r="I343" s="194" t="s">
        <v>250</v>
      </c>
      <c r="J343" s="84" t="s">
        <v>251</v>
      </c>
      <c r="K343" s="84" t="s">
        <v>252</v>
      </c>
      <c r="L343" s="84" t="s">
        <v>252</v>
      </c>
      <c r="M343" s="84"/>
      <c r="N343" s="216" t="s">
        <v>946</v>
      </c>
      <c r="O343" s="323">
        <v>0</v>
      </c>
      <c r="P343" s="151">
        <v>18</v>
      </c>
      <c r="Q343" s="151">
        <v>0</v>
      </c>
      <c r="R343" s="151">
        <v>0</v>
      </c>
      <c r="S343" s="151">
        <v>0</v>
      </c>
      <c r="T343" s="151">
        <v>0</v>
      </c>
      <c r="U343" s="151">
        <v>0</v>
      </c>
      <c r="V343" s="151">
        <f>0</f>
        <v>0</v>
      </c>
      <c r="W343" s="151">
        <v>0</v>
      </c>
      <c r="X343" s="151">
        <f>0</f>
        <v>0</v>
      </c>
      <c r="Y343" s="151">
        <f>0</f>
        <v>0</v>
      </c>
      <c r="Z343" s="200">
        <f>0</f>
        <v>0</v>
      </c>
      <c r="AA343" s="142">
        <f t="shared" si="16"/>
        <v>18</v>
      </c>
      <c r="AB343" s="123"/>
      <c r="AC343" s="154">
        <f t="shared" si="17"/>
        <v>18</v>
      </c>
      <c r="AD343" s="176"/>
      <c r="AE343" s="177" t="s">
        <v>529</v>
      </c>
      <c r="AF343" s="84" t="s">
        <v>44</v>
      </c>
      <c r="AG343" s="178"/>
      <c r="AH343" s="177"/>
      <c r="AI343" s="85"/>
      <c r="AJ343" s="86" t="s">
        <v>499</v>
      </c>
      <c r="AK343" s="179" t="e">
        <f t="shared" si="15"/>
        <v>#VALUE!</v>
      </c>
      <c r="AL343" s="85"/>
      <c r="AM343" s="77"/>
      <c r="AN343" s="87"/>
      <c r="AO343" s="180"/>
    </row>
    <row r="344" spans="1:41" s="288" customFormat="1" ht="30.75" customHeight="1">
      <c r="A344" s="233">
        <v>347</v>
      </c>
      <c r="B344" s="234">
        <v>44945</v>
      </c>
      <c r="C344" s="235" t="s">
        <v>856</v>
      </c>
      <c r="D344" s="214" t="s">
        <v>253</v>
      </c>
      <c r="E344" s="214">
        <v>0</v>
      </c>
      <c r="F344" s="222" t="s">
        <v>887</v>
      </c>
      <c r="G344" s="188" t="s">
        <v>888</v>
      </c>
      <c r="H344" s="171" t="s">
        <v>253</v>
      </c>
      <c r="I344" s="223" t="s">
        <v>250</v>
      </c>
      <c r="J344" s="171" t="s">
        <v>251</v>
      </c>
      <c r="K344" s="171" t="s">
        <v>252</v>
      </c>
      <c r="L344" s="171" t="s">
        <v>252</v>
      </c>
      <c r="M344" s="171"/>
      <c r="N344" s="224" t="s">
        <v>946</v>
      </c>
      <c r="O344" s="323">
        <v>0</v>
      </c>
      <c r="P344" s="151">
        <v>18</v>
      </c>
      <c r="Q344" s="151">
        <v>0</v>
      </c>
      <c r="R344" s="151">
        <v>0</v>
      </c>
      <c r="S344" s="151">
        <v>0</v>
      </c>
      <c r="T344" s="151">
        <v>0</v>
      </c>
      <c r="U344" s="151">
        <v>0</v>
      </c>
      <c r="V344" s="151">
        <f>0</f>
        <v>0</v>
      </c>
      <c r="W344" s="151">
        <v>0</v>
      </c>
      <c r="X344" s="151">
        <f>0</f>
        <v>0</v>
      </c>
      <c r="Y344" s="151">
        <f>0</f>
        <v>0</v>
      </c>
      <c r="Z344" s="200">
        <f>0</f>
        <v>0</v>
      </c>
      <c r="AA344" s="143">
        <f t="shared" si="16"/>
        <v>18</v>
      </c>
      <c r="AB344" s="168"/>
      <c r="AC344" s="169">
        <f t="shared" si="17"/>
        <v>18</v>
      </c>
      <c r="AD344" s="186"/>
      <c r="AE344" s="187" t="s">
        <v>529</v>
      </c>
      <c r="AF344" s="171" t="s">
        <v>44</v>
      </c>
      <c r="AG344" s="188"/>
      <c r="AH344" s="187"/>
      <c r="AI344" s="88"/>
      <c r="AJ344" s="89" t="s">
        <v>499</v>
      </c>
      <c r="AK344" s="189" t="e">
        <f t="shared" si="15"/>
        <v>#VALUE!</v>
      </c>
      <c r="AL344" s="88"/>
      <c r="AM344" s="83"/>
      <c r="AN344" s="90"/>
      <c r="AO344" s="190"/>
    </row>
    <row r="345" spans="1:41" s="288" customFormat="1" ht="30.75" customHeight="1">
      <c r="A345" s="225">
        <v>348</v>
      </c>
      <c r="B345" s="234">
        <v>44945</v>
      </c>
      <c r="C345" s="235" t="s">
        <v>856</v>
      </c>
      <c r="D345" s="217" t="s">
        <v>890</v>
      </c>
      <c r="E345" s="217" t="s">
        <v>322</v>
      </c>
      <c r="F345" s="167" t="s">
        <v>1346</v>
      </c>
      <c r="G345" s="178" t="s">
        <v>890</v>
      </c>
      <c r="H345" s="84" t="s">
        <v>890</v>
      </c>
      <c r="I345" s="194" t="s">
        <v>252</v>
      </c>
      <c r="J345" s="84" t="s">
        <v>251</v>
      </c>
      <c r="K345" s="84" t="s">
        <v>252</v>
      </c>
      <c r="L345" s="84" t="s">
        <v>252</v>
      </c>
      <c r="M345" s="84"/>
      <c r="N345" s="216" t="s">
        <v>948</v>
      </c>
      <c r="O345" s="323">
        <v>0</v>
      </c>
      <c r="P345" s="151">
        <v>2</v>
      </c>
      <c r="Q345" s="151">
        <v>0</v>
      </c>
      <c r="R345" s="151">
        <v>0</v>
      </c>
      <c r="S345" s="151">
        <v>0</v>
      </c>
      <c r="T345" s="151">
        <v>0</v>
      </c>
      <c r="U345" s="151">
        <v>0</v>
      </c>
      <c r="V345" s="151">
        <f>0</f>
        <v>0</v>
      </c>
      <c r="W345" s="151">
        <v>0</v>
      </c>
      <c r="X345" s="151">
        <f>0</f>
        <v>0</v>
      </c>
      <c r="Y345" s="151">
        <f>0</f>
        <v>0</v>
      </c>
      <c r="Z345" s="200">
        <f>0</f>
        <v>0</v>
      </c>
      <c r="AA345" s="142">
        <f t="shared" si="16"/>
        <v>2</v>
      </c>
      <c r="AB345" s="123"/>
      <c r="AC345" s="154">
        <f t="shared" si="17"/>
        <v>2</v>
      </c>
      <c r="AD345" s="176">
        <v>44950</v>
      </c>
      <c r="AE345" s="177" t="s">
        <v>529</v>
      </c>
      <c r="AF345" s="84" t="s">
        <v>1243</v>
      </c>
      <c r="AG345" s="178"/>
      <c r="AH345" s="177"/>
      <c r="AI345" s="85"/>
      <c r="AJ345" s="86">
        <v>2</v>
      </c>
      <c r="AK345" s="179">
        <f t="shared" si="15"/>
        <v>0</v>
      </c>
      <c r="AL345" s="85" t="s">
        <v>1252</v>
      </c>
      <c r="AM345" s="77"/>
      <c r="AN345" s="87"/>
      <c r="AO345" s="180"/>
    </row>
    <row r="346" spans="1:41" s="288" customFormat="1" ht="30.75" customHeight="1">
      <c r="A346" s="233">
        <v>349</v>
      </c>
      <c r="B346" s="234">
        <v>44945</v>
      </c>
      <c r="C346" s="235" t="s">
        <v>856</v>
      </c>
      <c r="D346" s="217" t="s">
        <v>891</v>
      </c>
      <c r="E346" s="217" t="s">
        <v>338</v>
      </c>
      <c r="F346" s="167" t="s">
        <v>940</v>
      </c>
      <c r="G346" s="178" t="s">
        <v>891</v>
      </c>
      <c r="H346" s="84" t="s">
        <v>891</v>
      </c>
      <c r="I346" s="194" t="s">
        <v>252</v>
      </c>
      <c r="J346" s="84" t="s">
        <v>251</v>
      </c>
      <c r="K346" s="84" t="s">
        <v>252</v>
      </c>
      <c r="L346" s="84" t="s">
        <v>252</v>
      </c>
      <c r="M346" s="84"/>
      <c r="N346" s="216" t="s">
        <v>950</v>
      </c>
      <c r="O346" s="323">
        <v>0</v>
      </c>
      <c r="P346" s="151">
        <v>8</v>
      </c>
      <c r="Q346" s="151">
        <v>0</v>
      </c>
      <c r="R346" s="151">
        <v>0</v>
      </c>
      <c r="S346" s="151">
        <v>0</v>
      </c>
      <c r="T346" s="151">
        <v>0</v>
      </c>
      <c r="U346" s="151">
        <v>0</v>
      </c>
      <c r="V346" s="151">
        <f>0</f>
        <v>0</v>
      </c>
      <c r="W346" s="151">
        <v>0</v>
      </c>
      <c r="X346" s="151">
        <f>0</f>
        <v>0</v>
      </c>
      <c r="Y346" s="151">
        <f>0</f>
        <v>0</v>
      </c>
      <c r="Z346" s="200">
        <f>0</f>
        <v>0</v>
      </c>
      <c r="AA346" s="142">
        <f t="shared" si="16"/>
        <v>8</v>
      </c>
      <c r="AB346" s="123"/>
      <c r="AC346" s="154">
        <f t="shared" si="17"/>
        <v>8</v>
      </c>
      <c r="AD346" s="176" t="s">
        <v>1598</v>
      </c>
      <c r="AE346" s="177" t="s">
        <v>1599</v>
      </c>
      <c r="AF346" s="84" t="s">
        <v>1597</v>
      </c>
      <c r="AG346" s="178"/>
      <c r="AH346" s="177"/>
      <c r="AI346" s="85"/>
      <c r="AJ346" s="86" t="s">
        <v>1604</v>
      </c>
      <c r="AK346" s="179" t="e">
        <f t="shared" si="15"/>
        <v>#VALUE!</v>
      </c>
      <c r="AL346" s="85" t="s">
        <v>1605</v>
      </c>
      <c r="AM346" s="77"/>
      <c r="AN346" s="87"/>
      <c r="AO346" s="180"/>
    </row>
    <row r="347" spans="1:41" s="288" customFormat="1" ht="30.75" customHeight="1">
      <c r="A347" s="233">
        <v>351</v>
      </c>
      <c r="B347" s="234">
        <v>44945</v>
      </c>
      <c r="C347" s="235" t="s">
        <v>856</v>
      </c>
      <c r="D347" s="217" t="s">
        <v>892</v>
      </c>
      <c r="E347" s="217">
        <v>0</v>
      </c>
      <c r="F347" s="167" t="s">
        <v>893</v>
      </c>
      <c r="G347" s="178" t="s">
        <v>894</v>
      </c>
      <c r="H347" s="84" t="s">
        <v>792</v>
      </c>
      <c r="I347" s="194" t="s">
        <v>318</v>
      </c>
      <c r="J347" s="84" t="s">
        <v>251</v>
      </c>
      <c r="K347" s="84" t="s">
        <v>252</v>
      </c>
      <c r="L347" s="84" t="s">
        <v>252</v>
      </c>
      <c r="M347" s="216" t="s">
        <v>1347</v>
      </c>
      <c r="N347" s="216" t="s">
        <v>943</v>
      </c>
      <c r="O347" s="323">
        <v>0</v>
      </c>
      <c r="P347" s="151">
        <v>4</v>
      </c>
      <c r="Q347" s="151">
        <v>0</v>
      </c>
      <c r="R347" s="151">
        <v>0</v>
      </c>
      <c r="S347" s="151">
        <v>0</v>
      </c>
      <c r="T347" s="151">
        <v>0</v>
      </c>
      <c r="U347" s="151">
        <v>0</v>
      </c>
      <c r="V347" s="151">
        <f>0</f>
        <v>0</v>
      </c>
      <c r="W347" s="151">
        <v>0</v>
      </c>
      <c r="X347" s="151">
        <f>0</f>
        <v>0</v>
      </c>
      <c r="Y347" s="151">
        <f>0</f>
        <v>0</v>
      </c>
      <c r="Z347" s="200">
        <f>0</f>
        <v>0</v>
      </c>
      <c r="AA347" s="142">
        <f t="shared" si="16"/>
        <v>4</v>
      </c>
      <c r="AB347" s="123"/>
      <c r="AC347" s="154">
        <f t="shared" si="17"/>
        <v>4</v>
      </c>
      <c r="AD347" s="176">
        <v>44964</v>
      </c>
      <c r="AE347" s="187" t="s">
        <v>529</v>
      </c>
      <c r="AF347" s="171" t="s">
        <v>1328</v>
      </c>
      <c r="AG347" s="178"/>
      <c r="AH347" s="177" t="s">
        <v>1327</v>
      </c>
      <c r="AI347" s="85"/>
      <c r="AJ347" s="86">
        <v>4</v>
      </c>
      <c r="AK347" s="179">
        <f t="shared" si="15"/>
        <v>0</v>
      </c>
      <c r="AL347" s="85" t="s">
        <v>1483</v>
      </c>
      <c r="AM347" s="77"/>
      <c r="AN347" s="87"/>
      <c r="AO347" s="180"/>
    </row>
    <row r="348" spans="1:41" s="288" customFormat="1" ht="30.75" customHeight="1">
      <c r="A348" s="225">
        <v>352</v>
      </c>
      <c r="B348" s="234">
        <v>44945</v>
      </c>
      <c r="C348" s="235" t="s">
        <v>856</v>
      </c>
      <c r="D348" s="217" t="s">
        <v>895</v>
      </c>
      <c r="E348" s="217">
        <v>0</v>
      </c>
      <c r="F348" s="167" t="s">
        <v>939</v>
      </c>
      <c r="G348" s="84" t="s">
        <v>896</v>
      </c>
      <c r="H348" s="84"/>
      <c r="I348" s="194" t="s">
        <v>318</v>
      </c>
      <c r="J348" s="84" t="s">
        <v>251</v>
      </c>
      <c r="K348" s="84" t="s">
        <v>252</v>
      </c>
      <c r="L348" s="84" t="s">
        <v>252</v>
      </c>
      <c r="M348" s="216" t="s">
        <v>897</v>
      </c>
      <c r="N348" s="216" t="s">
        <v>943</v>
      </c>
      <c r="O348" s="323">
        <v>0</v>
      </c>
      <c r="P348" s="151">
        <v>2</v>
      </c>
      <c r="Q348" s="151">
        <v>0</v>
      </c>
      <c r="R348" s="151">
        <v>0</v>
      </c>
      <c r="S348" s="151">
        <v>0</v>
      </c>
      <c r="T348" s="151">
        <v>0</v>
      </c>
      <c r="U348" s="151">
        <v>0</v>
      </c>
      <c r="V348" s="151">
        <f>0</f>
        <v>0</v>
      </c>
      <c r="W348" s="151">
        <v>0</v>
      </c>
      <c r="X348" s="151">
        <f>0</f>
        <v>0</v>
      </c>
      <c r="Y348" s="151">
        <f>0</f>
        <v>0</v>
      </c>
      <c r="Z348" s="200">
        <f>0</f>
        <v>0</v>
      </c>
      <c r="AA348" s="142">
        <f t="shared" si="16"/>
        <v>2</v>
      </c>
      <c r="AB348" s="123"/>
      <c r="AC348" s="154">
        <f t="shared" si="17"/>
        <v>2</v>
      </c>
      <c r="AD348" s="176">
        <v>44964</v>
      </c>
      <c r="AE348" s="187" t="s">
        <v>529</v>
      </c>
      <c r="AF348" s="171" t="s">
        <v>1328</v>
      </c>
      <c r="AG348" s="178"/>
      <c r="AH348" s="177" t="s">
        <v>1327</v>
      </c>
      <c r="AI348" s="85"/>
      <c r="AJ348" s="86">
        <v>2</v>
      </c>
      <c r="AK348" s="179">
        <f t="shared" si="15"/>
        <v>0</v>
      </c>
      <c r="AL348" s="85" t="s">
        <v>1483</v>
      </c>
      <c r="AM348" s="77"/>
      <c r="AN348" s="87"/>
      <c r="AO348" s="180"/>
    </row>
    <row r="349" spans="1:41" s="288" customFormat="1" ht="30.75" customHeight="1">
      <c r="A349" s="233">
        <v>353</v>
      </c>
      <c r="B349" s="234">
        <v>44945</v>
      </c>
      <c r="C349" s="235" t="s">
        <v>856</v>
      </c>
      <c r="D349" s="217" t="s">
        <v>898</v>
      </c>
      <c r="E349" s="217" t="s">
        <v>322</v>
      </c>
      <c r="F349" s="167" t="s">
        <v>939</v>
      </c>
      <c r="G349" s="84" t="s">
        <v>899</v>
      </c>
      <c r="H349" s="84"/>
      <c r="I349" s="194" t="s">
        <v>318</v>
      </c>
      <c r="J349" s="84" t="s">
        <v>251</v>
      </c>
      <c r="K349" s="84" t="s">
        <v>252</v>
      </c>
      <c r="L349" s="84" t="s">
        <v>252</v>
      </c>
      <c r="M349" s="216" t="s">
        <v>900</v>
      </c>
      <c r="N349" s="216" t="s">
        <v>943</v>
      </c>
      <c r="O349" s="323">
        <v>0</v>
      </c>
      <c r="P349" s="151">
        <v>2</v>
      </c>
      <c r="Q349" s="151">
        <v>0</v>
      </c>
      <c r="R349" s="151">
        <v>0</v>
      </c>
      <c r="S349" s="151">
        <v>0</v>
      </c>
      <c r="T349" s="151">
        <v>0</v>
      </c>
      <c r="U349" s="151">
        <v>0</v>
      </c>
      <c r="V349" s="151">
        <f>0</f>
        <v>0</v>
      </c>
      <c r="W349" s="151">
        <v>0</v>
      </c>
      <c r="X349" s="151">
        <f>0</f>
        <v>0</v>
      </c>
      <c r="Y349" s="151">
        <f>0</f>
        <v>0</v>
      </c>
      <c r="Z349" s="200">
        <f>0</f>
        <v>0</v>
      </c>
      <c r="AA349" s="142">
        <f t="shared" si="16"/>
        <v>2</v>
      </c>
      <c r="AB349" s="123"/>
      <c r="AC349" s="154">
        <f t="shared" si="17"/>
        <v>2</v>
      </c>
      <c r="AD349" s="176">
        <v>44964</v>
      </c>
      <c r="AE349" s="187" t="s">
        <v>529</v>
      </c>
      <c r="AF349" s="171" t="s">
        <v>1328</v>
      </c>
      <c r="AG349" s="178"/>
      <c r="AH349" s="177" t="s">
        <v>1327</v>
      </c>
      <c r="AI349" s="85"/>
      <c r="AJ349" s="86">
        <v>2</v>
      </c>
      <c r="AK349" s="179">
        <f t="shared" si="15"/>
        <v>0</v>
      </c>
      <c r="AL349" s="85" t="s">
        <v>1483</v>
      </c>
      <c r="AM349" s="77"/>
      <c r="AN349" s="87"/>
      <c r="AO349" s="180"/>
    </row>
    <row r="350" spans="1:41" s="288" customFormat="1" ht="30.75" customHeight="1">
      <c r="A350" s="233">
        <v>357</v>
      </c>
      <c r="B350" s="234">
        <v>44945</v>
      </c>
      <c r="C350" s="235" t="s">
        <v>856</v>
      </c>
      <c r="D350" s="217" t="s">
        <v>903</v>
      </c>
      <c r="E350" s="217" t="s">
        <v>328</v>
      </c>
      <c r="F350" s="167" t="s">
        <v>904</v>
      </c>
      <c r="G350" s="84" t="s">
        <v>905</v>
      </c>
      <c r="H350" s="84" t="s">
        <v>906</v>
      </c>
      <c r="I350" s="194" t="s">
        <v>907</v>
      </c>
      <c r="J350" s="84" t="s">
        <v>908</v>
      </c>
      <c r="K350" s="84" t="s">
        <v>252</v>
      </c>
      <c r="L350" s="84" t="s">
        <v>252</v>
      </c>
      <c r="M350" s="216" t="s">
        <v>1348</v>
      </c>
      <c r="N350" s="216" t="s">
        <v>946</v>
      </c>
      <c r="O350" s="323">
        <v>0</v>
      </c>
      <c r="P350" s="151">
        <v>30</v>
      </c>
      <c r="Q350" s="151">
        <v>0</v>
      </c>
      <c r="R350" s="151">
        <v>0</v>
      </c>
      <c r="S350" s="151">
        <v>0</v>
      </c>
      <c r="T350" s="151">
        <v>0</v>
      </c>
      <c r="U350" s="151">
        <v>0</v>
      </c>
      <c r="V350" s="151">
        <f>0</f>
        <v>0</v>
      </c>
      <c r="W350" s="151">
        <v>0</v>
      </c>
      <c r="X350" s="151">
        <f>0</f>
        <v>0</v>
      </c>
      <c r="Y350" s="151">
        <f>0</f>
        <v>0</v>
      </c>
      <c r="Z350" s="200">
        <f>0</f>
        <v>0</v>
      </c>
      <c r="AA350" s="142">
        <f t="shared" si="16"/>
        <v>30</v>
      </c>
      <c r="AB350" s="123"/>
      <c r="AC350" s="154">
        <f t="shared" si="17"/>
        <v>30</v>
      </c>
      <c r="AD350" s="176">
        <v>44951</v>
      </c>
      <c r="AE350" s="177" t="s">
        <v>282</v>
      </c>
      <c r="AF350" s="84" t="s">
        <v>1250</v>
      </c>
      <c r="AG350" s="178"/>
      <c r="AH350" s="177"/>
      <c r="AI350" s="85"/>
      <c r="AJ350" s="86">
        <v>30</v>
      </c>
      <c r="AK350" s="179">
        <f t="shared" si="15"/>
        <v>0</v>
      </c>
      <c r="AL350" s="85" t="s">
        <v>1274</v>
      </c>
      <c r="AM350" s="77"/>
      <c r="AN350" s="87"/>
      <c r="AO350" s="180"/>
    </row>
    <row r="351" spans="1:41" s="288" customFormat="1" ht="30.75" customHeight="1">
      <c r="A351" s="225">
        <v>358</v>
      </c>
      <c r="B351" s="234">
        <v>44945</v>
      </c>
      <c r="C351" s="235" t="s">
        <v>856</v>
      </c>
      <c r="D351" s="217" t="s">
        <v>909</v>
      </c>
      <c r="E351" s="217"/>
      <c r="F351" s="167" t="s">
        <v>910</v>
      </c>
      <c r="G351" s="84" t="s">
        <v>911</v>
      </c>
      <c r="H351" s="84" t="s">
        <v>911</v>
      </c>
      <c r="I351" s="194" t="s">
        <v>333</v>
      </c>
      <c r="J351" s="84"/>
      <c r="K351" s="84"/>
      <c r="L351" s="84"/>
      <c r="M351" s="216" t="s">
        <v>912</v>
      </c>
      <c r="N351" s="216" t="s">
        <v>945</v>
      </c>
      <c r="O351" s="323">
        <v>0</v>
      </c>
      <c r="P351" s="151">
        <v>1</v>
      </c>
      <c r="Q351" s="151">
        <v>0</v>
      </c>
      <c r="R351" s="151">
        <v>0</v>
      </c>
      <c r="S351" s="151">
        <v>0</v>
      </c>
      <c r="T351" s="151">
        <v>0</v>
      </c>
      <c r="U351" s="151">
        <v>0</v>
      </c>
      <c r="V351" s="151">
        <f>0</f>
        <v>0</v>
      </c>
      <c r="W351" s="151">
        <v>0</v>
      </c>
      <c r="X351" s="151">
        <f>0</f>
        <v>0</v>
      </c>
      <c r="Y351" s="151">
        <f>0</f>
        <v>0</v>
      </c>
      <c r="Z351" s="200">
        <f>0</f>
        <v>0</v>
      </c>
      <c r="AA351" s="142">
        <f t="shared" si="16"/>
        <v>1</v>
      </c>
      <c r="AB351" s="123"/>
      <c r="AC351" s="154">
        <f t="shared" si="17"/>
        <v>1</v>
      </c>
      <c r="AD351" s="186">
        <v>44951</v>
      </c>
      <c r="AE351" s="187" t="s">
        <v>529</v>
      </c>
      <c r="AF351" s="84" t="s">
        <v>1247</v>
      </c>
      <c r="AG351" s="178"/>
      <c r="AH351" s="187" t="s">
        <v>1239</v>
      </c>
      <c r="AI351" s="85"/>
      <c r="AJ351" s="86">
        <v>1</v>
      </c>
      <c r="AK351" s="179">
        <f t="shared" si="15"/>
        <v>0</v>
      </c>
      <c r="AL351" s="85" t="s">
        <v>1454</v>
      </c>
      <c r="AM351" s="77"/>
      <c r="AN351" s="87"/>
      <c r="AO351" s="180"/>
    </row>
    <row r="352" spans="1:41" s="288" customFormat="1" ht="30.75" customHeight="1">
      <c r="A352" s="233">
        <v>359</v>
      </c>
      <c r="B352" s="234">
        <v>44945</v>
      </c>
      <c r="C352" s="235" t="s">
        <v>856</v>
      </c>
      <c r="D352" s="217" t="s">
        <v>913</v>
      </c>
      <c r="E352" s="217">
        <v>0</v>
      </c>
      <c r="F352" s="167" t="s">
        <v>893</v>
      </c>
      <c r="G352" s="84" t="s">
        <v>609</v>
      </c>
      <c r="H352" s="84" t="s">
        <v>609</v>
      </c>
      <c r="I352" s="194" t="s">
        <v>318</v>
      </c>
      <c r="J352" s="84" t="s">
        <v>868</v>
      </c>
      <c r="K352" s="84" t="s">
        <v>252</v>
      </c>
      <c r="L352" s="84" t="s">
        <v>252</v>
      </c>
      <c r="M352" s="216" t="s">
        <v>914</v>
      </c>
      <c r="N352" s="216" t="s">
        <v>945</v>
      </c>
      <c r="O352" s="323">
        <v>0</v>
      </c>
      <c r="P352" s="151">
        <v>2</v>
      </c>
      <c r="Q352" s="151">
        <v>0</v>
      </c>
      <c r="R352" s="151">
        <v>0</v>
      </c>
      <c r="S352" s="151">
        <v>0</v>
      </c>
      <c r="T352" s="151">
        <v>0</v>
      </c>
      <c r="U352" s="151">
        <v>0</v>
      </c>
      <c r="V352" s="151">
        <f>0</f>
        <v>0</v>
      </c>
      <c r="W352" s="151">
        <v>0</v>
      </c>
      <c r="X352" s="151">
        <f>0</f>
        <v>0</v>
      </c>
      <c r="Y352" s="151">
        <f>0</f>
        <v>0</v>
      </c>
      <c r="Z352" s="200">
        <f>0</f>
        <v>0</v>
      </c>
      <c r="AA352" s="142">
        <f t="shared" si="16"/>
        <v>2</v>
      </c>
      <c r="AB352" s="123"/>
      <c r="AC352" s="154">
        <f t="shared" si="17"/>
        <v>2</v>
      </c>
      <c r="AD352" s="176">
        <v>44964</v>
      </c>
      <c r="AE352" s="187" t="s">
        <v>529</v>
      </c>
      <c r="AF352" s="171" t="s">
        <v>1328</v>
      </c>
      <c r="AG352" s="178"/>
      <c r="AH352" s="177" t="s">
        <v>1327</v>
      </c>
      <c r="AI352" s="85"/>
      <c r="AJ352" s="86">
        <v>2</v>
      </c>
      <c r="AK352" s="179">
        <f t="shared" si="15"/>
        <v>0</v>
      </c>
      <c r="AL352" s="85" t="s">
        <v>1483</v>
      </c>
      <c r="AM352" s="77"/>
      <c r="AN352" s="87"/>
      <c r="AO352" s="180"/>
    </row>
    <row r="353" spans="1:41" s="345" customFormat="1" ht="30.75" customHeight="1">
      <c r="A353" s="225">
        <v>361</v>
      </c>
      <c r="B353" s="234">
        <v>44945</v>
      </c>
      <c r="C353" s="235" t="s">
        <v>856</v>
      </c>
      <c r="D353" s="217" t="s">
        <v>918</v>
      </c>
      <c r="E353" s="217">
        <v>0</v>
      </c>
      <c r="F353" s="167" t="s">
        <v>910</v>
      </c>
      <c r="G353" s="84" t="s">
        <v>919</v>
      </c>
      <c r="H353" s="84" t="s">
        <v>919</v>
      </c>
      <c r="I353" s="194" t="s">
        <v>333</v>
      </c>
      <c r="J353" s="84" t="s">
        <v>251</v>
      </c>
      <c r="K353" s="84" t="s">
        <v>252</v>
      </c>
      <c r="L353" s="84" t="s">
        <v>252</v>
      </c>
      <c r="M353" s="216" t="s">
        <v>920</v>
      </c>
      <c r="N353" s="216" t="s">
        <v>943</v>
      </c>
      <c r="O353" s="323">
        <v>0</v>
      </c>
      <c r="P353" s="151">
        <v>2</v>
      </c>
      <c r="Q353" s="151">
        <v>0</v>
      </c>
      <c r="R353" s="151">
        <v>0</v>
      </c>
      <c r="S353" s="151">
        <v>0</v>
      </c>
      <c r="T353" s="151">
        <v>0</v>
      </c>
      <c r="U353" s="151">
        <v>0</v>
      </c>
      <c r="V353" s="151">
        <f>0</f>
        <v>0</v>
      </c>
      <c r="W353" s="151">
        <v>0</v>
      </c>
      <c r="X353" s="151">
        <f>0</f>
        <v>0</v>
      </c>
      <c r="Y353" s="151">
        <f>0</f>
        <v>0</v>
      </c>
      <c r="Z353" s="200">
        <f>0</f>
        <v>0</v>
      </c>
      <c r="AA353" s="142">
        <f t="shared" si="16"/>
        <v>2</v>
      </c>
      <c r="AB353" s="123"/>
      <c r="AC353" s="154">
        <f t="shared" si="17"/>
        <v>2</v>
      </c>
      <c r="AD353" s="176">
        <v>44951</v>
      </c>
      <c r="AE353" s="177" t="s">
        <v>529</v>
      </c>
      <c r="AF353" s="84" t="s">
        <v>1247</v>
      </c>
      <c r="AG353" s="178"/>
      <c r="AH353" s="177" t="s">
        <v>1239</v>
      </c>
      <c r="AI353" s="85"/>
      <c r="AJ353" s="86">
        <v>2</v>
      </c>
      <c r="AK353" s="179">
        <f t="shared" si="15"/>
        <v>0</v>
      </c>
      <c r="AL353" s="85" t="s">
        <v>1454</v>
      </c>
      <c r="AM353" s="77"/>
      <c r="AN353" s="87"/>
      <c r="AO353" s="180"/>
    </row>
    <row r="354" spans="1:41" s="288" customFormat="1" ht="30.75" customHeight="1">
      <c r="A354" s="233">
        <v>362</v>
      </c>
      <c r="B354" s="234">
        <v>44945</v>
      </c>
      <c r="C354" s="235" t="s">
        <v>856</v>
      </c>
      <c r="D354" s="217" t="s">
        <v>921</v>
      </c>
      <c r="E354" s="217">
        <v>0</v>
      </c>
      <c r="F354" s="167" t="s">
        <v>922</v>
      </c>
      <c r="G354" s="84" t="s">
        <v>252</v>
      </c>
      <c r="H354" s="84" t="s">
        <v>921</v>
      </c>
      <c r="I354" s="194" t="s">
        <v>923</v>
      </c>
      <c r="J354" s="84" t="s">
        <v>868</v>
      </c>
      <c r="K354" s="84" t="s">
        <v>252</v>
      </c>
      <c r="L354" s="84" t="s">
        <v>252</v>
      </c>
      <c r="M354" s="216"/>
      <c r="N354" s="216" t="s">
        <v>944</v>
      </c>
      <c r="O354" s="323">
        <v>0</v>
      </c>
      <c r="P354" s="151">
        <v>2</v>
      </c>
      <c r="Q354" s="151">
        <v>0</v>
      </c>
      <c r="R354" s="151">
        <v>0</v>
      </c>
      <c r="S354" s="151">
        <v>0</v>
      </c>
      <c r="T354" s="151">
        <v>0</v>
      </c>
      <c r="U354" s="151">
        <v>0</v>
      </c>
      <c r="V354" s="151">
        <f>0</f>
        <v>0</v>
      </c>
      <c r="W354" s="151">
        <v>0</v>
      </c>
      <c r="X354" s="151">
        <f>0</f>
        <v>0</v>
      </c>
      <c r="Y354" s="151">
        <f>0</f>
        <v>0</v>
      </c>
      <c r="Z354" s="200">
        <f>0</f>
        <v>0</v>
      </c>
      <c r="AA354" s="142">
        <f t="shared" si="16"/>
        <v>2</v>
      </c>
      <c r="AB354" s="123">
        <v>2</v>
      </c>
      <c r="AC354" s="154">
        <f t="shared" si="17"/>
        <v>0</v>
      </c>
      <c r="AD354" s="186">
        <v>44951</v>
      </c>
      <c r="AE354" s="187" t="s">
        <v>529</v>
      </c>
      <c r="AF354" s="84" t="s">
        <v>44</v>
      </c>
      <c r="AG354" s="178"/>
      <c r="AH354" s="187"/>
      <c r="AI354" s="85"/>
      <c r="AJ354" s="86" t="s">
        <v>499</v>
      </c>
      <c r="AK354" s="179" t="e">
        <f t="shared" si="15"/>
        <v>#VALUE!</v>
      </c>
      <c r="AL354" s="85" t="s">
        <v>1248</v>
      </c>
      <c r="AM354" s="77"/>
      <c r="AN354" s="87"/>
      <c r="AO354" s="180"/>
    </row>
    <row r="355" spans="1:41" s="288" customFormat="1" ht="30.75" customHeight="1">
      <c r="A355" s="225">
        <v>363</v>
      </c>
      <c r="B355" s="234">
        <v>44945</v>
      </c>
      <c r="C355" s="235" t="s">
        <v>856</v>
      </c>
      <c r="D355" s="217" t="s">
        <v>924</v>
      </c>
      <c r="E355" s="217">
        <v>0</v>
      </c>
      <c r="F355" s="167" t="s">
        <v>925</v>
      </c>
      <c r="G355" s="84" t="s">
        <v>252</v>
      </c>
      <c r="H355" s="84" t="s">
        <v>924</v>
      </c>
      <c r="I355" s="196" t="s">
        <v>309</v>
      </c>
      <c r="J355" s="84" t="s">
        <v>868</v>
      </c>
      <c r="K355" s="84" t="s">
        <v>252</v>
      </c>
      <c r="L355" s="84" t="s">
        <v>252</v>
      </c>
      <c r="M355" s="84"/>
      <c r="N355" s="216" t="s">
        <v>944</v>
      </c>
      <c r="O355" s="323">
        <v>0</v>
      </c>
      <c r="P355" s="151">
        <v>6</v>
      </c>
      <c r="Q355" s="151">
        <v>0</v>
      </c>
      <c r="R355" s="151">
        <v>0</v>
      </c>
      <c r="S355" s="151">
        <v>0</v>
      </c>
      <c r="T355" s="151">
        <v>0</v>
      </c>
      <c r="U355" s="151">
        <v>0</v>
      </c>
      <c r="V355" s="151">
        <f>0</f>
        <v>0</v>
      </c>
      <c r="W355" s="151">
        <v>0</v>
      </c>
      <c r="X355" s="151">
        <f>0</f>
        <v>0</v>
      </c>
      <c r="Y355" s="151">
        <f>0</f>
        <v>0</v>
      </c>
      <c r="Z355" s="200">
        <f>0</f>
        <v>0</v>
      </c>
      <c r="AA355" s="142">
        <f t="shared" si="16"/>
        <v>6</v>
      </c>
      <c r="AB355" s="123"/>
      <c r="AC355" s="154">
        <f t="shared" si="17"/>
        <v>6</v>
      </c>
      <c r="AD355" s="176">
        <v>44950</v>
      </c>
      <c r="AE355" s="177" t="s">
        <v>529</v>
      </c>
      <c r="AF355" s="84" t="s">
        <v>1238</v>
      </c>
      <c r="AG355" s="178"/>
      <c r="AH355" s="177" t="s">
        <v>1239</v>
      </c>
      <c r="AI355" s="85"/>
      <c r="AJ355" s="86">
        <v>6</v>
      </c>
      <c r="AK355" s="179">
        <f t="shared" si="15"/>
        <v>0</v>
      </c>
      <c r="AL355" s="85" t="s">
        <v>1596</v>
      </c>
      <c r="AM355" s="77"/>
      <c r="AN355" s="87"/>
      <c r="AO355" s="180"/>
    </row>
    <row r="356" spans="1:41" s="288" customFormat="1" ht="30.75" customHeight="1">
      <c r="A356" s="233">
        <v>364</v>
      </c>
      <c r="B356" s="234">
        <v>44945</v>
      </c>
      <c r="C356" s="235" t="s">
        <v>856</v>
      </c>
      <c r="D356" s="217" t="s">
        <v>268</v>
      </c>
      <c r="E356" s="377">
        <v>0</v>
      </c>
      <c r="F356" s="167" t="s">
        <v>267</v>
      </c>
      <c r="G356" s="84" t="s">
        <v>252</v>
      </c>
      <c r="H356" s="84" t="s">
        <v>268</v>
      </c>
      <c r="I356" s="526" t="s">
        <v>199</v>
      </c>
      <c r="J356" s="84" t="s">
        <v>868</v>
      </c>
      <c r="K356" s="84"/>
      <c r="L356" s="84"/>
      <c r="M356" s="84" t="s">
        <v>269</v>
      </c>
      <c r="N356" s="216" t="s">
        <v>945</v>
      </c>
      <c r="O356" s="323">
        <v>0</v>
      </c>
      <c r="P356" s="151">
        <v>1</v>
      </c>
      <c r="Q356" s="151">
        <v>0</v>
      </c>
      <c r="R356" s="151">
        <v>0</v>
      </c>
      <c r="S356" s="151">
        <v>0</v>
      </c>
      <c r="T356" s="151">
        <v>0</v>
      </c>
      <c r="U356" s="151">
        <v>0</v>
      </c>
      <c r="V356" s="151">
        <f>0</f>
        <v>0</v>
      </c>
      <c r="W356" s="151">
        <v>0</v>
      </c>
      <c r="X356" s="151">
        <f>0</f>
        <v>0</v>
      </c>
      <c r="Y356" s="151">
        <f>0</f>
        <v>0</v>
      </c>
      <c r="Z356" s="200">
        <f>0</f>
        <v>0</v>
      </c>
      <c r="AA356" s="174">
        <f t="shared" si="16"/>
        <v>1</v>
      </c>
      <c r="AB356" s="175"/>
      <c r="AC356" s="172">
        <f t="shared" si="17"/>
        <v>1</v>
      </c>
      <c r="AD356" s="176">
        <v>44970</v>
      </c>
      <c r="AE356" s="177" t="s">
        <v>282</v>
      </c>
      <c r="AF356" s="130" t="s">
        <v>1404</v>
      </c>
      <c r="AG356" s="178"/>
      <c r="AH356" s="187"/>
      <c r="AI356" s="85" t="s">
        <v>1446</v>
      </c>
      <c r="AJ356" s="86">
        <v>1</v>
      </c>
      <c r="AK356" s="179">
        <f t="shared" si="15"/>
        <v>0</v>
      </c>
      <c r="AL356" s="85" t="s">
        <v>1532</v>
      </c>
      <c r="AM356" s="77"/>
      <c r="AN356" s="87"/>
      <c r="AO356" s="180"/>
    </row>
    <row r="357" spans="1:41" s="288" customFormat="1" ht="30.75" customHeight="1">
      <c r="A357" s="225">
        <v>365</v>
      </c>
      <c r="B357" s="234">
        <v>44945</v>
      </c>
      <c r="C357" s="235" t="s">
        <v>856</v>
      </c>
      <c r="D357" s="217" t="s">
        <v>252</v>
      </c>
      <c r="E357" s="217">
        <v>0</v>
      </c>
      <c r="F357" s="167" t="s">
        <v>926</v>
      </c>
      <c r="G357" s="84" t="s">
        <v>927</v>
      </c>
      <c r="H357" s="84" t="s">
        <v>928</v>
      </c>
      <c r="I357" s="194" t="s">
        <v>929</v>
      </c>
      <c r="J357" s="84" t="s">
        <v>868</v>
      </c>
      <c r="K357" s="84"/>
      <c r="L357" s="84"/>
      <c r="M357" s="216"/>
      <c r="N357" s="216" t="s">
        <v>943</v>
      </c>
      <c r="O357" s="323">
        <v>0</v>
      </c>
      <c r="P357" s="151">
        <v>2</v>
      </c>
      <c r="Q357" s="151">
        <v>0</v>
      </c>
      <c r="R357" s="151">
        <v>0</v>
      </c>
      <c r="S357" s="151">
        <v>0</v>
      </c>
      <c r="T357" s="151">
        <v>0</v>
      </c>
      <c r="U357" s="151">
        <v>0</v>
      </c>
      <c r="V357" s="151">
        <f>0</f>
        <v>0</v>
      </c>
      <c r="W357" s="151">
        <v>0</v>
      </c>
      <c r="X357" s="151">
        <f>0</f>
        <v>0</v>
      </c>
      <c r="Y357" s="151">
        <f>0</f>
        <v>0</v>
      </c>
      <c r="Z357" s="200">
        <f>0</f>
        <v>0</v>
      </c>
      <c r="AA357" s="174">
        <f t="shared" si="16"/>
        <v>2</v>
      </c>
      <c r="AB357" s="175"/>
      <c r="AC357" s="172">
        <f t="shared" si="17"/>
        <v>2</v>
      </c>
      <c r="AD357" s="176">
        <v>44970</v>
      </c>
      <c r="AE357" s="177" t="s">
        <v>282</v>
      </c>
      <c r="AF357" s="84" t="s">
        <v>1402</v>
      </c>
      <c r="AG357" s="178"/>
      <c r="AH357" s="177"/>
      <c r="AI357" s="85"/>
      <c r="AJ357" s="86">
        <v>2</v>
      </c>
      <c r="AK357" s="179">
        <f t="shared" si="15"/>
        <v>0</v>
      </c>
      <c r="AL357" s="85" t="s">
        <v>1422</v>
      </c>
      <c r="AM357" s="77"/>
      <c r="AN357" s="87"/>
      <c r="AO357" s="180"/>
    </row>
    <row r="358" spans="1:41" s="288" customFormat="1" ht="18">
      <c r="A358" s="233">
        <v>366</v>
      </c>
      <c r="B358" s="234">
        <v>44945</v>
      </c>
      <c r="C358" s="235" t="s">
        <v>856</v>
      </c>
      <c r="D358" s="217" t="s">
        <v>252</v>
      </c>
      <c r="E358" s="217">
        <v>0</v>
      </c>
      <c r="F358" s="167" t="s">
        <v>930</v>
      </c>
      <c r="G358" s="84" t="s">
        <v>931</v>
      </c>
      <c r="H358" s="84" t="s">
        <v>932</v>
      </c>
      <c r="I358" s="194" t="s">
        <v>929</v>
      </c>
      <c r="J358" s="84" t="s">
        <v>868</v>
      </c>
      <c r="K358" s="84"/>
      <c r="L358" s="84"/>
      <c r="M358" s="84"/>
      <c r="N358" s="216" t="s">
        <v>943</v>
      </c>
      <c r="O358" s="323">
        <v>0</v>
      </c>
      <c r="P358" s="151">
        <v>2</v>
      </c>
      <c r="Q358" s="151">
        <v>0</v>
      </c>
      <c r="R358" s="151">
        <v>0</v>
      </c>
      <c r="S358" s="151">
        <v>0</v>
      </c>
      <c r="T358" s="151">
        <v>0</v>
      </c>
      <c r="U358" s="151">
        <v>0</v>
      </c>
      <c r="V358" s="151">
        <f>0</f>
        <v>0</v>
      </c>
      <c r="W358" s="151">
        <v>0</v>
      </c>
      <c r="X358" s="151">
        <f>0</f>
        <v>0</v>
      </c>
      <c r="Y358" s="151">
        <f>0</f>
        <v>0</v>
      </c>
      <c r="Z358" s="200">
        <f>0</f>
        <v>0</v>
      </c>
      <c r="AA358" s="174">
        <f t="shared" si="16"/>
        <v>2</v>
      </c>
      <c r="AB358" s="175"/>
      <c r="AC358" s="172">
        <f t="shared" si="17"/>
        <v>2</v>
      </c>
      <c r="AD358" s="176">
        <v>44970</v>
      </c>
      <c r="AE358" s="177" t="s">
        <v>282</v>
      </c>
      <c r="AF358" s="84" t="s">
        <v>1402</v>
      </c>
      <c r="AG358" s="178"/>
      <c r="AH358" s="177"/>
      <c r="AI358" s="85"/>
      <c r="AJ358" s="86">
        <v>2</v>
      </c>
      <c r="AK358" s="179">
        <f t="shared" si="15"/>
        <v>0</v>
      </c>
      <c r="AL358" s="85" t="s">
        <v>1422</v>
      </c>
      <c r="AM358" s="77"/>
      <c r="AN358" s="87"/>
      <c r="AO358" s="180"/>
    </row>
    <row r="359" spans="1:41" s="288" customFormat="1" ht="18">
      <c r="A359" s="225">
        <v>367</v>
      </c>
      <c r="B359" s="234">
        <v>44945</v>
      </c>
      <c r="C359" s="235" t="s">
        <v>856</v>
      </c>
      <c r="D359" s="217" t="s">
        <v>252</v>
      </c>
      <c r="E359" s="217">
        <v>0</v>
      </c>
      <c r="F359" s="167" t="s">
        <v>930</v>
      </c>
      <c r="G359" s="84" t="s">
        <v>933</v>
      </c>
      <c r="H359" s="84" t="s">
        <v>934</v>
      </c>
      <c r="I359" s="194" t="s">
        <v>929</v>
      </c>
      <c r="J359" s="84" t="s">
        <v>868</v>
      </c>
      <c r="K359" s="84"/>
      <c r="L359" s="84"/>
      <c r="M359" s="84"/>
      <c r="N359" s="216" t="s">
        <v>943</v>
      </c>
      <c r="O359" s="323">
        <v>0</v>
      </c>
      <c r="P359" s="151">
        <v>2</v>
      </c>
      <c r="Q359" s="151">
        <v>0</v>
      </c>
      <c r="R359" s="151">
        <v>0</v>
      </c>
      <c r="S359" s="151">
        <v>0</v>
      </c>
      <c r="T359" s="151">
        <v>0</v>
      </c>
      <c r="U359" s="151">
        <v>0</v>
      </c>
      <c r="V359" s="151">
        <f>0</f>
        <v>0</v>
      </c>
      <c r="W359" s="151">
        <v>0</v>
      </c>
      <c r="X359" s="151">
        <f>0</f>
        <v>0</v>
      </c>
      <c r="Y359" s="151">
        <f>0</f>
        <v>0</v>
      </c>
      <c r="Z359" s="200">
        <f>0</f>
        <v>0</v>
      </c>
      <c r="AA359" s="174">
        <f t="shared" si="16"/>
        <v>2</v>
      </c>
      <c r="AB359" s="175"/>
      <c r="AC359" s="172">
        <f t="shared" si="17"/>
        <v>2</v>
      </c>
      <c r="AD359" s="176">
        <v>44970</v>
      </c>
      <c r="AE359" s="177" t="s">
        <v>282</v>
      </c>
      <c r="AF359" s="84" t="s">
        <v>1402</v>
      </c>
      <c r="AG359" s="178"/>
      <c r="AH359" s="177"/>
      <c r="AI359" s="85"/>
      <c r="AJ359" s="86">
        <v>2</v>
      </c>
      <c r="AK359" s="179">
        <f t="shared" si="15"/>
        <v>0</v>
      </c>
      <c r="AL359" s="85" t="s">
        <v>1422</v>
      </c>
      <c r="AM359" s="77"/>
      <c r="AN359" s="87"/>
      <c r="AO359" s="180"/>
    </row>
    <row r="360" spans="1:41" s="288" customFormat="1" ht="18">
      <c r="A360" s="233">
        <v>368</v>
      </c>
      <c r="B360" s="234">
        <v>44945</v>
      </c>
      <c r="C360" s="235" t="s">
        <v>856</v>
      </c>
      <c r="D360" s="217" t="s">
        <v>935</v>
      </c>
      <c r="E360" s="217"/>
      <c r="F360" s="167" t="s">
        <v>936</v>
      </c>
      <c r="G360" s="84"/>
      <c r="H360" s="84" t="s">
        <v>252</v>
      </c>
      <c r="I360" s="223" t="s">
        <v>937</v>
      </c>
      <c r="J360" s="84" t="s">
        <v>868</v>
      </c>
      <c r="K360" s="84"/>
      <c r="L360" s="84"/>
      <c r="M360" s="84"/>
      <c r="N360" s="216" t="s">
        <v>944</v>
      </c>
      <c r="O360" s="323">
        <v>0</v>
      </c>
      <c r="P360" s="151">
        <v>2</v>
      </c>
      <c r="Q360" s="151">
        <v>0</v>
      </c>
      <c r="R360" s="151">
        <v>0</v>
      </c>
      <c r="S360" s="151">
        <v>0</v>
      </c>
      <c r="T360" s="151">
        <v>0</v>
      </c>
      <c r="U360" s="151">
        <v>0</v>
      </c>
      <c r="V360" s="151">
        <f>0</f>
        <v>0</v>
      </c>
      <c r="W360" s="151">
        <v>0</v>
      </c>
      <c r="X360" s="151">
        <f>0</f>
        <v>0</v>
      </c>
      <c r="Y360" s="151">
        <f>0</f>
        <v>0</v>
      </c>
      <c r="Z360" s="200">
        <f>0</f>
        <v>0</v>
      </c>
      <c r="AA360" s="174">
        <f t="shared" si="16"/>
        <v>2</v>
      </c>
      <c r="AB360" s="175">
        <v>2</v>
      </c>
      <c r="AC360" s="172">
        <f t="shared" si="17"/>
        <v>0</v>
      </c>
      <c r="AD360" s="176"/>
      <c r="AE360" s="177" t="s">
        <v>529</v>
      </c>
      <c r="AF360" s="84" t="s">
        <v>44</v>
      </c>
      <c r="AG360" s="178"/>
      <c r="AH360" s="177"/>
      <c r="AI360" s="85"/>
      <c r="AJ360" s="86" t="s">
        <v>499</v>
      </c>
      <c r="AK360" s="179" t="e">
        <f t="shared" si="15"/>
        <v>#VALUE!</v>
      </c>
      <c r="AL360" s="85"/>
      <c r="AM360" s="77"/>
      <c r="AN360" s="87"/>
      <c r="AO360" s="180"/>
    </row>
    <row r="361" spans="1:41" s="288" customFormat="1" ht="30.75" customHeight="1">
      <c r="A361" s="225">
        <v>369</v>
      </c>
      <c r="B361" s="234">
        <v>44946</v>
      </c>
      <c r="C361" s="235" t="s">
        <v>454</v>
      </c>
      <c r="D361" s="214"/>
      <c r="E361" s="214"/>
      <c r="F361" s="222" t="s">
        <v>953</v>
      </c>
      <c r="G361" s="171" t="s">
        <v>1046</v>
      </c>
      <c r="H361" s="171" t="s">
        <v>1046</v>
      </c>
      <c r="I361" s="223"/>
      <c r="J361" s="171"/>
      <c r="K361" s="171"/>
      <c r="L361" s="171"/>
      <c r="M361" s="171"/>
      <c r="N361" s="224"/>
      <c r="O361" s="323">
        <v>16</v>
      </c>
      <c r="P361" s="151">
        <v>0</v>
      </c>
      <c r="Q361" s="151">
        <v>0</v>
      </c>
      <c r="R361" s="151">
        <v>0</v>
      </c>
      <c r="S361" s="151">
        <v>0</v>
      </c>
      <c r="T361" s="151">
        <v>0</v>
      </c>
      <c r="U361" s="151">
        <v>0</v>
      </c>
      <c r="V361" s="151">
        <v>0</v>
      </c>
      <c r="W361" s="151">
        <v>0</v>
      </c>
      <c r="X361" s="151">
        <v>0</v>
      </c>
      <c r="Y361" s="151">
        <f>0</f>
        <v>0</v>
      </c>
      <c r="Z361" s="200">
        <f>0</f>
        <v>0</v>
      </c>
      <c r="AA361" s="132">
        <f t="shared" si="16"/>
        <v>16</v>
      </c>
      <c r="AB361" s="160"/>
      <c r="AC361" s="161">
        <f t="shared" si="17"/>
        <v>16</v>
      </c>
      <c r="AD361" s="186"/>
      <c r="AE361" s="187"/>
      <c r="AF361" s="84" t="s">
        <v>292</v>
      </c>
      <c r="AG361" s="188"/>
      <c r="AH361" s="187"/>
      <c r="AI361" s="88"/>
      <c r="AJ361" s="89" t="s">
        <v>499</v>
      </c>
      <c r="AK361" s="189" t="e">
        <f t="shared" si="15"/>
        <v>#VALUE!</v>
      </c>
      <c r="AL361" s="88"/>
      <c r="AM361" s="83"/>
      <c r="AN361" s="90"/>
      <c r="AO361" s="190"/>
    </row>
    <row r="362" spans="1:41" s="288" customFormat="1" ht="30.75" customHeight="1">
      <c r="A362" s="233">
        <v>370</v>
      </c>
      <c r="B362" s="234">
        <v>44946</v>
      </c>
      <c r="C362" s="235" t="s">
        <v>454</v>
      </c>
      <c r="D362" s="214"/>
      <c r="E362" s="214"/>
      <c r="F362" s="167" t="s">
        <v>954</v>
      </c>
      <c r="G362" s="84" t="s">
        <v>1047</v>
      </c>
      <c r="H362" s="84" t="s">
        <v>1143</v>
      </c>
      <c r="I362" s="223"/>
      <c r="J362" s="171"/>
      <c r="K362" s="171"/>
      <c r="L362" s="171"/>
      <c r="M362" s="171"/>
      <c r="N362" s="224"/>
      <c r="O362" s="323">
        <v>4</v>
      </c>
      <c r="P362" s="151">
        <v>0</v>
      </c>
      <c r="Q362" s="151">
        <v>0</v>
      </c>
      <c r="R362" s="151">
        <v>0</v>
      </c>
      <c r="S362" s="151">
        <v>0</v>
      </c>
      <c r="T362" s="151">
        <v>0</v>
      </c>
      <c r="U362" s="151">
        <v>0</v>
      </c>
      <c r="V362" s="151">
        <v>0</v>
      </c>
      <c r="W362" s="151">
        <v>0</v>
      </c>
      <c r="X362" s="151">
        <v>0</v>
      </c>
      <c r="Y362" s="151">
        <f>0</f>
        <v>0</v>
      </c>
      <c r="Z362" s="200">
        <f>0</f>
        <v>0</v>
      </c>
      <c r="AA362" s="132">
        <f t="shared" si="16"/>
        <v>4</v>
      </c>
      <c r="AB362" s="160">
        <v>4</v>
      </c>
      <c r="AC362" s="161">
        <f t="shared" si="17"/>
        <v>0</v>
      </c>
      <c r="AD362" s="186"/>
      <c r="AE362" s="187"/>
      <c r="AF362" s="171" t="s">
        <v>292</v>
      </c>
      <c r="AG362" s="188"/>
      <c r="AH362" s="187"/>
      <c r="AI362" s="88"/>
      <c r="AJ362" s="89" t="s">
        <v>293</v>
      </c>
      <c r="AK362" s="189" t="e">
        <f t="shared" si="15"/>
        <v>#VALUE!</v>
      </c>
      <c r="AL362" s="88" t="s">
        <v>1480</v>
      </c>
      <c r="AM362" s="83"/>
      <c r="AN362" s="90"/>
      <c r="AO362" s="190"/>
    </row>
    <row r="363" spans="1:41" s="288" customFormat="1" ht="30.75" customHeight="1">
      <c r="A363" s="225">
        <v>371</v>
      </c>
      <c r="B363" s="234">
        <v>44946</v>
      </c>
      <c r="C363" s="235" t="s">
        <v>454</v>
      </c>
      <c r="D363" s="217"/>
      <c r="E363" s="217"/>
      <c r="F363" s="167" t="s">
        <v>955</v>
      </c>
      <c r="G363" s="84" t="s">
        <v>1048</v>
      </c>
      <c r="H363" s="84" t="s">
        <v>1048</v>
      </c>
      <c r="I363" s="223"/>
      <c r="J363" s="84"/>
      <c r="K363" s="84"/>
      <c r="L363" s="84"/>
      <c r="M363" s="84"/>
      <c r="N363" s="216"/>
      <c r="O363" s="323">
        <v>16</v>
      </c>
      <c r="P363" s="151">
        <v>0</v>
      </c>
      <c r="Q363" s="151">
        <v>0</v>
      </c>
      <c r="R363" s="151">
        <v>0</v>
      </c>
      <c r="S363" s="151">
        <v>0</v>
      </c>
      <c r="T363" s="151">
        <v>0</v>
      </c>
      <c r="U363" s="151">
        <v>0</v>
      </c>
      <c r="V363" s="151">
        <v>0</v>
      </c>
      <c r="W363" s="151">
        <v>0</v>
      </c>
      <c r="X363" s="151">
        <v>0</v>
      </c>
      <c r="Y363" s="151">
        <f>0</f>
        <v>0</v>
      </c>
      <c r="Z363" s="200">
        <f>0</f>
        <v>0</v>
      </c>
      <c r="AA363" s="174">
        <f t="shared" si="16"/>
        <v>16</v>
      </c>
      <c r="AB363" s="175">
        <v>16</v>
      </c>
      <c r="AC363" s="172">
        <f t="shared" si="17"/>
        <v>0</v>
      </c>
      <c r="AD363" s="176"/>
      <c r="AE363" s="177"/>
      <c r="AF363" s="84" t="s">
        <v>292</v>
      </c>
      <c r="AG363" s="178"/>
      <c r="AH363" s="177"/>
      <c r="AI363" s="85"/>
      <c r="AJ363" s="86" t="s">
        <v>1479</v>
      </c>
      <c r="AK363" s="179" t="e">
        <f t="shared" si="15"/>
        <v>#VALUE!</v>
      </c>
      <c r="AL363" s="85" t="s">
        <v>1480</v>
      </c>
      <c r="AM363" s="77"/>
      <c r="AN363" s="87"/>
      <c r="AO363" s="180"/>
    </row>
    <row r="364" spans="1:41" s="288" customFormat="1" ht="30.75" customHeight="1">
      <c r="A364" s="233">
        <v>372</v>
      </c>
      <c r="B364" s="234">
        <v>44946</v>
      </c>
      <c r="C364" s="235" t="s">
        <v>454</v>
      </c>
      <c r="D364" s="217"/>
      <c r="E364" s="217"/>
      <c r="F364" s="167" t="s">
        <v>956</v>
      </c>
      <c r="G364" s="84" t="s">
        <v>1049</v>
      </c>
      <c r="H364" s="84" t="s">
        <v>1049</v>
      </c>
      <c r="I364" s="223"/>
      <c r="J364" s="84"/>
      <c r="K364" s="84"/>
      <c r="L364" s="84"/>
      <c r="M364" s="84"/>
      <c r="N364" s="216"/>
      <c r="O364" s="323">
        <v>4</v>
      </c>
      <c r="P364" s="151">
        <v>0</v>
      </c>
      <c r="Q364" s="151">
        <v>0</v>
      </c>
      <c r="R364" s="151">
        <v>0</v>
      </c>
      <c r="S364" s="151">
        <v>0</v>
      </c>
      <c r="T364" s="151">
        <v>0</v>
      </c>
      <c r="U364" s="151">
        <v>0</v>
      </c>
      <c r="V364" s="151">
        <v>0</v>
      </c>
      <c r="W364" s="151">
        <v>0</v>
      </c>
      <c r="X364" s="151">
        <v>0</v>
      </c>
      <c r="Y364" s="151">
        <f>0</f>
        <v>0</v>
      </c>
      <c r="Z364" s="200">
        <f>0</f>
        <v>0</v>
      </c>
      <c r="AA364" s="174">
        <f t="shared" si="16"/>
        <v>4</v>
      </c>
      <c r="AB364" s="175"/>
      <c r="AC364" s="172">
        <f t="shared" si="17"/>
        <v>4</v>
      </c>
      <c r="AD364" s="176">
        <v>44984</v>
      </c>
      <c r="AE364" s="177" t="s">
        <v>282</v>
      </c>
      <c r="AF364" s="84" t="s">
        <v>1481</v>
      </c>
      <c r="AG364" s="178"/>
      <c r="AH364" s="177"/>
      <c r="AI364" s="85"/>
      <c r="AJ364" s="86"/>
      <c r="AK364" s="179">
        <f t="shared" si="15"/>
        <v>4</v>
      </c>
      <c r="AL364" s="85"/>
      <c r="AM364" s="77"/>
      <c r="AN364" s="87"/>
      <c r="AO364" s="180"/>
    </row>
    <row r="365" spans="1:41" s="288" customFormat="1" ht="30.75" customHeight="1">
      <c r="A365" s="225">
        <v>373</v>
      </c>
      <c r="B365" s="234">
        <v>44946</v>
      </c>
      <c r="C365" s="235" t="s">
        <v>454</v>
      </c>
      <c r="D365" s="217"/>
      <c r="E365" s="217"/>
      <c r="F365" s="167" t="s">
        <v>957</v>
      </c>
      <c r="G365" s="84" t="s">
        <v>1050</v>
      </c>
      <c r="H365" s="84" t="s">
        <v>1050</v>
      </c>
      <c r="I365" s="223"/>
      <c r="J365" s="84"/>
      <c r="K365" s="84"/>
      <c r="L365" s="84"/>
      <c r="M365" s="84"/>
      <c r="N365" s="216"/>
      <c r="O365" s="323">
        <v>4</v>
      </c>
      <c r="P365" s="151">
        <v>0</v>
      </c>
      <c r="Q365" s="151">
        <v>0</v>
      </c>
      <c r="R365" s="151">
        <v>0</v>
      </c>
      <c r="S365" s="151">
        <v>0</v>
      </c>
      <c r="T365" s="151">
        <v>0</v>
      </c>
      <c r="U365" s="151">
        <v>0</v>
      </c>
      <c r="V365" s="151">
        <v>0</v>
      </c>
      <c r="W365" s="151">
        <v>0</v>
      </c>
      <c r="X365" s="151">
        <v>0</v>
      </c>
      <c r="Y365" s="151">
        <f>0</f>
        <v>0</v>
      </c>
      <c r="Z365" s="200">
        <f>0</f>
        <v>0</v>
      </c>
      <c r="AA365" s="174">
        <f t="shared" si="16"/>
        <v>4</v>
      </c>
      <c r="AB365" s="175">
        <v>4</v>
      </c>
      <c r="AC365" s="172">
        <f t="shared" si="17"/>
        <v>0</v>
      </c>
      <c r="AD365" s="176"/>
      <c r="AE365" s="177"/>
      <c r="AF365" s="84" t="s">
        <v>292</v>
      </c>
      <c r="AG365" s="178"/>
      <c r="AH365" s="177"/>
      <c r="AI365" s="85"/>
      <c r="AJ365" s="86" t="s">
        <v>293</v>
      </c>
      <c r="AK365" s="179" t="e">
        <f t="shared" si="15"/>
        <v>#VALUE!</v>
      </c>
      <c r="AL365" s="85" t="s">
        <v>1480</v>
      </c>
      <c r="AM365" s="77"/>
      <c r="AN365" s="87"/>
      <c r="AO365" s="180"/>
    </row>
    <row r="366" spans="1:41" s="288" customFormat="1" ht="30.75" customHeight="1">
      <c r="A366" s="233">
        <v>374</v>
      </c>
      <c r="B366" s="234">
        <v>44946</v>
      </c>
      <c r="C366" s="235" t="s">
        <v>454</v>
      </c>
      <c r="D366" s="217"/>
      <c r="E366" s="217"/>
      <c r="F366" s="167" t="s">
        <v>958</v>
      </c>
      <c r="G366" s="84" t="s">
        <v>1051</v>
      </c>
      <c r="H366" s="84" t="s">
        <v>1051</v>
      </c>
      <c r="I366" s="223"/>
      <c r="J366" s="84"/>
      <c r="K366" s="84"/>
      <c r="L366" s="84"/>
      <c r="M366" s="84"/>
      <c r="N366" s="216"/>
      <c r="O366" s="323">
        <v>4</v>
      </c>
      <c r="P366" s="151">
        <v>0</v>
      </c>
      <c r="Q366" s="151">
        <v>0</v>
      </c>
      <c r="R366" s="151">
        <v>0</v>
      </c>
      <c r="S366" s="151">
        <v>0</v>
      </c>
      <c r="T366" s="151">
        <v>0</v>
      </c>
      <c r="U366" s="151">
        <v>0</v>
      </c>
      <c r="V366" s="151">
        <v>0</v>
      </c>
      <c r="W366" s="151">
        <v>0</v>
      </c>
      <c r="X366" s="151">
        <v>0</v>
      </c>
      <c r="Y366" s="151">
        <f>0</f>
        <v>0</v>
      </c>
      <c r="Z366" s="200">
        <f>0</f>
        <v>0</v>
      </c>
      <c r="AA366" s="174">
        <f t="shared" si="16"/>
        <v>4</v>
      </c>
      <c r="AB366" s="175">
        <v>4</v>
      </c>
      <c r="AC366" s="172">
        <f t="shared" si="17"/>
        <v>0</v>
      </c>
      <c r="AD366" s="176"/>
      <c r="AE366" s="177"/>
      <c r="AF366" s="84" t="s">
        <v>292</v>
      </c>
      <c r="AG366" s="178"/>
      <c r="AH366" s="177"/>
      <c r="AI366" s="85"/>
      <c r="AJ366" s="86" t="s">
        <v>293</v>
      </c>
      <c r="AK366" s="179" t="e">
        <f t="shared" si="15"/>
        <v>#VALUE!</v>
      </c>
      <c r="AL366" s="85" t="s">
        <v>1480</v>
      </c>
      <c r="AM366" s="77"/>
      <c r="AN366" s="87"/>
      <c r="AO366" s="180"/>
    </row>
    <row r="367" spans="1:41" s="288" customFormat="1" ht="30.75" customHeight="1">
      <c r="A367" s="225">
        <v>375</v>
      </c>
      <c r="B367" s="234">
        <v>44946</v>
      </c>
      <c r="C367" s="235" t="s">
        <v>454</v>
      </c>
      <c r="D367" s="217"/>
      <c r="E367" s="217"/>
      <c r="F367" s="167" t="s">
        <v>959</v>
      </c>
      <c r="G367" s="84" t="s">
        <v>1052</v>
      </c>
      <c r="H367" s="84" t="s">
        <v>1144</v>
      </c>
      <c r="I367" s="223" t="s">
        <v>1172</v>
      </c>
      <c r="J367" s="84"/>
      <c r="K367" s="84"/>
      <c r="L367" s="84"/>
      <c r="M367" s="84"/>
      <c r="N367" s="216"/>
      <c r="O367" s="323">
        <v>8</v>
      </c>
      <c r="P367" s="151">
        <v>0</v>
      </c>
      <c r="Q367" s="151">
        <v>0</v>
      </c>
      <c r="R367" s="151">
        <v>0</v>
      </c>
      <c r="S367" s="151">
        <v>0</v>
      </c>
      <c r="T367" s="151">
        <v>0</v>
      </c>
      <c r="U367" s="151">
        <v>0</v>
      </c>
      <c r="V367" s="151">
        <v>0</v>
      </c>
      <c r="W367" s="151">
        <v>0</v>
      </c>
      <c r="X367" s="151">
        <v>0</v>
      </c>
      <c r="Y367" s="151">
        <f>0</f>
        <v>0</v>
      </c>
      <c r="Z367" s="200">
        <f>0</f>
        <v>0</v>
      </c>
      <c r="AA367" s="174">
        <f t="shared" si="16"/>
        <v>8</v>
      </c>
      <c r="AB367" s="175">
        <v>8</v>
      </c>
      <c r="AC367" s="172">
        <f t="shared" si="17"/>
        <v>0</v>
      </c>
      <c r="AD367" s="176"/>
      <c r="AE367" s="177" t="s">
        <v>529</v>
      </c>
      <c r="AF367" s="84" t="s">
        <v>44</v>
      </c>
      <c r="AG367" s="178"/>
      <c r="AH367" s="177"/>
      <c r="AI367" s="85"/>
      <c r="AJ367" s="86" t="s">
        <v>499</v>
      </c>
      <c r="AK367" s="179" t="e">
        <f t="shared" si="15"/>
        <v>#VALUE!</v>
      </c>
      <c r="AL367" s="85" t="s">
        <v>951</v>
      </c>
      <c r="AM367" s="77"/>
      <c r="AN367" s="87"/>
      <c r="AO367" s="180"/>
    </row>
    <row r="368" spans="1:41" s="288" customFormat="1" ht="30.75" customHeight="1">
      <c r="A368" s="233">
        <v>376</v>
      </c>
      <c r="B368" s="234">
        <v>44946</v>
      </c>
      <c r="C368" s="235" t="s">
        <v>454</v>
      </c>
      <c r="D368" s="217"/>
      <c r="E368" s="217"/>
      <c r="F368" s="167" t="s">
        <v>960</v>
      </c>
      <c r="G368" s="84" t="s">
        <v>1053</v>
      </c>
      <c r="H368" s="84" t="s">
        <v>1145</v>
      </c>
      <c r="I368" s="223" t="s">
        <v>1172</v>
      </c>
      <c r="J368" s="84"/>
      <c r="K368" s="84"/>
      <c r="L368" s="84"/>
      <c r="M368" s="84"/>
      <c r="N368" s="216"/>
      <c r="O368" s="323">
        <v>4</v>
      </c>
      <c r="P368" s="151">
        <v>0</v>
      </c>
      <c r="Q368" s="151">
        <v>0</v>
      </c>
      <c r="R368" s="151">
        <v>0</v>
      </c>
      <c r="S368" s="151">
        <v>0</v>
      </c>
      <c r="T368" s="151">
        <v>0</v>
      </c>
      <c r="U368" s="151">
        <v>0</v>
      </c>
      <c r="V368" s="151">
        <v>0</v>
      </c>
      <c r="W368" s="151">
        <v>0</v>
      </c>
      <c r="X368" s="151">
        <v>0</v>
      </c>
      <c r="Y368" s="151">
        <f>0</f>
        <v>0</v>
      </c>
      <c r="Z368" s="200">
        <f>0</f>
        <v>0</v>
      </c>
      <c r="AA368" s="174">
        <f t="shared" si="16"/>
        <v>4</v>
      </c>
      <c r="AB368" s="175">
        <v>4</v>
      </c>
      <c r="AC368" s="172">
        <f t="shared" si="17"/>
        <v>0</v>
      </c>
      <c r="AD368" s="176"/>
      <c r="AE368" s="177" t="s">
        <v>282</v>
      </c>
      <c r="AF368" s="84" t="s">
        <v>292</v>
      </c>
      <c r="AG368" s="178"/>
      <c r="AH368" s="177"/>
      <c r="AI368" s="85"/>
      <c r="AJ368" s="86" t="s">
        <v>1290</v>
      </c>
      <c r="AK368" s="179" t="e">
        <f t="shared" si="15"/>
        <v>#VALUE!</v>
      </c>
      <c r="AL368" s="85" t="s">
        <v>1289</v>
      </c>
      <c r="AM368" s="77"/>
      <c r="AN368" s="87"/>
      <c r="AO368" s="180"/>
    </row>
    <row r="369" spans="1:41" s="288" customFormat="1" ht="30.75" customHeight="1">
      <c r="A369" s="225">
        <v>377</v>
      </c>
      <c r="B369" s="234">
        <v>44946</v>
      </c>
      <c r="C369" s="235" t="s">
        <v>454</v>
      </c>
      <c r="D369" s="217"/>
      <c r="E369" s="217"/>
      <c r="F369" s="167" t="s">
        <v>961</v>
      </c>
      <c r="G369" s="84" t="s">
        <v>1054</v>
      </c>
      <c r="H369" s="84" t="s">
        <v>1146</v>
      </c>
      <c r="I369" s="223" t="s">
        <v>1172</v>
      </c>
      <c r="J369" s="84"/>
      <c r="K369" s="84"/>
      <c r="L369" s="84"/>
      <c r="M369" s="84"/>
      <c r="N369" s="216"/>
      <c r="O369" s="323">
        <v>3</v>
      </c>
      <c r="P369" s="151">
        <v>0</v>
      </c>
      <c r="Q369" s="151">
        <v>0</v>
      </c>
      <c r="R369" s="151">
        <v>0</v>
      </c>
      <c r="S369" s="151">
        <v>0</v>
      </c>
      <c r="T369" s="151">
        <v>0</v>
      </c>
      <c r="U369" s="151">
        <v>0</v>
      </c>
      <c r="V369" s="151">
        <v>0</v>
      </c>
      <c r="W369" s="151">
        <v>0</v>
      </c>
      <c r="X369" s="151">
        <v>0</v>
      </c>
      <c r="Y369" s="151">
        <f>0</f>
        <v>0</v>
      </c>
      <c r="Z369" s="200">
        <f>0</f>
        <v>0</v>
      </c>
      <c r="AA369" s="174">
        <f t="shared" si="16"/>
        <v>3</v>
      </c>
      <c r="AB369" s="175">
        <v>2</v>
      </c>
      <c r="AC369" s="172">
        <f t="shared" si="17"/>
        <v>1</v>
      </c>
      <c r="AD369" s="176">
        <v>44971</v>
      </c>
      <c r="AE369" s="177" t="s">
        <v>282</v>
      </c>
      <c r="AF369" s="475" t="s">
        <v>1419</v>
      </c>
      <c r="AG369" s="178"/>
      <c r="AH369" s="177"/>
      <c r="AI369" s="85"/>
      <c r="AJ369" s="86" t="s">
        <v>1449</v>
      </c>
      <c r="AK369" s="179" t="e">
        <f t="shared" si="15"/>
        <v>#VALUE!</v>
      </c>
      <c r="AL369" s="85" t="s">
        <v>1450</v>
      </c>
      <c r="AM369" s="77"/>
      <c r="AN369" s="87"/>
      <c r="AO369" s="180"/>
    </row>
    <row r="370" spans="1:41" s="288" customFormat="1" ht="54" customHeight="1">
      <c r="A370" s="233">
        <v>378</v>
      </c>
      <c r="B370" s="234">
        <v>44946</v>
      </c>
      <c r="C370" s="235" t="s">
        <v>454</v>
      </c>
      <c r="D370" s="217"/>
      <c r="E370" s="217"/>
      <c r="F370" s="167" t="s">
        <v>962</v>
      </c>
      <c r="G370" s="84" t="s">
        <v>1055</v>
      </c>
      <c r="H370" s="84" t="s">
        <v>1147</v>
      </c>
      <c r="I370" s="223" t="s">
        <v>1172</v>
      </c>
      <c r="J370" s="84"/>
      <c r="K370" s="84"/>
      <c r="L370" s="84"/>
      <c r="M370" s="84"/>
      <c r="N370" s="216"/>
      <c r="O370" s="323">
        <v>10</v>
      </c>
      <c r="P370" s="151">
        <v>0</v>
      </c>
      <c r="Q370" s="151">
        <v>0</v>
      </c>
      <c r="R370" s="151">
        <v>0</v>
      </c>
      <c r="S370" s="151">
        <v>0</v>
      </c>
      <c r="T370" s="151">
        <v>0</v>
      </c>
      <c r="U370" s="151">
        <v>0</v>
      </c>
      <c r="V370" s="151">
        <v>0</v>
      </c>
      <c r="W370" s="151">
        <v>0</v>
      </c>
      <c r="X370" s="151">
        <v>0</v>
      </c>
      <c r="Y370" s="151">
        <f>0</f>
        <v>0</v>
      </c>
      <c r="Z370" s="200">
        <f>0</f>
        <v>0</v>
      </c>
      <c r="AA370" s="174">
        <f t="shared" si="16"/>
        <v>10</v>
      </c>
      <c r="AB370" s="175">
        <v>5</v>
      </c>
      <c r="AC370" s="172">
        <f t="shared" si="17"/>
        <v>5</v>
      </c>
      <c r="AD370" s="176">
        <v>44971</v>
      </c>
      <c r="AE370" s="177" t="s">
        <v>282</v>
      </c>
      <c r="AF370" s="550" t="s">
        <v>1419</v>
      </c>
      <c r="AG370" s="178"/>
      <c r="AH370" s="177"/>
      <c r="AI370" s="85"/>
      <c r="AJ370" s="86" t="s">
        <v>1451</v>
      </c>
      <c r="AK370" s="179" t="e">
        <f t="shared" si="15"/>
        <v>#VALUE!</v>
      </c>
      <c r="AL370" s="85" t="s">
        <v>1450</v>
      </c>
      <c r="AM370" s="77"/>
      <c r="AN370" s="87"/>
      <c r="AO370" s="180"/>
    </row>
    <row r="371" spans="1:41" s="288" customFormat="1" ht="40.5" customHeight="1">
      <c r="A371" s="225">
        <v>379</v>
      </c>
      <c r="B371" s="234">
        <v>44946</v>
      </c>
      <c r="C371" s="235" t="s">
        <v>454</v>
      </c>
      <c r="D371" s="217"/>
      <c r="E371" s="217"/>
      <c r="F371" s="167" t="s">
        <v>963</v>
      </c>
      <c r="G371" s="84" t="s">
        <v>1056</v>
      </c>
      <c r="H371" s="84" t="s">
        <v>1148</v>
      </c>
      <c r="I371" s="223" t="s">
        <v>1172</v>
      </c>
      <c r="J371" s="84"/>
      <c r="K371" s="84"/>
      <c r="L371" s="84"/>
      <c r="M371" s="84"/>
      <c r="N371" s="216"/>
      <c r="O371" s="323">
        <v>73</v>
      </c>
      <c r="P371" s="151">
        <v>0</v>
      </c>
      <c r="Q371" s="151">
        <v>0</v>
      </c>
      <c r="R371" s="151">
        <v>0</v>
      </c>
      <c r="S371" s="151">
        <v>0</v>
      </c>
      <c r="T371" s="151">
        <v>0</v>
      </c>
      <c r="U371" s="151">
        <v>0</v>
      </c>
      <c r="V371" s="151">
        <v>0</v>
      </c>
      <c r="W371" s="151">
        <v>0</v>
      </c>
      <c r="X371" s="151">
        <v>0</v>
      </c>
      <c r="Y371" s="151">
        <f>0</f>
        <v>0</v>
      </c>
      <c r="Z371" s="200">
        <f>0</f>
        <v>0</v>
      </c>
      <c r="AA371" s="174">
        <f t="shared" si="16"/>
        <v>73</v>
      </c>
      <c r="AB371" s="175"/>
      <c r="AC371" s="172">
        <f t="shared" si="17"/>
        <v>73</v>
      </c>
      <c r="AD371" s="176">
        <v>44971</v>
      </c>
      <c r="AE371" s="177" t="s">
        <v>282</v>
      </c>
      <c r="AF371" s="550" t="s">
        <v>1419</v>
      </c>
      <c r="AG371" s="178"/>
      <c r="AH371" s="177"/>
      <c r="AI371" s="85"/>
      <c r="AJ371" s="86" t="s">
        <v>1457</v>
      </c>
      <c r="AK371" s="179" t="e">
        <f t="shared" si="15"/>
        <v>#VALUE!</v>
      </c>
      <c r="AL371" s="85" t="s">
        <v>1452</v>
      </c>
      <c r="AM371" s="77"/>
      <c r="AN371" s="87"/>
      <c r="AO371" s="180"/>
    </row>
    <row r="372" spans="1:41" s="288" customFormat="1" ht="30.75" customHeight="1">
      <c r="A372" s="233">
        <v>380</v>
      </c>
      <c r="B372" s="234">
        <v>44946</v>
      </c>
      <c r="C372" s="235" t="s">
        <v>454</v>
      </c>
      <c r="D372" s="217"/>
      <c r="E372" s="217"/>
      <c r="F372" s="167" t="s">
        <v>964</v>
      </c>
      <c r="G372" s="84" t="s">
        <v>1057</v>
      </c>
      <c r="H372" s="84" t="s">
        <v>1149</v>
      </c>
      <c r="I372" s="223" t="s">
        <v>1172</v>
      </c>
      <c r="J372" s="84"/>
      <c r="K372" s="84"/>
      <c r="L372" s="84"/>
      <c r="M372" s="84"/>
      <c r="N372" s="216"/>
      <c r="O372" s="323">
        <v>1</v>
      </c>
      <c r="P372" s="151">
        <v>0</v>
      </c>
      <c r="Q372" s="151">
        <v>0</v>
      </c>
      <c r="R372" s="151">
        <v>0</v>
      </c>
      <c r="S372" s="151">
        <v>0</v>
      </c>
      <c r="T372" s="151">
        <v>0</v>
      </c>
      <c r="U372" s="151">
        <v>0</v>
      </c>
      <c r="V372" s="151">
        <v>0</v>
      </c>
      <c r="W372" s="151">
        <v>0</v>
      </c>
      <c r="X372" s="151">
        <v>0</v>
      </c>
      <c r="Y372" s="151">
        <f>0</f>
        <v>0</v>
      </c>
      <c r="Z372" s="200">
        <f>0</f>
        <v>0</v>
      </c>
      <c r="AA372" s="142">
        <f t="shared" si="16"/>
        <v>1</v>
      </c>
      <c r="AB372" s="123">
        <v>1</v>
      </c>
      <c r="AC372" s="154">
        <f t="shared" si="17"/>
        <v>0</v>
      </c>
      <c r="AD372" s="176"/>
      <c r="AE372" s="177" t="s">
        <v>282</v>
      </c>
      <c r="AF372" s="130" t="s">
        <v>587</v>
      </c>
      <c r="AG372" s="178"/>
      <c r="AH372" s="177"/>
      <c r="AI372" s="85"/>
      <c r="AJ372" s="86" t="s">
        <v>284</v>
      </c>
      <c r="AK372" s="179" t="e">
        <f t="shared" si="15"/>
        <v>#VALUE!</v>
      </c>
      <c r="AL372" s="85" t="s">
        <v>1291</v>
      </c>
      <c r="AM372" s="77"/>
      <c r="AN372" s="87"/>
      <c r="AO372" s="180"/>
    </row>
    <row r="373" spans="1:41" s="288" customFormat="1" ht="30.75" customHeight="1">
      <c r="A373" s="225">
        <v>381</v>
      </c>
      <c r="B373" s="234">
        <v>44946</v>
      </c>
      <c r="C373" s="235" t="s">
        <v>454</v>
      </c>
      <c r="D373" s="217"/>
      <c r="E373" s="217"/>
      <c r="F373" s="167" t="s">
        <v>965</v>
      </c>
      <c r="G373" s="84" t="s">
        <v>1058</v>
      </c>
      <c r="H373" s="84" t="s">
        <v>1058</v>
      </c>
      <c r="I373" s="223" t="s">
        <v>1172</v>
      </c>
      <c r="J373" s="84"/>
      <c r="K373" s="84"/>
      <c r="L373" s="84"/>
      <c r="M373" s="84"/>
      <c r="N373" s="216"/>
      <c r="O373" s="323">
        <v>13</v>
      </c>
      <c r="P373" s="151">
        <v>0</v>
      </c>
      <c r="Q373" s="151">
        <v>0</v>
      </c>
      <c r="R373" s="151">
        <v>0</v>
      </c>
      <c r="S373" s="151">
        <v>0</v>
      </c>
      <c r="T373" s="151">
        <v>0</v>
      </c>
      <c r="U373" s="151">
        <v>0</v>
      </c>
      <c r="V373" s="151">
        <v>0</v>
      </c>
      <c r="W373" s="151">
        <v>0</v>
      </c>
      <c r="X373" s="151">
        <v>0</v>
      </c>
      <c r="Y373" s="151">
        <f>0</f>
        <v>0</v>
      </c>
      <c r="Z373" s="200">
        <f>0</f>
        <v>0</v>
      </c>
      <c r="AA373" s="142">
        <f t="shared" si="16"/>
        <v>13</v>
      </c>
      <c r="AB373" s="123">
        <v>13</v>
      </c>
      <c r="AC373" s="154">
        <f t="shared" si="17"/>
        <v>0</v>
      </c>
      <c r="AD373" s="176"/>
      <c r="AE373" s="177" t="s">
        <v>529</v>
      </c>
      <c r="AF373" s="84" t="s">
        <v>44</v>
      </c>
      <c r="AG373" s="178"/>
      <c r="AH373" s="177"/>
      <c r="AI373" s="85"/>
      <c r="AJ373" s="86" t="s">
        <v>499</v>
      </c>
      <c r="AK373" s="179" t="e">
        <f t="shared" si="15"/>
        <v>#VALUE!</v>
      </c>
      <c r="AL373" s="85" t="s">
        <v>951</v>
      </c>
      <c r="AM373" s="77"/>
      <c r="AN373" s="87"/>
      <c r="AO373" s="180"/>
    </row>
    <row r="374" spans="1:41" s="288" customFormat="1" ht="30.75" customHeight="1">
      <c r="A374" s="233">
        <v>382</v>
      </c>
      <c r="B374" s="234">
        <v>44946</v>
      </c>
      <c r="C374" s="235" t="s">
        <v>454</v>
      </c>
      <c r="D374" s="217"/>
      <c r="E374" s="217"/>
      <c r="F374" s="167" t="s">
        <v>966</v>
      </c>
      <c r="G374" s="84" t="s">
        <v>1059</v>
      </c>
      <c r="H374" s="84" t="s">
        <v>1150</v>
      </c>
      <c r="I374" s="223" t="s">
        <v>1172</v>
      </c>
      <c r="J374" s="84"/>
      <c r="K374" s="84"/>
      <c r="L374" s="84"/>
      <c r="M374" s="84"/>
      <c r="N374" s="216"/>
      <c r="O374" s="323">
        <v>2</v>
      </c>
      <c r="P374" s="151">
        <v>0</v>
      </c>
      <c r="Q374" s="151">
        <v>0</v>
      </c>
      <c r="R374" s="151">
        <v>0</v>
      </c>
      <c r="S374" s="151">
        <v>0</v>
      </c>
      <c r="T374" s="151">
        <v>0</v>
      </c>
      <c r="U374" s="151">
        <v>0</v>
      </c>
      <c r="V374" s="151">
        <v>0</v>
      </c>
      <c r="W374" s="151">
        <v>0</v>
      </c>
      <c r="X374" s="151">
        <v>0</v>
      </c>
      <c r="Y374" s="151">
        <f>0</f>
        <v>0</v>
      </c>
      <c r="Z374" s="200">
        <f>0</f>
        <v>0</v>
      </c>
      <c r="AA374" s="142">
        <f t="shared" si="16"/>
        <v>2</v>
      </c>
      <c r="AB374" s="123">
        <v>4</v>
      </c>
      <c r="AC374" s="154">
        <f t="shared" si="17"/>
        <v>-2</v>
      </c>
      <c r="AD374" s="176"/>
      <c r="AE374" s="177" t="s">
        <v>529</v>
      </c>
      <c r="AF374" s="84" t="s">
        <v>44</v>
      </c>
      <c r="AG374" s="178"/>
      <c r="AH374" s="177"/>
      <c r="AI374" s="85"/>
      <c r="AJ374" s="86" t="s">
        <v>499</v>
      </c>
      <c r="AK374" s="179" t="e">
        <f t="shared" si="15"/>
        <v>#VALUE!</v>
      </c>
      <c r="AL374" s="85" t="s">
        <v>951</v>
      </c>
      <c r="AM374" s="77"/>
      <c r="AN374" s="87"/>
      <c r="AO374" s="180"/>
    </row>
    <row r="375" spans="1:41" s="288" customFormat="1" ht="30.75" customHeight="1">
      <c r="A375" s="225">
        <v>383</v>
      </c>
      <c r="B375" s="234">
        <v>44946</v>
      </c>
      <c r="C375" s="235" t="s">
        <v>454</v>
      </c>
      <c r="D375" s="217"/>
      <c r="E375" s="217"/>
      <c r="F375" s="167" t="s">
        <v>967</v>
      </c>
      <c r="G375" s="84" t="s">
        <v>1060</v>
      </c>
      <c r="H375" s="84" t="s">
        <v>1151</v>
      </c>
      <c r="I375" s="223" t="s">
        <v>1172</v>
      </c>
      <c r="J375" s="84"/>
      <c r="K375" s="84"/>
      <c r="L375" s="84"/>
      <c r="M375" s="84"/>
      <c r="N375" s="216"/>
      <c r="O375" s="323">
        <v>4</v>
      </c>
      <c r="P375" s="151">
        <v>0</v>
      </c>
      <c r="Q375" s="151">
        <v>0</v>
      </c>
      <c r="R375" s="151">
        <v>0</v>
      </c>
      <c r="S375" s="151">
        <v>0</v>
      </c>
      <c r="T375" s="151">
        <v>0</v>
      </c>
      <c r="U375" s="151">
        <v>0</v>
      </c>
      <c r="V375" s="151">
        <v>0</v>
      </c>
      <c r="W375" s="151">
        <v>0</v>
      </c>
      <c r="X375" s="151">
        <v>0</v>
      </c>
      <c r="Y375" s="151">
        <f>0</f>
        <v>0</v>
      </c>
      <c r="Z375" s="200">
        <f>0</f>
        <v>0</v>
      </c>
      <c r="AA375" s="142">
        <f t="shared" si="16"/>
        <v>4</v>
      </c>
      <c r="AB375" s="123">
        <v>4</v>
      </c>
      <c r="AC375" s="154">
        <f t="shared" si="17"/>
        <v>0</v>
      </c>
      <c r="AD375" s="176"/>
      <c r="AE375" s="177" t="s">
        <v>529</v>
      </c>
      <c r="AF375" s="84" t="s">
        <v>44</v>
      </c>
      <c r="AG375" s="178"/>
      <c r="AH375" s="177"/>
      <c r="AI375" s="85"/>
      <c r="AJ375" s="86" t="s">
        <v>499</v>
      </c>
      <c r="AK375" s="179" t="e">
        <f t="shared" si="15"/>
        <v>#VALUE!</v>
      </c>
      <c r="AL375" s="85" t="s">
        <v>951</v>
      </c>
      <c r="AM375" s="77"/>
      <c r="AN375" s="87"/>
      <c r="AO375" s="180"/>
    </row>
    <row r="376" spans="1:41" s="288" customFormat="1" ht="30.75" customHeight="1">
      <c r="A376" s="233">
        <v>384</v>
      </c>
      <c r="B376" s="234">
        <v>44946</v>
      </c>
      <c r="C376" s="235" t="s">
        <v>454</v>
      </c>
      <c r="D376" s="217"/>
      <c r="E376" s="217"/>
      <c r="F376" s="167" t="s">
        <v>968</v>
      </c>
      <c r="G376" s="84" t="s">
        <v>1061</v>
      </c>
      <c r="H376" s="84" t="s">
        <v>1152</v>
      </c>
      <c r="I376" s="223" t="s">
        <v>1172</v>
      </c>
      <c r="J376" s="84"/>
      <c r="K376" s="84"/>
      <c r="L376" s="84"/>
      <c r="M376" s="84"/>
      <c r="N376" s="216"/>
      <c r="O376" s="323">
        <v>1</v>
      </c>
      <c r="P376" s="151">
        <v>0</v>
      </c>
      <c r="Q376" s="151">
        <v>0</v>
      </c>
      <c r="R376" s="151">
        <v>0</v>
      </c>
      <c r="S376" s="151">
        <v>0</v>
      </c>
      <c r="T376" s="151">
        <v>0</v>
      </c>
      <c r="U376" s="151">
        <v>0</v>
      </c>
      <c r="V376" s="151">
        <v>0</v>
      </c>
      <c r="W376" s="151">
        <v>0</v>
      </c>
      <c r="X376" s="151">
        <v>0</v>
      </c>
      <c r="Y376" s="151">
        <f>0</f>
        <v>0</v>
      </c>
      <c r="Z376" s="200">
        <f>0</f>
        <v>0</v>
      </c>
      <c r="AA376" s="142">
        <f t="shared" si="16"/>
        <v>1</v>
      </c>
      <c r="AB376" s="123">
        <v>1</v>
      </c>
      <c r="AC376" s="154">
        <f t="shared" si="17"/>
        <v>0</v>
      </c>
      <c r="AD376" s="176"/>
      <c r="AE376" s="177" t="s">
        <v>282</v>
      </c>
      <c r="AF376" s="84" t="s">
        <v>292</v>
      </c>
      <c r="AG376" s="178"/>
      <c r="AH376" s="177"/>
      <c r="AI376" s="85"/>
      <c r="AJ376" s="86" t="s">
        <v>284</v>
      </c>
      <c r="AK376" s="179" t="e">
        <f t="shared" si="15"/>
        <v>#VALUE!</v>
      </c>
      <c r="AL376" s="85" t="s">
        <v>1288</v>
      </c>
      <c r="AM376" s="77"/>
      <c r="AN376" s="87"/>
      <c r="AO376" s="180"/>
    </row>
    <row r="377" spans="1:41" s="288" customFormat="1" ht="30.75" customHeight="1">
      <c r="A377" s="225">
        <v>385</v>
      </c>
      <c r="B377" s="234">
        <v>44946</v>
      </c>
      <c r="C377" s="235" t="s">
        <v>454</v>
      </c>
      <c r="D377" s="217"/>
      <c r="E377" s="377"/>
      <c r="F377" s="167" t="s">
        <v>969</v>
      </c>
      <c r="G377" s="84" t="s">
        <v>1062</v>
      </c>
      <c r="H377" s="84" t="s">
        <v>1062</v>
      </c>
      <c r="I377" s="223" t="s">
        <v>1173</v>
      </c>
      <c r="J377" s="84"/>
      <c r="K377" s="84"/>
      <c r="L377" s="84"/>
      <c r="M377" s="84"/>
      <c r="N377" s="216"/>
      <c r="O377" s="323">
        <v>1</v>
      </c>
      <c r="P377" s="151">
        <v>0</v>
      </c>
      <c r="Q377" s="151">
        <v>0</v>
      </c>
      <c r="R377" s="151">
        <v>0</v>
      </c>
      <c r="S377" s="151">
        <v>0</v>
      </c>
      <c r="T377" s="151">
        <v>0</v>
      </c>
      <c r="U377" s="151">
        <v>0</v>
      </c>
      <c r="V377" s="151">
        <v>0</v>
      </c>
      <c r="W377" s="151">
        <v>0</v>
      </c>
      <c r="X377" s="151">
        <v>0</v>
      </c>
      <c r="Y377" s="151">
        <f>0</f>
        <v>0</v>
      </c>
      <c r="Z377" s="200">
        <f>0</f>
        <v>0</v>
      </c>
      <c r="AA377" s="174">
        <f t="shared" si="16"/>
        <v>1</v>
      </c>
      <c r="AB377" s="175"/>
      <c r="AC377" s="172">
        <f t="shared" si="17"/>
        <v>1</v>
      </c>
      <c r="AD377" s="176"/>
      <c r="AE377" s="177"/>
      <c r="AF377" s="84" t="s">
        <v>1429</v>
      </c>
      <c r="AG377" s="178"/>
      <c r="AH377" s="177"/>
      <c r="AI377" s="85"/>
      <c r="AJ377" s="86"/>
      <c r="AK377" s="179">
        <f t="shared" si="15"/>
        <v>1</v>
      </c>
      <c r="AL377" s="85"/>
      <c r="AM377" s="77"/>
      <c r="AN377" s="87"/>
      <c r="AO377" s="180"/>
    </row>
    <row r="378" spans="1:41" s="288" customFormat="1" ht="30.75" customHeight="1">
      <c r="A378" s="233">
        <v>386</v>
      </c>
      <c r="B378" s="234">
        <v>44946</v>
      </c>
      <c r="C378" s="235" t="s">
        <v>454</v>
      </c>
      <c r="D378" s="217"/>
      <c r="E378" s="217"/>
      <c r="F378" s="167" t="s">
        <v>970</v>
      </c>
      <c r="G378" s="84" t="s">
        <v>1063</v>
      </c>
      <c r="H378" s="84" t="s">
        <v>1153</v>
      </c>
      <c r="I378" s="223" t="s">
        <v>1174</v>
      </c>
      <c r="J378" s="84"/>
      <c r="K378" s="84"/>
      <c r="L378" s="84"/>
      <c r="M378" s="84"/>
      <c r="N378" s="216"/>
      <c r="O378" s="323">
        <v>2</v>
      </c>
      <c r="P378" s="151">
        <v>0</v>
      </c>
      <c r="Q378" s="151">
        <v>0</v>
      </c>
      <c r="R378" s="151">
        <v>0</v>
      </c>
      <c r="S378" s="151">
        <v>0</v>
      </c>
      <c r="T378" s="151">
        <v>0</v>
      </c>
      <c r="U378" s="151">
        <v>0</v>
      </c>
      <c r="V378" s="151">
        <v>0</v>
      </c>
      <c r="W378" s="151">
        <v>0</v>
      </c>
      <c r="X378" s="151">
        <v>0</v>
      </c>
      <c r="Y378" s="151">
        <f>0</f>
        <v>0</v>
      </c>
      <c r="Z378" s="200">
        <f>0</f>
        <v>0</v>
      </c>
      <c r="AA378" s="174">
        <f t="shared" si="16"/>
        <v>2</v>
      </c>
      <c r="AB378" s="175"/>
      <c r="AC378" s="172">
        <f t="shared" si="17"/>
        <v>2</v>
      </c>
      <c r="AD378" s="176">
        <v>44966</v>
      </c>
      <c r="AE378" s="177" t="s">
        <v>282</v>
      </c>
      <c r="AF378" s="84" t="s">
        <v>1399</v>
      </c>
      <c r="AG378" s="178"/>
      <c r="AH378" s="177"/>
      <c r="AI378" s="85"/>
      <c r="AJ378" s="86">
        <v>2</v>
      </c>
      <c r="AK378" s="179">
        <f t="shared" si="15"/>
        <v>0</v>
      </c>
      <c r="AL378" s="85" t="s">
        <v>1396</v>
      </c>
      <c r="AM378" s="77"/>
      <c r="AN378" s="87"/>
      <c r="AO378" s="180"/>
    </row>
    <row r="379" spans="1:41" s="288" customFormat="1" ht="30.75" customHeight="1">
      <c r="A379" s="225">
        <v>387</v>
      </c>
      <c r="B379" s="234">
        <v>44946</v>
      </c>
      <c r="C379" s="235" t="s">
        <v>454</v>
      </c>
      <c r="D379" s="217"/>
      <c r="E379" s="217"/>
      <c r="F379" s="167" t="s">
        <v>971</v>
      </c>
      <c r="G379" s="84" t="s">
        <v>1064</v>
      </c>
      <c r="H379" s="84" t="s">
        <v>1064</v>
      </c>
      <c r="I379" s="223" t="s">
        <v>1174</v>
      </c>
      <c r="J379" s="84"/>
      <c r="K379" s="84"/>
      <c r="L379" s="84"/>
      <c r="M379" s="84"/>
      <c r="N379" s="216"/>
      <c r="O379" s="323">
        <v>2</v>
      </c>
      <c r="P379" s="151">
        <v>0</v>
      </c>
      <c r="Q379" s="151">
        <v>0</v>
      </c>
      <c r="R379" s="151">
        <v>0</v>
      </c>
      <c r="S379" s="151">
        <v>0</v>
      </c>
      <c r="T379" s="151">
        <v>0</v>
      </c>
      <c r="U379" s="151">
        <v>0</v>
      </c>
      <c r="V379" s="151">
        <v>0</v>
      </c>
      <c r="W379" s="151">
        <v>0</v>
      </c>
      <c r="X379" s="151">
        <v>0</v>
      </c>
      <c r="Y379" s="151">
        <f>0</f>
        <v>0</v>
      </c>
      <c r="Z379" s="200">
        <f>0</f>
        <v>0</v>
      </c>
      <c r="AA379" s="174">
        <f t="shared" si="16"/>
        <v>2</v>
      </c>
      <c r="AB379" s="175"/>
      <c r="AC379" s="172">
        <f t="shared" si="17"/>
        <v>2</v>
      </c>
      <c r="AD379" s="176"/>
      <c r="AE379" s="177" t="s">
        <v>282</v>
      </c>
      <c r="AF379" s="84" t="s">
        <v>1395</v>
      </c>
      <c r="AG379" s="178"/>
      <c r="AH379" s="177"/>
      <c r="AI379" s="85"/>
      <c r="AJ379" s="86">
        <v>2</v>
      </c>
      <c r="AK379" s="179">
        <f t="shared" si="15"/>
        <v>0</v>
      </c>
      <c r="AL379" s="85" t="s">
        <v>1394</v>
      </c>
      <c r="AM379" s="77"/>
      <c r="AN379" s="87"/>
      <c r="AO379" s="180"/>
    </row>
    <row r="380" spans="1:41" s="288" customFormat="1" ht="30.75" customHeight="1">
      <c r="A380" s="233">
        <v>388</v>
      </c>
      <c r="B380" s="234">
        <v>44946</v>
      </c>
      <c r="C380" s="235" t="s">
        <v>454</v>
      </c>
      <c r="D380" s="217"/>
      <c r="E380" s="217"/>
      <c r="F380" s="167" t="s">
        <v>972</v>
      </c>
      <c r="G380" s="84" t="s">
        <v>1065</v>
      </c>
      <c r="H380" s="84" t="s">
        <v>1154</v>
      </c>
      <c r="I380" s="223" t="s">
        <v>1175</v>
      </c>
      <c r="J380" s="84"/>
      <c r="K380" s="84"/>
      <c r="L380" s="84"/>
      <c r="M380" s="84"/>
      <c r="N380" s="216"/>
      <c r="O380" s="391">
        <v>1</v>
      </c>
      <c r="P380" s="77">
        <v>0</v>
      </c>
      <c r="Q380" s="77">
        <v>0</v>
      </c>
      <c r="R380" s="77">
        <v>0</v>
      </c>
      <c r="S380" s="77">
        <v>0</v>
      </c>
      <c r="T380" s="77">
        <v>0</v>
      </c>
      <c r="U380" s="77">
        <v>0</v>
      </c>
      <c r="V380" s="77">
        <v>0</v>
      </c>
      <c r="W380" s="77">
        <v>0</v>
      </c>
      <c r="X380" s="77">
        <v>0</v>
      </c>
      <c r="Y380" s="77">
        <f>0</f>
        <v>0</v>
      </c>
      <c r="Z380" s="392">
        <f>0</f>
        <v>0</v>
      </c>
      <c r="AA380" s="174">
        <f t="shared" si="16"/>
        <v>1</v>
      </c>
      <c r="AB380" s="175"/>
      <c r="AC380" s="172">
        <f t="shared" si="17"/>
        <v>1</v>
      </c>
      <c r="AD380" s="176"/>
      <c r="AE380" s="177" t="s">
        <v>282</v>
      </c>
      <c r="AF380" s="84" t="s">
        <v>1458</v>
      </c>
      <c r="AG380" s="133"/>
      <c r="AH380" s="100"/>
      <c r="AI380" s="85" t="s">
        <v>1438</v>
      </c>
      <c r="AJ380" s="86">
        <v>1</v>
      </c>
      <c r="AK380" s="179">
        <f t="shared" si="15"/>
        <v>0</v>
      </c>
      <c r="AL380" s="85" t="s">
        <v>1473</v>
      </c>
      <c r="AM380" s="77"/>
      <c r="AN380" s="87"/>
      <c r="AO380" s="180"/>
    </row>
    <row r="381" spans="1:41" s="288" customFormat="1" ht="30.75" customHeight="1">
      <c r="A381" s="225">
        <v>389</v>
      </c>
      <c r="B381" s="234">
        <v>44946</v>
      </c>
      <c r="C381" s="235" t="s">
        <v>454</v>
      </c>
      <c r="D381" s="217"/>
      <c r="E381" s="217"/>
      <c r="F381" s="167" t="s">
        <v>973</v>
      </c>
      <c r="G381" s="84" t="s">
        <v>1066</v>
      </c>
      <c r="H381" s="84" t="s">
        <v>1155</v>
      </c>
      <c r="I381" s="223" t="s">
        <v>1175</v>
      </c>
      <c r="J381" s="84"/>
      <c r="K381" s="84"/>
      <c r="L381" s="84"/>
      <c r="M381" s="84"/>
      <c r="N381" s="216"/>
      <c r="O381" s="391">
        <v>25</v>
      </c>
      <c r="P381" s="77">
        <v>0</v>
      </c>
      <c r="Q381" s="77">
        <v>0</v>
      </c>
      <c r="R381" s="77">
        <v>0</v>
      </c>
      <c r="S381" s="77">
        <v>0</v>
      </c>
      <c r="T381" s="77">
        <v>0</v>
      </c>
      <c r="U381" s="77">
        <v>0</v>
      </c>
      <c r="V381" s="77">
        <v>0</v>
      </c>
      <c r="W381" s="77">
        <v>0</v>
      </c>
      <c r="X381" s="77">
        <v>0</v>
      </c>
      <c r="Y381" s="77">
        <f>0</f>
        <v>0</v>
      </c>
      <c r="Z381" s="392">
        <f>0</f>
        <v>0</v>
      </c>
      <c r="AA381" s="174">
        <f t="shared" si="16"/>
        <v>25</v>
      </c>
      <c r="AB381" s="175">
        <v>25</v>
      </c>
      <c r="AC381" s="172">
        <f t="shared" si="17"/>
        <v>0</v>
      </c>
      <c r="AD381" s="176"/>
      <c r="AE381" s="177" t="s">
        <v>529</v>
      </c>
      <c r="AF381" s="84" t="s">
        <v>44</v>
      </c>
      <c r="AG381" s="133"/>
      <c r="AH381" s="100"/>
      <c r="AI381" s="88" t="s">
        <v>1438</v>
      </c>
      <c r="AJ381" s="86"/>
      <c r="AK381" s="179">
        <f t="shared" ref="AK381:AK444" si="18">AC381-AJ381</f>
        <v>0</v>
      </c>
      <c r="AL381" s="85" t="s">
        <v>1439</v>
      </c>
      <c r="AM381" s="77"/>
      <c r="AN381" s="87"/>
      <c r="AO381" s="180"/>
    </row>
    <row r="382" spans="1:41" s="288" customFormat="1" ht="30.75" customHeight="1">
      <c r="A382" s="233">
        <v>390</v>
      </c>
      <c r="B382" s="234">
        <v>44946</v>
      </c>
      <c r="C382" s="235" t="s">
        <v>454</v>
      </c>
      <c r="D382" s="217"/>
      <c r="E382" s="217"/>
      <c r="F382" s="167" t="s">
        <v>974</v>
      </c>
      <c r="G382" s="84" t="s">
        <v>1067</v>
      </c>
      <c r="H382" s="84" t="s">
        <v>1156</v>
      </c>
      <c r="I382" s="223" t="s">
        <v>1175</v>
      </c>
      <c r="J382" s="84"/>
      <c r="K382" s="84"/>
      <c r="L382" s="84"/>
      <c r="M382" s="84"/>
      <c r="N382" s="216"/>
      <c r="O382" s="391">
        <v>1</v>
      </c>
      <c r="P382" s="77">
        <v>0</v>
      </c>
      <c r="Q382" s="77">
        <v>0</v>
      </c>
      <c r="R382" s="77">
        <v>0</v>
      </c>
      <c r="S382" s="77">
        <v>0</v>
      </c>
      <c r="T382" s="77">
        <v>0</v>
      </c>
      <c r="U382" s="77">
        <v>0</v>
      </c>
      <c r="V382" s="77">
        <v>0</v>
      </c>
      <c r="W382" s="77">
        <v>0</v>
      </c>
      <c r="X382" s="77">
        <v>0</v>
      </c>
      <c r="Y382" s="77">
        <f>0</f>
        <v>0</v>
      </c>
      <c r="Z382" s="392">
        <f>0</f>
        <v>0</v>
      </c>
      <c r="AA382" s="174">
        <f t="shared" si="16"/>
        <v>1</v>
      </c>
      <c r="AB382" s="175"/>
      <c r="AC382" s="172">
        <f t="shared" si="17"/>
        <v>1</v>
      </c>
      <c r="AD382" s="176">
        <v>44977</v>
      </c>
      <c r="AE382" s="177" t="s">
        <v>282</v>
      </c>
      <c r="AF382" s="84" t="s">
        <v>1453</v>
      </c>
      <c r="AG382" s="178"/>
      <c r="AH382" s="177"/>
      <c r="AI382" s="88" t="s">
        <v>1438</v>
      </c>
      <c r="AJ382" s="86">
        <v>1</v>
      </c>
      <c r="AK382" s="179">
        <f t="shared" si="18"/>
        <v>0</v>
      </c>
      <c r="AL382" s="85" t="s">
        <v>1459</v>
      </c>
      <c r="AM382" s="77"/>
      <c r="AN382" s="87"/>
      <c r="AO382" s="180"/>
    </row>
    <row r="383" spans="1:41" s="288" customFormat="1" ht="30.75" customHeight="1">
      <c r="A383" s="225">
        <v>391</v>
      </c>
      <c r="B383" s="234">
        <v>44946</v>
      </c>
      <c r="C383" s="235" t="s">
        <v>454</v>
      </c>
      <c r="D383" s="217"/>
      <c r="E383" s="217"/>
      <c r="F383" s="167" t="s">
        <v>975</v>
      </c>
      <c r="G383" s="84" t="s">
        <v>1068</v>
      </c>
      <c r="H383" s="84" t="s">
        <v>1157</v>
      </c>
      <c r="I383" s="223" t="s">
        <v>1175</v>
      </c>
      <c r="J383" s="84"/>
      <c r="K383" s="84"/>
      <c r="L383" s="84"/>
      <c r="M383" s="84"/>
      <c r="N383" s="216"/>
      <c r="O383" s="323">
        <v>2</v>
      </c>
      <c r="P383" s="151">
        <v>0</v>
      </c>
      <c r="Q383" s="151">
        <v>0</v>
      </c>
      <c r="R383" s="151">
        <v>0</v>
      </c>
      <c r="S383" s="151">
        <v>0</v>
      </c>
      <c r="T383" s="151">
        <v>0</v>
      </c>
      <c r="U383" s="151">
        <v>0</v>
      </c>
      <c r="V383" s="151">
        <v>0</v>
      </c>
      <c r="W383" s="151">
        <v>0</v>
      </c>
      <c r="X383" s="151">
        <v>0</v>
      </c>
      <c r="Y383" s="151">
        <f>0</f>
        <v>0</v>
      </c>
      <c r="Z383" s="200">
        <f>0</f>
        <v>0</v>
      </c>
      <c r="AA383" s="142">
        <f t="shared" si="16"/>
        <v>2</v>
      </c>
      <c r="AB383" s="123">
        <v>2</v>
      </c>
      <c r="AC383" s="154">
        <f t="shared" si="17"/>
        <v>0</v>
      </c>
      <c r="AD383" s="176"/>
      <c r="AE383" s="177" t="s">
        <v>529</v>
      </c>
      <c r="AF383" s="84" t="s">
        <v>44</v>
      </c>
      <c r="AG383" s="178"/>
      <c r="AH383" s="177"/>
      <c r="AI383" s="88"/>
      <c r="AJ383" s="86" t="s">
        <v>295</v>
      </c>
      <c r="AK383" s="179" t="e">
        <f t="shared" si="18"/>
        <v>#VALUE!</v>
      </c>
      <c r="AL383" s="85" t="s">
        <v>1231</v>
      </c>
      <c r="AM383" s="77"/>
      <c r="AN383" s="87"/>
      <c r="AO383" s="180"/>
    </row>
    <row r="384" spans="1:41" s="288" customFormat="1" ht="30.75" customHeight="1">
      <c r="A384" s="233">
        <v>392</v>
      </c>
      <c r="B384" s="234">
        <v>44946</v>
      </c>
      <c r="C384" s="235" t="s">
        <v>454</v>
      </c>
      <c r="D384" s="217"/>
      <c r="E384" s="217"/>
      <c r="F384" s="167" t="s">
        <v>976</v>
      </c>
      <c r="G384" s="84" t="s">
        <v>1069</v>
      </c>
      <c r="H384" s="84" t="s">
        <v>1158</v>
      </c>
      <c r="I384" s="223" t="s">
        <v>1175</v>
      </c>
      <c r="J384" s="84"/>
      <c r="K384" s="84"/>
      <c r="L384" s="84"/>
      <c r="M384" s="84"/>
      <c r="N384" s="216"/>
      <c r="O384" s="391">
        <v>50</v>
      </c>
      <c r="P384" s="77">
        <v>0</v>
      </c>
      <c r="Q384" s="77">
        <v>0</v>
      </c>
      <c r="R384" s="77">
        <v>0</v>
      </c>
      <c r="S384" s="77">
        <v>0</v>
      </c>
      <c r="T384" s="77">
        <v>0</v>
      </c>
      <c r="U384" s="77">
        <v>0</v>
      </c>
      <c r="V384" s="77">
        <v>0</v>
      </c>
      <c r="W384" s="77">
        <v>0</v>
      </c>
      <c r="X384" s="77">
        <v>0</v>
      </c>
      <c r="Y384" s="77">
        <f>0</f>
        <v>0</v>
      </c>
      <c r="Z384" s="392">
        <f>0</f>
        <v>0</v>
      </c>
      <c r="AA384" s="174">
        <f t="shared" si="16"/>
        <v>50</v>
      </c>
      <c r="AB384" s="175">
        <v>100</v>
      </c>
      <c r="AC384" s="172">
        <f t="shared" si="17"/>
        <v>-50</v>
      </c>
      <c r="AD384" s="176"/>
      <c r="AE384" s="177" t="s">
        <v>529</v>
      </c>
      <c r="AF384" s="84" t="s">
        <v>44</v>
      </c>
      <c r="AG384" s="133"/>
      <c r="AH384" s="100"/>
      <c r="AI384" s="85" t="s">
        <v>1438</v>
      </c>
      <c r="AJ384" s="86"/>
      <c r="AK384" s="179">
        <f t="shared" si="18"/>
        <v>-50</v>
      </c>
      <c r="AL384" s="85" t="s">
        <v>1439</v>
      </c>
      <c r="AM384" s="77"/>
      <c r="AN384" s="87"/>
      <c r="AO384" s="180"/>
    </row>
    <row r="385" spans="1:41" s="288" customFormat="1" ht="30.75" customHeight="1">
      <c r="A385" s="225">
        <v>393</v>
      </c>
      <c r="B385" s="234">
        <v>44946</v>
      </c>
      <c r="C385" s="235" t="s">
        <v>454</v>
      </c>
      <c r="D385" s="217"/>
      <c r="E385" s="217"/>
      <c r="F385" s="167" t="s">
        <v>977</v>
      </c>
      <c r="G385" s="84" t="s">
        <v>1070</v>
      </c>
      <c r="H385" s="84" t="s">
        <v>1159</v>
      </c>
      <c r="I385" s="223" t="s">
        <v>1175</v>
      </c>
      <c r="J385" s="84"/>
      <c r="K385" s="84"/>
      <c r="L385" s="84"/>
      <c r="M385" s="84"/>
      <c r="N385" s="216"/>
      <c r="O385" s="391">
        <v>2</v>
      </c>
      <c r="P385" s="77">
        <v>0</v>
      </c>
      <c r="Q385" s="77">
        <v>0</v>
      </c>
      <c r="R385" s="77">
        <v>0</v>
      </c>
      <c r="S385" s="77">
        <v>0</v>
      </c>
      <c r="T385" s="77">
        <v>0</v>
      </c>
      <c r="U385" s="77">
        <v>0</v>
      </c>
      <c r="V385" s="77">
        <v>0</v>
      </c>
      <c r="W385" s="77">
        <v>0</v>
      </c>
      <c r="X385" s="77">
        <v>0</v>
      </c>
      <c r="Y385" s="77">
        <f>0</f>
        <v>0</v>
      </c>
      <c r="Z385" s="392">
        <f>0</f>
        <v>0</v>
      </c>
      <c r="AA385" s="174">
        <f t="shared" si="16"/>
        <v>2</v>
      </c>
      <c r="AB385" s="175"/>
      <c r="AC385" s="172">
        <f t="shared" si="17"/>
        <v>2</v>
      </c>
      <c r="AD385" s="176">
        <v>44977</v>
      </c>
      <c r="AE385" s="177" t="s">
        <v>282</v>
      </c>
      <c r="AF385" s="84" t="s">
        <v>1453</v>
      </c>
      <c r="AG385" s="133"/>
      <c r="AH385" s="146">
        <v>45033</v>
      </c>
      <c r="AI385" s="88" t="s">
        <v>1438</v>
      </c>
      <c r="AJ385" s="86">
        <v>2</v>
      </c>
      <c r="AK385" s="179">
        <f t="shared" si="18"/>
        <v>0</v>
      </c>
      <c r="AL385" s="85" t="s">
        <v>1577</v>
      </c>
      <c r="AM385" s="77"/>
      <c r="AN385" s="87"/>
      <c r="AO385" s="180"/>
    </row>
    <row r="386" spans="1:41" s="288" customFormat="1" ht="30.75" customHeight="1">
      <c r="A386" s="233">
        <v>394</v>
      </c>
      <c r="B386" s="234">
        <v>44946</v>
      </c>
      <c r="C386" s="235" t="s">
        <v>454</v>
      </c>
      <c r="D386" s="217"/>
      <c r="E386" s="217"/>
      <c r="F386" s="167" t="s">
        <v>978</v>
      </c>
      <c r="G386" s="84" t="s">
        <v>1071</v>
      </c>
      <c r="H386" s="84" t="s">
        <v>1160</v>
      </c>
      <c r="I386" s="223" t="s">
        <v>1176</v>
      </c>
      <c r="J386" s="84"/>
      <c r="K386" s="84"/>
      <c r="L386" s="84"/>
      <c r="M386" s="84"/>
      <c r="N386" s="216"/>
      <c r="O386" s="323">
        <v>15</v>
      </c>
      <c r="P386" s="151">
        <v>0</v>
      </c>
      <c r="Q386" s="151">
        <v>0</v>
      </c>
      <c r="R386" s="151">
        <v>0</v>
      </c>
      <c r="S386" s="151">
        <v>0</v>
      </c>
      <c r="T386" s="151">
        <v>0</v>
      </c>
      <c r="U386" s="151">
        <v>0</v>
      </c>
      <c r="V386" s="151">
        <v>0</v>
      </c>
      <c r="W386" s="151">
        <v>0</v>
      </c>
      <c r="X386" s="151">
        <v>0</v>
      </c>
      <c r="Y386" s="151">
        <f>0</f>
        <v>0</v>
      </c>
      <c r="Z386" s="200">
        <f>0</f>
        <v>0</v>
      </c>
      <c r="AA386" s="174">
        <f t="shared" si="16"/>
        <v>15</v>
      </c>
      <c r="AB386" s="175"/>
      <c r="AC386" s="172">
        <f t="shared" si="17"/>
        <v>15</v>
      </c>
      <c r="AD386" s="176">
        <v>44966</v>
      </c>
      <c r="AE386" s="177" t="s">
        <v>282</v>
      </c>
      <c r="AF386" s="84" t="s">
        <v>1338</v>
      </c>
      <c r="AG386" s="178"/>
      <c r="AH386" s="177"/>
      <c r="AI386" s="88"/>
      <c r="AJ386" s="86">
        <v>30</v>
      </c>
      <c r="AK386" s="179">
        <f t="shared" si="18"/>
        <v>-15</v>
      </c>
      <c r="AL386" s="85" t="s">
        <v>1574</v>
      </c>
      <c r="AM386" s="77"/>
      <c r="AN386" s="87"/>
      <c r="AO386" s="180"/>
    </row>
    <row r="387" spans="1:41" s="288" customFormat="1" ht="30.75" customHeight="1">
      <c r="A387" s="225">
        <v>395</v>
      </c>
      <c r="B387" s="234">
        <v>44946</v>
      </c>
      <c r="C387" s="235" t="s">
        <v>454</v>
      </c>
      <c r="D387" s="217"/>
      <c r="E387" s="217"/>
      <c r="F387" s="167" t="s">
        <v>979</v>
      </c>
      <c r="G387" s="84" t="s">
        <v>1072</v>
      </c>
      <c r="H387" s="84" t="s">
        <v>1072</v>
      </c>
      <c r="I387" s="223" t="s">
        <v>1177</v>
      </c>
      <c r="J387" s="84"/>
      <c r="K387" s="84"/>
      <c r="L387" s="84"/>
      <c r="M387" s="84"/>
      <c r="N387" s="216"/>
      <c r="O387" s="323">
        <v>7</v>
      </c>
      <c r="P387" s="151">
        <v>0</v>
      </c>
      <c r="Q387" s="151">
        <v>0</v>
      </c>
      <c r="R387" s="151">
        <v>0</v>
      </c>
      <c r="S387" s="151">
        <v>0</v>
      </c>
      <c r="T387" s="151">
        <v>0</v>
      </c>
      <c r="U387" s="151">
        <v>0</v>
      </c>
      <c r="V387" s="151">
        <v>0</v>
      </c>
      <c r="W387" s="151">
        <v>0</v>
      </c>
      <c r="X387" s="151">
        <v>0</v>
      </c>
      <c r="Y387" s="151">
        <f>0</f>
        <v>0</v>
      </c>
      <c r="Z387" s="200">
        <f>0</f>
        <v>0</v>
      </c>
      <c r="AA387" s="174">
        <f t="shared" si="16"/>
        <v>7</v>
      </c>
      <c r="AB387" s="175">
        <v>7</v>
      </c>
      <c r="AC387" s="172">
        <f t="shared" si="17"/>
        <v>0</v>
      </c>
      <c r="AD387" s="176"/>
      <c r="AE387" s="177"/>
      <c r="AF387" s="84" t="s">
        <v>292</v>
      </c>
      <c r="AG387" s="178"/>
      <c r="AH387" s="177"/>
      <c r="AI387" s="85"/>
      <c r="AJ387" s="86" t="s">
        <v>1476</v>
      </c>
      <c r="AK387" s="179" t="e">
        <f t="shared" si="18"/>
        <v>#VALUE!</v>
      </c>
      <c r="AL387" s="85" t="s">
        <v>1495</v>
      </c>
      <c r="AM387" s="77"/>
      <c r="AN387" s="87"/>
      <c r="AO387" s="180"/>
    </row>
    <row r="388" spans="1:41" s="288" customFormat="1" ht="30.75" customHeight="1">
      <c r="A388" s="233">
        <v>396</v>
      </c>
      <c r="B388" s="234">
        <v>44946</v>
      </c>
      <c r="C388" s="235" t="s">
        <v>454</v>
      </c>
      <c r="D388" s="217"/>
      <c r="E388" s="217"/>
      <c r="F388" s="167" t="s">
        <v>980</v>
      </c>
      <c r="G388" s="84" t="s">
        <v>1073</v>
      </c>
      <c r="H388" s="84" t="s">
        <v>1073</v>
      </c>
      <c r="I388" s="223" t="s">
        <v>1178</v>
      </c>
      <c r="J388" s="84"/>
      <c r="K388" s="84"/>
      <c r="L388" s="84"/>
      <c r="M388" s="84"/>
      <c r="N388" s="216"/>
      <c r="O388" s="323">
        <v>4</v>
      </c>
      <c r="P388" s="151">
        <v>0</v>
      </c>
      <c r="Q388" s="151">
        <v>0</v>
      </c>
      <c r="R388" s="151">
        <v>0</v>
      </c>
      <c r="S388" s="151">
        <v>0</v>
      </c>
      <c r="T388" s="151">
        <v>0</v>
      </c>
      <c r="U388" s="151">
        <v>0</v>
      </c>
      <c r="V388" s="151">
        <v>0</v>
      </c>
      <c r="W388" s="151">
        <v>0</v>
      </c>
      <c r="X388" s="151">
        <v>0</v>
      </c>
      <c r="Y388" s="151">
        <f>0</f>
        <v>0</v>
      </c>
      <c r="Z388" s="200">
        <f>0</f>
        <v>0</v>
      </c>
      <c r="AA388" s="142">
        <f t="shared" si="16"/>
        <v>4</v>
      </c>
      <c r="AB388" s="123">
        <v>4</v>
      </c>
      <c r="AC388" s="154">
        <f t="shared" si="17"/>
        <v>0</v>
      </c>
      <c r="AD388" s="176"/>
      <c r="AE388" s="177" t="s">
        <v>282</v>
      </c>
      <c r="AF388" s="84" t="s">
        <v>44</v>
      </c>
      <c r="AG388" s="178"/>
      <c r="AH388" s="177"/>
      <c r="AI388" s="85"/>
      <c r="AJ388" s="86" t="s">
        <v>293</v>
      </c>
      <c r="AK388" s="179" t="e">
        <f t="shared" si="18"/>
        <v>#VALUE!</v>
      </c>
      <c r="AL388" s="85" t="s">
        <v>1233</v>
      </c>
      <c r="AM388" s="77"/>
      <c r="AN388" s="87"/>
      <c r="AO388" s="180"/>
    </row>
    <row r="389" spans="1:41" s="288" customFormat="1" ht="30.75" customHeight="1">
      <c r="A389" s="225">
        <v>397</v>
      </c>
      <c r="B389" s="234">
        <v>44946</v>
      </c>
      <c r="C389" s="235" t="s">
        <v>454</v>
      </c>
      <c r="D389" s="217"/>
      <c r="E389" s="217"/>
      <c r="F389" s="167" t="s">
        <v>981</v>
      </c>
      <c r="G389" s="84" t="s">
        <v>1074</v>
      </c>
      <c r="H389" s="84" t="s">
        <v>1074</v>
      </c>
      <c r="I389" s="223" t="s">
        <v>1179</v>
      </c>
      <c r="J389" s="84"/>
      <c r="K389" s="84"/>
      <c r="L389" s="84"/>
      <c r="M389" s="84"/>
      <c r="N389" s="216"/>
      <c r="O389" s="323">
        <v>1</v>
      </c>
      <c r="P389" s="151">
        <v>0</v>
      </c>
      <c r="Q389" s="151">
        <v>0</v>
      </c>
      <c r="R389" s="151">
        <v>0</v>
      </c>
      <c r="S389" s="151">
        <v>0</v>
      </c>
      <c r="T389" s="151">
        <v>0</v>
      </c>
      <c r="U389" s="151">
        <v>0</v>
      </c>
      <c r="V389" s="151">
        <v>0</v>
      </c>
      <c r="W389" s="151">
        <v>0</v>
      </c>
      <c r="X389" s="151">
        <v>0</v>
      </c>
      <c r="Y389" s="151">
        <f>0</f>
        <v>0</v>
      </c>
      <c r="Z389" s="200">
        <f>0</f>
        <v>0</v>
      </c>
      <c r="AA389" s="142">
        <f t="shared" si="16"/>
        <v>1</v>
      </c>
      <c r="AB389" s="123"/>
      <c r="AC389" s="154">
        <f t="shared" si="17"/>
        <v>1</v>
      </c>
      <c r="AD389" s="176"/>
      <c r="AE389" s="177" t="s">
        <v>282</v>
      </c>
      <c r="AF389" s="84" t="s">
        <v>1232</v>
      </c>
      <c r="AG389" s="178"/>
      <c r="AH389" s="177"/>
      <c r="AI389" s="85"/>
      <c r="AJ389" s="86">
        <v>1</v>
      </c>
      <c r="AK389" s="179">
        <f t="shared" si="18"/>
        <v>0</v>
      </c>
      <c r="AL389" s="85" t="s">
        <v>1248</v>
      </c>
      <c r="AM389" s="77"/>
      <c r="AN389" s="87"/>
      <c r="AO389" s="180"/>
    </row>
    <row r="390" spans="1:41" s="288" customFormat="1" ht="30.75" customHeight="1">
      <c r="A390" s="233">
        <v>398</v>
      </c>
      <c r="B390" s="234">
        <v>44946</v>
      </c>
      <c r="C390" s="235" t="s">
        <v>454</v>
      </c>
      <c r="D390" s="217"/>
      <c r="E390" s="217"/>
      <c r="F390" s="167" t="s">
        <v>982</v>
      </c>
      <c r="G390" s="84" t="s">
        <v>1075</v>
      </c>
      <c r="H390" s="84" t="s">
        <v>1075</v>
      </c>
      <c r="I390" s="223" t="s">
        <v>1179</v>
      </c>
      <c r="J390" s="84"/>
      <c r="K390" s="84"/>
      <c r="L390" s="84"/>
      <c r="M390" s="84"/>
      <c r="N390" s="216"/>
      <c r="O390" s="323">
        <v>1</v>
      </c>
      <c r="P390" s="151">
        <v>0</v>
      </c>
      <c r="Q390" s="151">
        <v>0</v>
      </c>
      <c r="R390" s="151">
        <v>0</v>
      </c>
      <c r="S390" s="151">
        <v>0</v>
      </c>
      <c r="T390" s="151">
        <v>0</v>
      </c>
      <c r="U390" s="151">
        <v>0</v>
      </c>
      <c r="V390" s="151">
        <v>0</v>
      </c>
      <c r="W390" s="151">
        <v>0</v>
      </c>
      <c r="X390" s="151">
        <v>0</v>
      </c>
      <c r="Y390" s="151">
        <f>0</f>
        <v>0</v>
      </c>
      <c r="Z390" s="200">
        <f>0</f>
        <v>0</v>
      </c>
      <c r="AA390" s="142">
        <f t="shared" ref="AA390:AA453" si="19">SUM(O390:Z390)</f>
        <v>1</v>
      </c>
      <c r="AB390" s="123">
        <v>1</v>
      </c>
      <c r="AC390" s="154">
        <f t="shared" ref="AC390:AC453" si="20">AA390-AB390</f>
        <v>0</v>
      </c>
      <c r="AD390" s="176"/>
      <c r="AE390" s="177" t="s">
        <v>529</v>
      </c>
      <c r="AF390" s="84" t="s">
        <v>44</v>
      </c>
      <c r="AG390" s="178"/>
      <c r="AH390" s="177"/>
      <c r="AI390" s="85"/>
      <c r="AJ390" s="86" t="s">
        <v>499</v>
      </c>
      <c r="AK390" s="179" t="e">
        <f t="shared" si="18"/>
        <v>#VALUE!</v>
      </c>
      <c r="AL390" s="85" t="s">
        <v>1231</v>
      </c>
      <c r="AM390" s="77"/>
      <c r="AN390" s="87"/>
      <c r="AO390" s="180"/>
    </row>
    <row r="391" spans="1:41" s="288" customFormat="1" ht="30.75" customHeight="1">
      <c r="A391" s="225">
        <v>399</v>
      </c>
      <c r="B391" s="234">
        <v>44946</v>
      </c>
      <c r="C391" s="235" t="s">
        <v>454</v>
      </c>
      <c r="D391" s="217"/>
      <c r="E391" s="217"/>
      <c r="F391" s="167" t="s">
        <v>983</v>
      </c>
      <c r="G391" s="84" t="s">
        <v>1076</v>
      </c>
      <c r="H391" s="84" t="s">
        <v>1076</v>
      </c>
      <c r="I391" s="223" t="s">
        <v>1179</v>
      </c>
      <c r="J391" s="84"/>
      <c r="K391" s="84"/>
      <c r="L391" s="84"/>
      <c r="M391" s="84"/>
      <c r="N391" s="216"/>
      <c r="O391" s="323">
        <v>1</v>
      </c>
      <c r="P391" s="151">
        <v>0</v>
      </c>
      <c r="Q391" s="151">
        <v>0</v>
      </c>
      <c r="R391" s="151">
        <v>0</v>
      </c>
      <c r="S391" s="151">
        <v>0</v>
      </c>
      <c r="T391" s="151">
        <v>0</v>
      </c>
      <c r="U391" s="151">
        <v>0</v>
      </c>
      <c r="V391" s="151">
        <v>0</v>
      </c>
      <c r="W391" s="151">
        <v>0</v>
      </c>
      <c r="X391" s="151">
        <v>0</v>
      </c>
      <c r="Y391" s="151">
        <f>0</f>
        <v>0</v>
      </c>
      <c r="Z391" s="200">
        <f>0</f>
        <v>0</v>
      </c>
      <c r="AA391" s="142">
        <f t="shared" si="19"/>
        <v>1</v>
      </c>
      <c r="AB391" s="123"/>
      <c r="AC391" s="154">
        <f t="shared" si="20"/>
        <v>1</v>
      </c>
      <c r="AD391" s="176"/>
      <c r="AE391" s="177" t="s">
        <v>282</v>
      </c>
      <c r="AF391" s="84" t="s">
        <v>1232</v>
      </c>
      <c r="AG391" s="178"/>
      <c r="AH391" s="177"/>
      <c r="AI391" s="85"/>
      <c r="AJ391" s="86">
        <v>1</v>
      </c>
      <c r="AK391" s="179">
        <f t="shared" si="18"/>
        <v>0</v>
      </c>
      <c r="AL391" s="85" t="s">
        <v>1248</v>
      </c>
      <c r="AM391" s="77"/>
      <c r="AN391" s="87"/>
      <c r="AO391" s="180"/>
    </row>
    <row r="392" spans="1:41" s="288" customFormat="1" ht="30.75" customHeight="1">
      <c r="A392" s="233">
        <v>400</v>
      </c>
      <c r="B392" s="234">
        <v>44946</v>
      </c>
      <c r="C392" s="235" t="s">
        <v>454</v>
      </c>
      <c r="D392" s="217"/>
      <c r="E392" s="217"/>
      <c r="F392" s="167" t="s">
        <v>984</v>
      </c>
      <c r="G392" s="84" t="s">
        <v>1077</v>
      </c>
      <c r="H392" s="84" t="s">
        <v>1077</v>
      </c>
      <c r="I392" s="223" t="s">
        <v>1180</v>
      </c>
      <c r="J392" s="84"/>
      <c r="K392" s="84"/>
      <c r="L392" s="84"/>
      <c r="M392" s="84"/>
      <c r="N392" s="216"/>
      <c r="O392" s="323">
        <v>2</v>
      </c>
      <c r="P392" s="151">
        <v>0</v>
      </c>
      <c r="Q392" s="151">
        <v>0</v>
      </c>
      <c r="R392" s="151">
        <v>0</v>
      </c>
      <c r="S392" s="151">
        <v>0</v>
      </c>
      <c r="T392" s="151">
        <v>0</v>
      </c>
      <c r="U392" s="151">
        <v>0</v>
      </c>
      <c r="V392" s="151">
        <v>0</v>
      </c>
      <c r="W392" s="151">
        <v>0</v>
      </c>
      <c r="X392" s="151">
        <v>0</v>
      </c>
      <c r="Y392" s="151">
        <f>0</f>
        <v>0</v>
      </c>
      <c r="Z392" s="200">
        <f>0</f>
        <v>0</v>
      </c>
      <c r="AA392" s="174">
        <f t="shared" si="19"/>
        <v>2</v>
      </c>
      <c r="AB392" s="175">
        <v>2</v>
      </c>
      <c r="AC392" s="172">
        <f t="shared" si="20"/>
        <v>0</v>
      </c>
      <c r="AD392" s="176"/>
      <c r="AE392" s="177" t="s">
        <v>239</v>
      </c>
      <c r="AF392" s="379" t="s">
        <v>1613</v>
      </c>
      <c r="AG392" s="178"/>
      <c r="AH392" s="177"/>
      <c r="AI392" s="85"/>
      <c r="AJ392" s="86">
        <v>2</v>
      </c>
      <c r="AK392" s="179">
        <f t="shared" si="18"/>
        <v>-2</v>
      </c>
      <c r="AL392" s="85" t="s">
        <v>1292</v>
      </c>
      <c r="AM392" s="77"/>
      <c r="AN392" s="87"/>
      <c r="AO392" s="180"/>
    </row>
    <row r="393" spans="1:41" s="288" customFormat="1" ht="30.75" customHeight="1">
      <c r="A393" s="225">
        <v>401</v>
      </c>
      <c r="B393" s="234">
        <v>44946</v>
      </c>
      <c r="C393" s="235" t="s">
        <v>454</v>
      </c>
      <c r="D393" s="217"/>
      <c r="E393" s="377"/>
      <c r="F393" s="167" t="s">
        <v>985</v>
      </c>
      <c r="G393" s="84" t="s">
        <v>1078</v>
      </c>
      <c r="H393" s="84" t="s">
        <v>1078</v>
      </c>
      <c r="I393" s="223" t="s">
        <v>1180</v>
      </c>
      <c r="J393" s="84"/>
      <c r="K393" s="84"/>
      <c r="L393" s="84"/>
      <c r="M393" s="84"/>
      <c r="N393" s="216"/>
      <c r="O393" s="323">
        <v>2</v>
      </c>
      <c r="P393" s="151">
        <v>0</v>
      </c>
      <c r="Q393" s="151">
        <v>0</v>
      </c>
      <c r="R393" s="151">
        <v>0</v>
      </c>
      <c r="S393" s="151">
        <v>0</v>
      </c>
      <c r="T393" s="151">
        <v>0</v>
      </c>
      <c r="U393" s="151">
        <v>0</v>
      </c>
      <c r="V393" s="151">
        <v>0</v>
      </c>
      <c r="W393" s="151">
        <v>0</v>
      </c>
      <c r="X393" s="151">
        <v>0</v>
      </c>
      <c r="Y393" s="151">
        <f>0</f>
        <v>0</v>
      </c>
      <c r="Z393" s="200">
        <f>0</f>
        <v>0</v>
      </c>
      <c r="AA393" s="174">
        <f t="shared" si="19"/>
        <v>2</v>
      </c>
      <c r="AB393" s="175">
        <v>2</v>
      </c>
      <c r="AC393" s="172">
        <f t="shared" si="20"/>
        <v>0</v>
      </c>
      <c r="AD393" s="176">
        <v>44976</v>
      </c>
      <c r="AE393" s="177" t="s">
        <v>239</v>
      </c>
      <c r="AF393" s="164" t="s">
        <v>1428</v>
      </c>
      <c r="AG393" s="84" t="s">
        <v>1417</v>
      </c>
      <c r="AH393" s="177"/>
      <c r="AI393" s="85"/>
      <c r="AJ393" s="86">
        <v>2</v>
      </c>
      <c r="AK393" s="179">
        <f t="shared" si="18"/>
        <v>-2</v>
      </c>
      <c r="AL393" s="85" t="s">
        <v>1444</v>
      </c>
      <c r="AM393" s="77"/>
      <c r="AN393" s="87"/>
      <c r="AO393" s="180"/>
    </row>
    <row r="394" spans="1:41" s="288" customFormat="1" ht="30.75" customHeight="1">
      <c r="A394" s="233">
        <v>402</v>
      </c>
      <c r="B394" s="234">
        <v>44946</v>
      </c>
      <c r="C394" s="235" t="s">
        <v>454</v>
      </c>
      <c r="D394" s="217"/>
      <c r="E394" s="217"/>
      <c r="F394" s="167" t="s">
        <v>986</v>
      </c>
      <c r="G394" s="84" t="s">
        <v>1079</v>
      </c>
      <c r="H394" s="84" t="s">
        <v>1161</v>
      </c>
      <c r="I394" s="223" t="s">
        <v>1181</v>
      </c>
      <c r="J394" s="84"/>
      <c r="K394" s="84"/>
      <c r="L394" s="84"/>
      <c r="M394" s="84"/>
      <c r="N394" s="216"/>
      <c r="O394" s="323">
        <v>8</v>
      </c>
      <c r="P394" s="151">
        <v>0</v>
      </c>
      <c r="Q394" s="151">
        <v>0</v>
      </c>
      <c r="R394" s="151">
        <v>0</v>
      </c>
      <c r="S394" s="151">
        <v>0</v>
      </c>
      <c r="T394" s="151">
        <v>0</v>
      </c>
      <c r="U394" s="151">
        <v>0</v>
      </c>
      <c r="V394" s="151">
        <v>0</v>
      </c>
      <c r="W394" s="151">
        <v>0</v>
      </c>
      <c r="X394" s="151">
        <v>0</v>
      </c>
      <c r="Y394" s="151">
        <f>0</f>
        <v>0</v>
      </c>
      <c r="Z394" s="200">
        <f>0</f>
        <v>0</v>
      </c>
      <c r="AA394" s="142">
        <f t="shared" si="19"/>
        <v>8</v>
      </c>
      <c r="AB394" s="123">
        <v>8</v>
      </c>
      <c r="AC394" s="154">
        <f t="shared" si="20"/>
        <v>0</v>
      </c>
      <c r="AD394" s="176"/>
      <c r="AE394" s="177" t="s">
        <v>529</v>
      </c>
      <c r="AF394" s="84" t="s">
        <v>44</v>
      </c>
      <c r="AG394" s="178"/>
      <c r="AH394" s="177"/>
      <c r="AI394" s="85"/>
      <c r="AJ394" s="86" t="s">
        <v>499</v>
      </c>
      <c r="AK394" s="179" t="e">
        <f t="shared" si="18"/>
        <v>#VALUE!</v>
      </c>
      <c r="AL394" s="85" t="s">
        <v>1231</v>
      </c>
      <c r="AM394" s="77"/>
      <c r="AN394" s="87"/>
      <c r="AO394" s="180"/>
    </row>
    <row r="395" spans="1:41" s="288" customFormat="1" ht="30.75" customHeight="1">
      <c r="A395" s="225">
        <v>403</v>
      </c>
      <c r="B395" s="234">
        <v>44946</v>
      </c>
      <c r="C395" s="235" t="s">
        <v>454</v>
      </c>
      <c r="D395" s="217"/>
      <c r="E395" s="217"/>
      <c r="F395" s="167" t="s">
        <v>987</v>
      </c>
      <c r="G395" s="84" t="s">
        <v>1080</v>
      </c>
      <c r="H395" s="84" t="s">
        <v>1080</v>
      </c>
      <c r="I395" s="223" t="s">
        <v>1182</v>
      </c>
      <c r="J395" s="84"/>
      <c r="K395" s="84"/>
      <c r="L395" s="84"/>
      <c r="M395" s="84"/>
      <c r="N395" s="216"/>
      <c r="O395" s="323">
        <v>1</v>
      </c>
      <c r="P395" s="151">
        <v>0</v>
      </c>
      <c r="Q395" s="151">
        <v>0</v>
      </c>
      <c r="R395" s="151">
        <v>0</v>
      </c>
      <c r="S395" s="151">
        <v>0</v>
      </c>
      <c r="T395" s="151">
        <v>0</v>
      </c>
      <c r="U395" s="151">
        <v>0</v>
      </c>
      <c r="V395" s="151">
        <v>0</v>
      </c>
      <c r="W395" s="151">
        <v>0</v>
      </c>
      <c r="X395" s="151">
        <v>0</v>
      </c>
      <c r="Y395" s="151">
        <f>0</f>
        <v>0</v>
      </c>
      <c r="Z395" s="200">
        <f>0</f>
        <v>0</v>
      </c>
      <c r="AA395" s="142">
        <f t="shared" si="19"/>
        <v>1</v>
      </c>
      <c r="AB395" s="123">
        <v>1</v>
      </c>
      <c r="AC395" s="154">
        <f t="shared" si="20"/>
        <v>0</v>
      </c>
      <c r="AD395" s="176"/>
      <c r="AE395" s="177" t="s">
        <v>529</v>
      </c>
      <c r="AF395" s="84" t="s">
        <v>1189</v>
      </c>
      <c r="AG395" s="178"/>
      <c r="AH395" s="177"/>
      <c r="AI395" s="85"/>
      <c r="AJ395" s="86" t="s">
        <v>499</v>
      </c>
      <c r="AK395" s="179" t="e">
        <f t="shared" si="18"/>
        <v>#VALUE!</v>
      </c>
      <c r="AL395" s="85" t="s">
        <v>951</v>
      </c>
      <c r="AM395" s="77"/>
      <c r="AN395" s="87"/>
      <c r="AO395" s="180"/>
    </row>
    <row r="396" spans="1:41" s="288" customFormat="1" ht="30.75" customHeight="1">
      <c r="A396" s="233">
        <v>404</v>
      </c>
      <c r="B396" s="234">
        <v>44946</v>
      </c>
      <c r="C396" s="235" t="s">
        <v>454</v>
      </c>
      <c r="D396" s="217"/>
      <c r="E396" s="217"/>
      <c r="F396" s="167" t="s">
        <v>988</v>
      </c>
      <c r="G396" s="84" t="s">
        <v>1081</v>
      </c>
      <c r="H396" s="84" t="s">
        <v>1081</v>
      </c>
      <c r="I396" s="223" t="s">
        <v>1182</v>
      </c>
      <c r="J396" s="84"/>
      <c r="K396" s="84"/>
      <c r="L396" s="84"/>
      <c r="M396" s="84"/>
      <c r="N396" s="216"/>
      <c r="O396" s="323">
        <v>1</v>
      </c>
      <c r="P396" s="151">
        <v>0</v>
      </c>
      <c r="Q396" s="151">
        <v>0</v>
      </c>
      <c r="R396" s="151">
        <v>0</v>
      </c>
      <c r="S396" s="151">
        <v>0</v>
      </c>
      <c r="T396" s="151">
        <v>0</v>
      </c>
      <c r="U396" s="151">
        <v>0</v>
      </c>
      <c r="V396" s="151">
        <v>0</v>
      </c>
      <c r="W396" s="151">
        <v>0</v>
      </c>
      <c r="X396" s="151">
        <v>0</v>
      </c>
      <c r="Y396" s="151">
        <f>0</f>
        <v>0</v>
      </c>
      <c r="Z396" s="200">
        <f>0</f>
        <v>0</v>
      </c>
      <c r="AA396" s="142">
        <f t="shared" si="19"/>
        <v>1</v>
      </c>
      <c r="AB396" s="123">
        <v>1</v>
      </c>
      <c r="AC396" s="154">
        <f t="shared" si="20"/>
        <v>0</v>
      </c>
      <c r="AD396" s="176"/>
      <c r="AE396" s="177" t="s">
        <v>529</v>
      </c>
      <c r="AF396" s="84" t="s">
        <v>1189</v>
      </c>
      <c r="AG396" s="178"/>
      <c r="AH396" s="177"/>
      <c r="AI396" s="85"/>
      <c r="AJ396" s="86" t="s">
        <v>499</v>
      </c>
      <c r="AK396" s="179" t="e">
        <f t="shared" si="18"/>
        <v>#VALUE!</v>
      </c>
      <c r="AL396" s="85" t="s">
        <v>951</v>
      </c>
      <c r="AM396" s="77"/>
      <c r="AN396" s="87"/>
      <c r="AO396" s="180"/>
    </row>
    <row r="397" spans="1:41" s="288" customFormat="1" ht="30.75" customHeight="1">
      <c r="A397" s="225">
        <v>405</v>
      </c>
      <c r="B397" s="234">
        <v>44946</v>
      </c>
      <c r="C397" s="235" t="s">
        <v>454</v>
      </c>
      <c r="D397" s="217"/>
      <c r="E397" s="217"/>
      <c r="F397" s="167" t="s">
        <v>989</v>
      </c>
      <c r="G397" s="84" t="s">
        <v>1082</v>
      </c>
      <c r="H397" s="84">
        <v>58152</v>
      </c>
      <c r="I397" s="223" t="s">
        <v>163</v>
      </c>
      <c r="J397" s="84"/>
      <c r="K397" s="84"/>
      <c r="L397" s="84"/>
      <c r="M397" s="84"/>
      <c r="N397" s="216"/>
      <c r="O397" s="323">
        <v>1</v>
      </c>
      <c r="P397" s="151">
        <v>0</v>
      </c>
      <c r="Q397" s="151">
        <v>0</v>
      </c>
      <c r="R397" s="151">
        <v>0</v>
      </c>
      <c r="S397" s="151">
        <v>0</v>
      </c>
      <c r="T397" s="151">
        <v>0</v>
      </c>
      <c r="U397" s="151">
        <v>0</v>
      </c>
      <c r="V397" s="151">
        <v>0</v>
      </c>
      <c r="W397" s="151">
        <v>0</v>
      </c>
      <c r="X397" s="151">
        <v>0</v>
      </c>
      <c r="Y397" s="151">
        <f>0</f>
        <v>0</v>
      </c>
      <c r="Z397" s="200">
        <f>0</f>
        <v>0</v>
      </c>
      <c r="AA397" s="142">
        <f t="shared" si="19"/>
        <v>1</v>
      </c>
      <c r="AB397" s="123">
        <v>1</v>
      </c>
      <c r="AC397" s="154">
        <f t="shared" si="20"/>
        <v>0</v>
      </c>
      <c r="AD397" s="176"/>
      <c r="AE397" s="177" t="s">
        <v>529</v>
      </c>
      <c r="AF397" s="84" t="s">
        <v>44</v>
      </c>
      <c r="AG397" s="178"/>
      <c r="AH397" s="177"/>
      <c r="AI397" s="85"/>
      <c r="AJ397" s="86" t="s">
        <v>499</v>
      </c>
      <c r="AK397" s="179" t="e">
        <f t="shared" si="18"/>
        <v>#VALUE!</v>
      </c>
      <c r="AL397" s="85" t="s">
        <v>1231</v>
      </c>
      <c r="AM397" s="77"/>
      <c r="AN397" s="87"/>
      <c r="AO397" s="180"/>
    </row>
    <row r="398" spans="1:41" s="288" customFormat="1" ht="30.75" customHeight="1">
      <c r="A398" s="233">
        <v>406</v>
      </c>
      <c r="B398" s="234">
        <v>44946</v>
      </c>
      <c r="C398" s="235" t="s">
        <v>454</v>
      </c>
      <c r="D398" s="217"/>
      <c r="E398" s="217"/>
      <c r="F398" s="167" t="s">
        <v>990</v>
      </c>
      <c r="G398" s="84" t="s">
        <v>1083</v>
      </c>
      <c r="H398" s="84" t="s">
        <v>1083</v>
      </c>
      <c r="I398" s="223" t="s">
        <v>163</v>
      </c>
      <c r="J398" s="84"/>
      <c r="K398" s="84"/>
      <c r="L398" s="84"/>
      <c r="M398" s="84"/>
      <c r="N398" s="216"/>
      <c r="O398" s="323">
        <v>1</v>
      </c>
      <c r="P398" s="151">
        <v>0</v>
      </c>
      <c r="Q398" s="151">
        <v>0</v>
      </c>
      <c r="R398" s="151">
        <v>0</v>
      </c>
      <c r="S398" s="151">
        <v>0</v>
      </c>
      <c r="T398" s="151">
        <v>0</v>
      </c>
      <c r="U398" s="151">
        <v>0</v>
      </c>
      <c r="V398" s="151">
        <v>0</v>
      </c>
      <c r="W398" s="151">
        <v>0</v>
      </c>
      <c r="X398" s="151">
        <v>0</v>
      </c>
      <c r="Y398" s="151">
        <f>0</f>
        <v>0</v>
      </c>
      <c r="Z398" s="200">
        <f>0</f>
        <v>0</v>
      </c>
      <c r="AA398" s="142">
        <f t="shared" si="19"/>
        <v>1</v>
      </c>
      <c r="AB398" s="123">
        <v>1</v>
      </c>
      <c r="AC398" s="154">
        <f t="shared" si="20"/>
        <v>0</v>
      </c>
      <c r="AD398" s="176"/>
      <c r="AE398" s="177" t="s">
        <v>529</v>
      </c>
      <c r="AF398" s="84" t="s">
        <v>44</v>
      </c>
      <c r="AG398" s="178"/>
      <c r="AH398" s="177"/>
      <c r="AI398" s="85"/>
      <c r="AJ398" s="86" t="s">
        <v>499</v>
      </c>
      <c r="AK398" s="179" t="e">
        <f t="shared" si="18"/>
        <v>#VALUE!</v>
      </c>
      <c r="AL398" s="85" t="s">
        <v>1248</v>
      </c>
      <c r="AM398" s="77"/>
      <c r="AN398" s="87"/>
      <c r="AO398" s="180"/>
    </row>
    <row r="399" spans="1:41" s="288" customFormat="1" ht="30.75" customHeight="1">
      <c r="A399" s="225">
        <v>407</v>
      </c>
      <c r="B399" s="234">
        <v>44946</v>
      </c>
      <c r="C399" s="235" t="s">
        <v>454</v>
      </c>
      <c r="D399" s="217"/>
      <c r="E399" s="217"/>
      <c r="F399" s="167" t="s">
        <v>991</v>
      </c>
      <c r="G399" s="84" t="s">
        <v>1084</v>
      </c>
      <c r="H399" s="84" t="s">
        <v>1084</v>
      </c>
      <c r="I399" s="223" t="s">
        <v>163</v>
      </c>
      <c r="J399" s="84"/>
      <c r="K399" s="84"/>
      <c r="L399" s="84"/>
      <c r="M399" s="84"/>
      <c r="N399" s="216"/>
      <c r="O399" s="323">
        <v>4</v>
      </c>
      <c r="P399" s="151">
        <v>0</v>
      </c>
      <c r="Q399" s="151">
        <v>0</v>
      </c>
      <c r="R399" s="151">
        <v>0</v>
      </c>
      <c r="S399" s="151">
        <v>0</v>
      </c>
      <c r="T399" s="151">
        <v>0</v>
      </c>
      <c r="U399" s="151">
        <v>0</v>
      </c>
      <c r="V399" s="151">
        <v>0</v>
      </c>
      <c r="W399" s="151">
        <v>0</v>
      </c>
      <c r="X399" s="151">
        <v>0</v>
      </c>
      <c r="Y399" s="151">
        <f>0</f>
        <v>0</v>
      </c>
      <c r="Z399" s="200">
        <f>0</f>
        <v>0</v>
      </c>
      <c r="AA399" s="142">
        <f t="shared" si="19"/>
        <v>4</v>
      </c>
      <c r="AB399" s="123">
        <v>4</v>
      </c>
      <c r="AC399" s="154">
        <f t="shared" si="20"/>
        <v>0</v>
      </c>
      <c r="AD399" s="176"/>
      <c r="AE399" s="177" t="s">
        <v>529</v>
      </c>
      <c r="AF399" s="84" t="s">
        <v>44</v>
      </c>
      <c r="AG399" s="178"/>
      <c r="AH399" s="177"/>
      <c r="AI399" s="85"/>
      <c r="AJ399" s="86" t="s">
        <v>499</v>
      </c>
      <c r="AK399" s="179" t="e">
        <f t="shared" si="18"/>
        <v>#VALUE!</v>
      </c>
      <c r="AL399" s="85" t="s">
        <v>1248</v>
      </c>
      <c r="AM399" s="77"/>
      <c r="AN399" s="87"/>
      <c r="AO399" s="180"/>
    </row>
    <row r="400" spans="1:41" s="288" customFormat="1" ht="30.75" customHeight="1">
      <c r="A400" s="233">
        <v>408</v>
      </c>
      <c r="B400" s="234">
        <v>44946</v>
      </c>
      <c r="C400" s="235" t="s">
        <v>454</v>
      </c>
      <c r="D400" s="217"/>
      <c r="E400" s="217"/>
      <c r="F400" s="167" t="s">
        <v>992</v>
      </c>
      <c r="G400" s="84" t="s">
        <v>1085</v>
      </c>
      <c r="H400" s="84" t="s">
        <v>1085</v>
      </c>
      <c r="I400" s="223" t="s">
        <v>163</v>
      </c>
      <c r="J400" s="84"/>
      <c r="K400" s="84"/>
      <c r="L400" s="84"/>
      <c r="M400" s="84"/>
      <c r="N400" s="216"/>
      <c r="O400" s="323">
        <v>88</v>
      </c>
      <c r="P400" s="151">
        <v>0</v>
      </c>
      <c r="Q400" s="151">
        <v>0</v>
      </c>
      <c r="R400" s="151">
        <v>0</v>
      </c>
      <c r="S400" s="151">
        <v>0</v>
      </c>
      <c r="T400" s="151">
        <v>0</v>
      </c>
      <c r="U400" s="151">
        <v>0</v>
      </c>
      <c r="V400" s="151">
        <v>0</v>
      </c>
      <c r="W400" s="151">
        <v>0</v>
      </c>
      <c r="X400" s="151">
        <v>0</v>
      </c>
      <c r="Y400" s="151">
        <f>0</f>
        <v>0</v>
      </c>
      <c r="Z400" s="200">
        <f>0</f>
        <v>0</v>
      </c>
      <c r="AA400" s="142">
        <f t="shared" si="19"/>
        <v>88</v>
      </c>
      <c r="AB400" s="123"/>
      <c r="AC400" s="154">
        <f t="shared" si="20"/>
        <v>88</v>
      </c>
      <c r="AD400" s="176">
        <v>44949</v>
      </c>
      <c r="AE400" s="177" t="s">
        <v>282</v>
      </c>
      <c r="AF400" s="84" t="s">
        <v>1249</v>
      </c>
      <c r="AG400" s="178"/>
      <c r="AH400" s="177"/>
      <c r="AI400" s="85"/>
      <c r="AJ400" s="86" t="s">
        <v>1501</v>
      </c>
      <c r="AK400" s="179" t="e">
        <f t="shared" si="18"/>
        <v>#VALUE!</v>
      </c>
      <c r="AL400" s="85" t="s">
        <v>1248</v>
      </c>
      <c r="AM400" s="77"/>
      <c r="AN400" s="87"/>
      <c r="AO400" s="180"/>
    </row>
    <row r="401" spans="1:41" s="288" customFormat="1" ht="30.75" customHeight="1">
      <c r="A401" s="225">
        <v>409</v>
      </c>
      <c r="B401" s="234">
        <v>44946</v>
      </c>
      <c r="C401" s="235" t="s">
        <v>454</v>
      </c>
      <c r="D401" s="217"/>
      <c r="E401" s="377"/>
      <c r="F401" s="167" t="s">
        <v>993</v>
      </c>
      <c r="G401" s="84" t="s">
        <v>1086</v>
      </c>
      <c r="H401" s="84" t="s">
        <v>1162</v>
      </c>
      <c r="I401" s="223" t="s">
        <v>1183</v>
      </c>
      <c r="J401" s="84"/>
      <c r="K401" s="84"/>
      <c r="L401" s="84"/>
      <c r="M401" s="84"/>
      <c r="N401" s="216"/>
      <c r="O401" s="391">
        <v>1</v>
      </c>
      <c r="P401" s="77">
        <v>0</v>
      </c>
      <c r="Q401" s="77">
        <v>0</v>
      </c>
      <c r="R401" s="77">
        <v>0</v>
      </c>
      <c r="S401" s="77">
        <v>0</v>
      </c>
      <c r="T401" s="77">
        <v>0</v>
      </c>
      <c r="U401" s="77">
        <v>0</v>
      </c>
      <c r="V401" s="77">
        <v>0</v>
      </c>
      <c r="W401" s="77">
        <v>0</v>
      </c>
      <c r="X401" s="77">
        <v>0</v>
      </c>
      <c r="Y401" s="77">
        <f>0</f>
        <v>0</v>
      </c>
      <c r="Z401" s="392">
        <f>0</f>
        <v>0</v>
      </c>
      <c r="AA401" s="174">
        <f t="shared" si="19"/>
        <v>1</v>
      </c>
      <c r="AB401" s="175"/>
      <c r="AC401" s="172">
        <f t="shared" si="20"/>
        <v>1</v>
      </c>
      <c r="AD401" s="176">
        <v>45013</v>
      </c>
      <c r="AE401" s="177" t="s">
        <v>239</v>
      </c>
      <c r="AF401" s="84" t="s">
        <v>1558</v>
      </c>
      <c r="AG401" s="133"/>
      <c r="AH401" s="100"/>
      <c r="AI401" s="85" t="s">
        <v>1438</v>
      </c>
      <c r="AJ401" s="86"/>
      <c r="AK401" s="179">
        <f t="shared" si="18"/>
        <v>1</v>
      </c>
      <c r="AL401" s="85"/>
      <c r="AM401" s="77"/>
      <c r="AN401" s="87"/>
      <c r="AO401" s="180"/>
    </row>
    <row r="402" spans="1:41" s="288" customFormat="1" ht="30.75" customHeight="1">
      <c r="A402" s="233">
        <v>410</v>
      </c>
      <c r="B402" s="234">
        <v>44946</v>
      </c>
      <c r="C402" s="235" t="s">
        <v>454</v>
      </c>
      <c r="D402" s="217"/>
      <c r="E402" s="217"/>
      <c r="F402" s="167" t="s">
        <v>994</v>
      </c>
      <c r="G402" s="84" t="s">
        <v>1087</v>
      </c>
      <c r="H402" s="84" t="s">
        <v>1087</v>
      </c>
      <c r="I402" s="468" t="s">
        <v>168</v>
      </c>
      <c r="J402" s="84"/>
      <c r="K402" s="84"/>
      <c r="L402" s="84"/>
      <c r="M402" s="84"/>
      <c r="N402" s="216" t="s">
        <v>80</v>
      </c>
      <c r="O402" s="393">
        <v>15</v>
      </c>
      <c r="P402" s="152">
        <v>0</v>
      </c>
      <c r="Q402" s="152">
        <v>0</v>
      </c>
      <c r="R402" s="152">
        <v>0</v>
      </c>
      <c r="S402" s="152">
        <v>0</v>
      </c>
      <c r="T402" s="152">
        <v>0</v>
      </c>
      <c r="U402" s="152">
        <v>0</v>
      </c>
      <c r="V402" s="152">
        <v>0</v>
      </c>
      <c r="W402" s="152">
        <v>0</v>
      </c>
      <c r="X402" s="152">
        <v>0</v>
      </c>
      <c r="Y402" s="152">
        <f>0</f>
        <v>0</v>
      </c>
      <c r="Z402" s="394">
        <f>0</f>
        <v>0</v>
      </c>
      <c r="AA402" s="370">
        <f t="shared" si="19"/>
        <v>15</v>
      </c>
      <c r="AB402" s="371"/>
      <c r="AC402" s="172">
        <f t="shared" si="20"/>
        <v>15</v>
      </c>
      <c r="AD402" s="176" t="s">
        <v>1550</v>
      </c>
      <c r="AE402" s="177" t="s">
        <v>239</v>
      </c>
      <c r="AF402" s="84" t="s">
        <v>1549</v>
      </c>
      <c r="AG402" s="133"/>
      <c r="AH402" s="100"/>
      <c r="AI402" s="88" t="s">
        <v>1438</v>
      </c>
      <c r="AJ402" s="86">
        <v>15</v>
      </c>
      <c r="AK402" s="179">
        <f t="shared" si="18"/>
        <v>0</v>
      </c>
      <c r="AL402" s="85" t="s">
        <v>1600</v>
      </c>
      <c r="AM402" s="77"/>
      <c r="AN402" s="87"/>
      <c r="AO402" s="180"/>
    </row>
    <row r="403" spans="1:41" s="288" customFormat="1" ht="30.75" customHeight="1">
      <c r="A403" s="225">
        <v>411</v>
      </c>
      <c r="B403" s="234">
        <v>44946</v>
      </c>
      <c r="C403" s="235" t="s">
        <v>454</v>
      </c>
      <c r="D403" s="217"/>
      <c r="E403" s="217"/>
      <c r="F403" s="167" t="s">
        <v>995</v>
      </c>
      <c r="G403" s="84" t="s">
        <v>1088</v>
      </c>
      <c r="H403" s="84" t="s">
        <v>1088</v>
      </c>
      <c r="I403" s="232" t="s">
        <v>168</v>
      </c>
      <c r="J403" s="84"/>
      <c r="K403" s="84"/>
      <c r="L403" s="84"/>
      <c r="M403" s="84"/>
      <c r="N403" s="216" t="s">
        <v>80</v>
      </c>
      <c r="O403" s="393">
        <v>15</v>
      </c>
      <c r="P403" s="152">
        <v>0</v>
      </c>
      <c r="Q403" s="152">
        <v>0</v>
      </c>
      <c r="R403" s="152">
        <v>0</v>
      </c>
      <c r="S403" s="152">
        <v>0</v>
      </c>
      <c r="T403" s="152">
        <v>0</v>
      </c>
      <c r="U403" s="152">
        <v>0</v>
      </c>
      <c r="V403" s="152">
        <v>0</v>
      </c>
      <c r="W403" s="152">
        <v>0</v>
      </c>
      <c r="X403" s="152">
        <v>0</v>
      </c>
      <c r="Y403" s="152">
        <f>0</f>
        <v>0</v>
      </c>
      <c r="Z403" s="394">
        <f>0</f>
        <v>0</v>
      </c>
      <c r="AA403" s="370">
        <f t="shared" si="19"/>
        <v>15</v>
      </c>
      <c r="AB403" s="371"/>
      <c r="AC403" s="172">
        <f t="shared" si="20"/>
        <v>15</v>
      </c>
      <c r="AD403" s="176" t="s">
        <v>1550</v>
      </c>
      <c r="AE403" s="177" t="s">
        <v>239</v>
      </c>
      <c r="AF403" s="84" t="s">
        <v>1549</v>
      </c>
      <c r="AG403" s="133"/>
      <c r="AH403" s="100"/>
      <c r="AI403" s="88" t="s">
        <v>1438</v>
      </c>
      <c r="AJ403" s="86">
        <v>15</v>
      </c>
      <c r="AK403" s="179">
        <f t="shared" si="18"/>
        <v>0</v>
      </c>
      <c r="AL403" s="85" t="s">
        <v>1601</v>
      </c>
      <c r="AM403" s="77"/>
      <c r="AN403" s="87"/>
      <c r="AO403" s="180"/>
    </row>
    <row r="404" spans="1:41" s="288" customFormat="1" ht="30.75" customHeight="1">
      <c r="A404" s="233">
        <v>412</v>
      </c>
      <c r="B404" s="234">
        <v>44946</v>
      </c>
      <c r="C404" s="235" t="s">
        <v>454</v>
      </c>
      <c r="D404" s="217"/>
      <c r="E404" s="217"/>
      <c r="F404" s="167" t="s">
        <v>996</v>
      </c>
      <c r="G404" s="84" t="s">
        <v>1089</v>
      </c>
      <c r="H404" s="84" t="s">
        <v>1089</v>
      </c>
      <c r="I404" s="232" t="s">
        <v>168</v>
      </c>
      <c r="J404" s="84"/>
      <c r="K404" s="84"/>
      <c r="L404" s="84"/>
      <c r="M404" s="84"/>
      <c r="N404" s="216" t="s">
        <v>80</v>
      </c>
      <c r="O404" s="393">
        <v>49</v>
      </c>
      <c r="P404" s="152">
        <v>0</v>
      </c>
      <c r="Q404" s="152">
        <v>0</v>
      </c>
      <c r="R404" s="152">
        <v>0</v>
      </c>
      <c r="S404" s="152">
        <v>0</v>
      </c>
      <c r="T404" s="152">
        <v>0</v>
      </c>
      <c r="U404" s="152">
        <v>0</v>
      </c>
      <c r="V404" s="152">
        <v>0</v>
      </c>
      <c r="W404" s="152">
        <v>0</v>
      </c>
      <c r="X404" s="152">
        <v>0</v>
      </c>
      <c r="Y404" s="152">
        <f>0</f>
        <v>0</v>
      </c>
      <c r="Z404" s="394">
        <f>0</f>
        <v>0</v>
      </c>
      <c r="AA404" s="370">
        <f t="shared" si="19"/>
        <v>49</v>
      </c>
      <c r="AB404" s="371"/>
      <c r="AC404" s="172">
        <f t="shared" si="20"/>
        <v>49</v>
      </c>
      <c r="AD404" s="176" t="s">
        <v>1550</v>
      </c>
      <c r="AE404" s="177" t="s">
        <v>239</v>
      </c>
      <c r="AF404" s="84" t="s">
        <v>1549</v>
      </c>
      <c r="AG404" s="133"/>
      <c r="AH404" s="100"/>
      <c r="AI404" s="88" t="s">
        <v>1438</v>
      </c>
      <c r="AJ404" s="86"/>
      <c r="AK404" s="179">
        <f t="shared" si="18"/>
        <v>49</v>
      </c>
      <c r="AL404" s="85"/>
      <c r="AM404" s="77"/>
      <c r="AN404" s="87"/>
      <c r="AO404" s="180"/>
    </row>
    <row r="405" spans="1:41" s="288" customFormat="1" ht="30.75" customHeight="1">
      <c r="A405" s="225">
        <v>413</v>
      </c>
      <c r="B405" s="234">
        <v>44946</v>
      </c>
      <c r="C405" s="235" t="s">
        <v>454</v>
      </c>
      <c r="D405" s="217"/>
      <c r="E405" s="217"/>
      <c r="F405" s="167" t="s">
        <v>997</v>
      </c>
      <c r="G405" s="84" t="s">
        <v>1090</v>
      </c>
      <c r="H405" s="84" t="s">
        <v>1090</v>
      </c>
      <c r="I405" s="469" t="s">
        <v>1184</v>
      </c>
      <c r="J405" s="84"/>
      <c r="K405" s="84"/>
      <c r="L405" s="84"/>
      <c r="M405" s="84"/>
      <c r="N405" s="216"/>
      <c r="O405" s="391">
        <v>9</v>
      </c>
      <c r="P405" s="77">
        <v>0</v>
      </c>
      <c r="Q405" s="77">
        <v>0</v>
      </c>
      <c r="R405" s="77">
        <v>0</v>
      </c>
      <c r="S405" s="77">
        <v>0</v>
      </c>
      <c r="T405" s="77">
        <v>0</v>
      </c>
      <c r="U405" s="77">
        <v>0</v>
      </c>
      <c r="V405" s="77">
        <v>0</v>
      </c>
      <c r="W405" s="77">
        <v>0</v>
      </c>
      <c r="X405" s="77">
        <v>0</v>
      </c>
      <c r="Y405" s="77">
        <f>0</f>
        <v>0</v>
      </c>
      <c r="Z405" s="392">
        <f>0</f>
        <v>0</v>
      </c>
      <c r="AA405" s="174">
        <f t="shared" si="19"/>
        <v>9</v>
      </c>
      <c r="AB405" s="175">
        <v>9</v>
      </c>
      <c r="AC405" s="172">
        <f t="shared" si="20"/>
        <v>0</v>
      </c>
      <c r="AD405" s="176"/>
      <c r="AE405" s="177" t="s">
        <v>529</v>
      </c>
      <c r="AF405" s="84" t="s">
        <v>44</v>
      </c>
      <c r="AG405" s="178"/>
      <c r="AH405" s="177"/>
      <c r="AI405" s="88"/>
      <c r="AJ405" s="86" t="s">
        <v>499</v>
      </c>
      <c r="AK405" s="179" t="e">
        <f t="shared" si="18"/>
        <v>#VALUE!</v>
      </c>
      <c r="AL405" s="85" t="s">
        <v>1231</v>
      </c>
      <c r="AM405" s="77"/>
      <c r="AN405" s="87"/>
      <c r="AO405" s="180"/>
    </row>
    <row r="406" spans="1:41" s="288" customFormat="1" ht="30.75" customHeight="1">
      <c r="A406" s="233">
        <v>414</v>
      </c>
      <c r="B406" s="234">
        <v>44946</v>
      </c>
      <c r="C406" s="235" t="s">
        <v>454</v>
      </c>
      <c r="D406" s="217"/>
      <c r="E406" s="427"/>
      <c r="F406" s="167" t="s">
        <v>998</v>
      </c>
      <c r="G406" s="84" t="s">
        <v>1091</v>
      </c>
      <c r="H406" s="84" t="s">
        <v>1091</v>
      </c>
      <c r="I406" s="468" t="s">
        <v>168</v>
      </c>
      <c r="J406" s="84"/>
      <c r="K406" s="84"/>
      <c r="L406" s="84"/>
      <c r="M406" s="84"/>
      <c r="N406" s="216" t="s">
        <v>80</v>
      </c>
      <c r="O406" s="391">
        <v>1</v>
      </c>
      <c r="P406" s="77">
        <v>0</v>
      </c>
      <c r="Q406" s="77">
        <v>0</v>
      </c>
      <c r="R406" s="77">
        <v>0</v>
      </c>
      <c r="S406" s="77">
        <v>0</v>
      </c>
      <c r="T406" s="77">
        <v>0</v>
      </c>
      <c r="U406" s="77">
        <v>0</v>
      </c>
      <c r="V406" s="77">
        <v>0</v>
      </c>
      <c r="W406" s="77">
        <v>0</v>
      </c>
      <c r="X406" s="77">
        <v>0</v>
      </c>
      <c r="Y406" s="77">
        <f>0</f>
        <v>0</v>
      </c>
      <c r="Z406" s="392">
        <f>0</f>
        <v>0</v>
      </c>
      <c r="AA406" s="174">
        <f t="shared" si="19"/>
        <v>1</v>
      </c>
      <c r="AB406" s="175">
        <v>1</v>
      </c>
      <c r="AC406" s="172">
        <f t="shared" si="20"/>
        <v>0</v>
      </c>
      <c r="AD406" s="176">
        <v>44976</v>
      </c>
      <c r="AE406" s="177" t="s">
        <v>239</v>
      </c>
      <c r="AF406" s="84" t="s">
        <v>1442</v>
      </c>
      <c r="AG406" s="178"/>
      <c r="AH406" s="177"/>
      <c r="AI406" s="85" t="s">
        <v>1438</v>
      </c>
      <c r="AJ406" s="86" t="s">
        <v>284</v>
      </c>
      <c r="AK406" s="179" t="e">
        <f t="shared" si="18"/>
        <v>#VALUE!</v>
      </c>
      <c r="AL406" s="85" t="s">
        <v>1443</v>
      </c>
      <c r="AM406" s="77"/>
      <c r="AN406" s="87"/>
      <c r="AO406" s="180"/>
    </row>
    <row r="407" spans="1:41" s="428" customFormat="1" ht="52.5">
      <c r="A407" s="225">
        <v>415</v>
      </c>
      <c r="B407" s="234">
        <v>44946</v>
      </c>
      <c r="C407" s="235" t="s">
        <v>454</v>
      </c>
      <c r="D407" s="217"/>
      <c r="E407" s="217"/>
      <c r="F407" s="167" t="s">
        <v>999</v>
      </c>
      <c r="G407" s="84" t="s">
        <v>1092</v>
      </c>
      <c r="H407" s="84" t="s">
        <v>1092</v>
      </c>
      <c r="I407" s="232" t="s">
        <v>168</v>
      </c>
      <c r="J407" s="84"/>
      <c r="K407" s="84"/>
      <c r="L407" s="84"/>
      <c r="M407" s="84"/>
      <c r="N407" s="216" t="s">
        <v>80</v>
      </c>
      <c r="O407" s="391">
        <v>9</v>
      </c>
      <c r="P407" s="77">
        <v>0</v>
      </c>
      <c r="Q407" s="77">
        <v>0</v>
      </c>
      <c r="R407" s="77">
        <v>0</v>
      </c>
      <c r="S407" s="77">
        <v>0</v>
      </c>
      <c r="T407" s="77">
        <v>0</v>
      </c>
      <c r="U407" s="77">
        <v>0</v>
      </c>
      <c r="V407" s="77">
        <v>0</v>
      </c>
      <c r="W407" s="77">
        <v>0</v>
      </c>
      <c r="X407" s="77">
        <v>0</v>
      </c>
      <c r="Y407" s="77">
        <f>0</f>
        <v>0</v>
      </c>
      <c r="Z407" s="392">
        <f>0</f>
        <v>0</v>
      </c>
      <c r="AA407" s="174">
        <f t="shared" si="19"/>
        <v>9</v>
      </c>
      <c r="AB407" s="175">
        <v>6</v>
      </c>
      <c r="AC407" s="172">
        <f t="shared" si="20"/>
        <v>3</v>
      </c>
      <c r="AD407" s="176" t="s">
        <v>1550</v>
      </c>
      <c r="AE407" s="177" t="s">
        <v>239</v>
      </c>
      <c r="AF407" s="84" t="s">
        <v>1549</v>
      </c>
      <c r="AG407" s="178"/>
      <c r="AH407" s="177"/>
      <c r="AI407" s="88" t="s">
        <v>1438</v>
      </c>
      <c r="AJ407" s="86" t="s">
        <v>1602</v>
      </c>
      <c r="AK407" s="179" t="e">
        <f t="shared" si="18"/>
        <v>#VALUE!</v>
      </c>
      <c r="AL407" s="85" t="s">
        <v>1603</v>
      </c>
      <c r="AM407" s="77"/>
      <c r="AN407" s="87"/>
      <c r="AO407" s="180"/>
    </row>
    <row r="408" spans="1:41" s="288" customFormat="1" ht="30.75" customHeight="1">
      <c r="A408" s="233">
        <v>416</v>
      </c>
      <c r="B408" s="234">
        <v>44946</v>
      </c>
      <c r="C408" s="235" t="s">
        <v>454</v>
      </c>
      <c r="D408" s="217"/>
      <c r="E408" s="217"/>
      <c r="F408" s="167" t="s">
        <v>1000</v>
      </c>
      <c r="G408" s="84" t="s">
        <v>1093</v>
      </c>
      <c r="H408" s="84" t="s">
        <v>1093</v>
      </c>
      <c r="I408" s="469" t="s">
        <v>1184</v>
      </c>
      <c r="J408" s="84"/>
      <c r="K408" s="84"/>
      <c r="L408" s="84"/>
      <c r="M408" s="84"/>
      <c r="N408" s="216"/>
      <c r="O408" s="391">
        <v>1</v>
      </c>
      <c r="P408" s="77">
        <v>0</v>
      </c>
      <c r="Q408" s="77">
        <v>0</v>
      </c>
      <c r="R408" s="77">
        <v>0</v>
      </c>
      <c r="S408" s="77">
        <v>0</v>
      </c>
      <c r="T408" s="77">
        <v>0</v>
      </c>
      <c r="U408" s="77">
        <v>0</v>
      </c>
      <c r="V408" s="77">
        <v>0</v>
      </c>
      <c r="W408" s="77">
        <v>0</v>
      </c>
      <c r="X408" s="77">
        <v>0</v>
      </c>
      <c r="Y408" s="77">
        <f>0</f>
        <v>0</v>
      </c>
      <c r="Z408" s="392">
        <f>0</f>
        <v>0</v>
      </c>
      <c r="AA408" s="174">
        <f t="shared" si="19"/>
        <v>1</v>
      </c>
      <c r="AB408" s="175">
        <v>1</v>
      </c>
      <c r="AC408" s="172">
        <f t="shared" si="20"/>
        <v>0</v>
      </c>
      <c r="AD408" s="176"/>
      <c r="AE408" s="177" t="s">
        <v>529</v>
      </c>
      <c r="AF408" s="84" t="s">
        <v>44</v>
      </c>
      <c r="AG408" s="178"/>
      <c r="AH408" s="177"/>
      <c r="AI408" s="88"/>
      <c r="AJ408" s="86" t="s">
        <v>499</v>
      </c>
      <c r="AK408" s="179" t="e">
        <f t="shared" si="18"/>
        <v>#VALUE!</v>
      </c>
      <c r="AL408" s="85" t="s">
        <v>1231</v>
      </c>
      <c r="AM408" s="77"/>
      <c r="AN408" s="87"/>
      <c r="AO408" s="180"/>
    </row>
    <row r="409" spans="1:41" s="288" customFormat="1" ht="30.75" customHeight="1">
      <c r="A409" s="225">
        <v>417</v>
      </c>
      <c r="B409" s="234">
        <v>44946</v>
      </c>
      <c r="C409" s="235" t="s">
        <v>454</v>
      </c>
      <c r="D409" s="217"/>
      <c r="E409" s="427"/>
      <c r="F409" s="167" t="s">
        <v>1001</v>
      </c>
      <c r="G409" s="84" t="s">
        <v>1094</v>
      </c>
      <c r="H409" s="84" t="s">
        <v>1094</v>
      </c>
      <c r="I409" s="468" t="s">
        <v>168</v>
      </c>
      <c r="J409" s="84"/>
      <c r="K409" s="84"/>
      <c r="L409" s="84"/>
      <c r="M409" s="84"/>
      <c r="N409" s="216" t="s">
        <v>80</v>
      </c>
      <c r="O409" s="391">
        <v>1</v>
      </c>
      <c r="P409" s="77">
        <v>0</v>
      </c>
      <c r="Q409" s="77">
        <v>0</v>
      </c>
      <c r="R409" s="77">
        <v>0</v>
      </c>
      <c r="S409" s="77">
        <v>0</v>
      </c>
      <c r="T409" s="77">
        <v>0</v>
      </c>
      <c r="U409" s="77">
        <v>0</v>
      </c>
      <c r="V409" s="77">
        <v>0</v>
      </c>
      <c r="W409" s="77">
        <v>0</v>
      </c>
      <c r="X409" s="77">
        <v>0</v>
      </c>
      <c r="Y409" s="77">
        <f>0</f>
        <v>0</v>
      </c>
      <c r="Z409" s="392">
        <f>0</f>
        <v>0</v>
      </c>
      <c r="AA409" s="174">
        <f t="shared" si="19"/>
        <v>1</v>
      </c>
      <c r="AB409" s="175">
        <v>1</v>
      </c>
      <c r="AC409" s="172">
        <f t="shared" si="20"/>
        <v>0</v>
      </c>
      <c r="AD409" s="176">
        <v>44976</v>
      </c>
      <c r="AE409" s="177" t="s">
        <v>239</v>
      </c>
      <c r="AF409" s="84" t="s">
        <v>1440</v>
      </c>
      <c r="AG409" s="178"/>
      <c r="AH409" s="177"/>
      <c r="AI409" s="85" t="s">
        <v>1438</v>
      </c>
      <c r="AJ409" s="86" t="s">
        <v>284</v>
      </c>
      <c r="AK409" s="179" t="e">
        <f t="shared" si="18"/>
        <v>#VALUE!</v>
      </c>
      <c r="AL409" s="85" t="s">
        <v>1439</v>
      </c>
      <c r="AM409" s="77"/>
      <c r="AN409" s="87"/>
      <c r="AO409" s="180"/>
    </row>
    <row r="410" spans="1:41" s="428" customFormat="1" ht="35">
      <c r="A410" s="233">
        <v>418</v>
      </c>
      <c r="B410" s="234">
        <v>44946</v>
      </c>
      <c r="C410" s="235" t="s">
        <v>454</v>
      </c>
      <c r="D410" s="217"/>
      <c r="E410" s="217"/>
      <c r="F410" s="167" t="s">
        <v>1002</v>
      </c>
      <c r="G410" s="84" t="s">
        <v>1095</v>
      </c>
      <c r="H410" s="84" t="s">
        <v>1095</v>
      </c>
      <c r="I410" s="469" t="s">
        <v>1184</v>
      </c>
      <c r="J410" s="84"/>
      <c r="K410" s="84"/>
      <c r="L410" s="84"/>
      <c r="M410" s="84"/>
      <c r="N410" s="216"/>
      <c r="O410" s="391">
        <v>1</v>
      </c>
      <c r="P410" s="77">
        <v>0</v>
      </c>
      <c r="Q410" s="77">
        <v>0</v>
      </c>
      <c r="R410" s="77">
        <v>0</v>
      </c>
      <c r="S410" s="77">
        <v>0</v>
      </c>
      <c r="T410" s="77">
        <v>0</v>
      </c>
      <c r="U410" s="77">
        <v>0</v>
      </c>
      <c r="V410" s="77">
        <v>0</v>
      </c>
      <c r="W410" s="77">
        <v>0</v>
      </c>
      <c r="X410" s="77">
        <v>0</v>
      </c>
      <c r="Y410" s="77">
        <f>0</f>
        <v>0</v>
      </c>
      <c r="Z410" s="392">
        <f>0</f>
        <v>0</v>
      </c>
      <c r="AA410" s="174">
        <f t="shared" si="19"/>
        <v>1</v>
      </c>
      <c r="AB410" s="175">
        <v>1</v>
      </c>
      <c r="AC410" s="172">
        <f t="shared" si="20"/>
        <v>0</v>
      </c>
      <c r="AD410" s="176"/>
      <c r="AE410" s="177" t="s">
        <v>529</v>
      </c>
      <c r="AF410" s="84" t="s">
        <v>44</v>
      </c>
      <c r="AG410" s="178"/>
      <c r="AH410" s="177"/>
      <c r="AI410" s="88"/>
      <c r="AJ410" s="86" t="s">
        <v>499</v>
      </c>
      <c r="AK410" s="179" t="e">
        <f t="shared" si="18"/>
        <v>#VALUE!</v>
      </c>
      <c r="AL410" s="85" t="s">
        <v>1231</v>
      </c>
      <c r="AM410" s="77"/>
      <c r="AN410" s="87"/>
      <c r="AO410" s="180"/>
    </row>
    <row r="411" spans="1:41" s="288" customFormat="1" ht="30.75" customHeight="1">
      <c r="A411" s="225">
        <v>419</v>
      </c>
      <c r="B411" s="234">
        <v>44946</v>
      </c>
      <c r="C411" s="235" t="s">
        <v>454</v>
      </c>
      <c r="D411" s="217"/>
      <c r="E411" s="217"/>
      <c r="F411" s="167" t="s">
        <v>1003</v>
      </c>
      <c r="G411" s="84" t="s">
        <v>571</v>
      </c>
      <c r="H411" s="84" t="s">
        <v>571</v>
      </c>
      <c r="I411" s="223" t="s">
        <v>1184</v>
      </c>
      <c r="J411" s="84"/>
      <c r="K411" s="84"/>
      <c r="L411" s="84"/>
      <c r="M411" s="84"/>
      <c r="N411" s="216" t="s">
        <v>80</v>
      </c>
      <c r="O411" s="391">
        <v>1</v>
      </c>
      <c r="P411" s="77">
        <v>0</v>
      </c>
      <c r="Q411" s="77">
        <v>0</v>
      </c>
      <c r="R411" s="77">
        <v>0</v>
      </c>
      <c r="S411" s="77">
        <v>0</v>
      </c>
      <c r="T411" s="77">
        <v>0</v>
      </c>
      <c r="U411" s="77">
        <v>0</v>
      </c>
      <c r="V411" s="77">
        <v>0</v>
      </c>
      <c r="W411" s="77">
        <v>0</v>
      </c>
      <c r="X411" s="77">
        <v>0</v>
      </c>
      <c r="Y411" s="77">
        <f>0</f>
        <v>0</v>
      </c>
      <c r="Z411" s="392">
        <f>0</f>
        <v>0</v>
      </c>
      <c r="AA411" s="174">
        <f t="shared" si="19"/>
        <v>1</v>
      </c>
      <c r="AB411" s="175"/>
      <c r="AC411" s="172">
        <f t="shared" si="20"/>
        <v>1</v>
      </c>
      <c r="AD411" s="176"/>
      <c r="AE411" s="177"/>
      <c r="AF411" s="84" t="s">
        <v>292</v>
      </c>
      <c r="AG411" s="178"/>
      <c r="AH411" s="177"/>
      <c r="AI411" s="85"/>
      <c r="AJ411" s="86" t="s">
        <v>499</v>
      </c>
      <c r="AK411" s="179" t="e">
        <f t="shared" si="18"/>
        <v>#VALUE!</v>
      </c>
      <c r="AL411" s="85"/>
      <c r="AM411" s="77"/>
      <c r="AN411" s="87"/>
      <c r="AO411" s="180"/>
    </row>
    <row r="412" spans="1:41" s="288" customFormat="1" ht="30.75" customHeight="1">
      <c r="A412" s="233">
        <v>420</v>
      </c>
      <c r="B412" s="234">
        <v>44946</v>
      </c>
      <c r="C412" s="235" t="s">
        <v>454</v>
      </c>
      <c r="D412" s="217"/>
      <c r="E412" s="217"/>
      <c r="F412" s="167" t="s">
        <v>1004</v>
      </c>
      <c r="G412" s="84" t="s">
        <v>1096</v>
      </c>
      <c r="H412" s="84" t="s">
        <v>1096</v>
      </c>
      <c r="I412" s="223" t="s">
        <v>1184</v>
      </c>
      <c r="J412" s="84"/>
      <c r="K412" s="84"/>
      <c r="L412" s="84"/>
      <c r="M412" s="84"/>
      <c r="N412" s="216"/>
      <c r="O412" s="391">
        <v>2</v>
      </c>
      <c r="P412" s="77">
        <v>0</v>
      </c>
      <c r="Q412" s="77">
        <v>0</v>
      </c>
      <c r="R412" s="77">
        <v>0</v>
      </c>
      <c r="S412" s="77">
        <v>0</v>
      </c>
      <c r="T412" s="77">
        <v>0</v>
      </c>
      <c r="U412" s="77">
        <v>0</v>
      </c>
      <c r="V412" s="77">
        <v>0</v>
      </c>
      <c r="W412" s="77">
        <v>0</v>
      </c>
      <c r="X412" s="77">
        <v>0</v>
      </c>
      <c r="Y412" s="77">
        <f>0</f>
        <v>0</v>
      </c>
      <c r="Z412" s="392">
        <f>0</f>
        <v>0</v>
      </c>
      <c r="AA412" s="174">
        <f t="shared" si="19"/>
        <v>2</v>
      </c>
      <c r="AB412" s="175">
        <v>2</v>
      </c>
      <c r="AC412" s="172">
        <f t="shared" si="20"/>
        <v>0</v>
      </c>
      <c r="AD412" s="176"/>
      <c r="AE412" s="177" t="s">
        <v>529</v>
      </c>
      <c r="AF412" s="84" t="s">
        <v>44</v>
      </c>
      <c r="AG412" s="178"/>
      <c r="AH412" s="177"/>
      <c r="AI412" s="85"/>
      <c r="AJ412" s="86" t="s">
        <v>499</v>
      </c>
      <c r="AK412" s="179" t="e">
        <f t="shared" si="18"/>
        <v>#VALUE!</v>
      </c>
      <c r="AL412" s="85" t="s">
        <v>1231</v>
      </c>
      <c r="AM412" s="77"/>
      <c r="AN412" s="87"/>
      <c r="AO412" s="180"/>
    </row>
    <row r="413" spans="1:41" s="288" customFormat="1" ht="30.75" customHeight="1">
      <c r="A413" s="225">
        <v>421</v>
      </c>
      <c r="B413" s="234">
        <v>44946</v>
      </c>
      <c r="C413" s="235" t="s">
        <v>454</v>
      </c>
      <c r="D413" s="217"/>
      <c r="E413" s="217"/>
      <c r="F413" s="167" t="s">
        <v>1005</v>
      </c>
      <c r="G413" s="84" t="s">
        <v>1097</v>
      </c>
      <c r="H413" s="84" t="s">
        <v>1097</v>
      </c>
      <c r="I413" s="223" t="s">
        <v>1184</v>
      </c>
      <c r="J413" s="84"/>
      <c r="K413" s="84"/>
      <c r="L413" s="84"/>
      <c r="M413" s="84"/>
      <c r="N413" s="216"/>
      <c r="O413" s="391">
        <v>2</v>
      </c>
      <c r="P413" s="77">
        <v>0</v>
      </c>
      <c r="Q413" s="77">
        <v>0</v>
      </c>
      <c r="R413" s="77">
        <v>0</v>
      </c>
      <c r="S413" s="77">
        <v>0</v>
      </c>
      <c r="T413" s="77">
        <v>0</v>
      </c>
      <c r="U413" s="77">
        <v>0</v>
      </c>
      <c r="V413" s="77">
        <v>0</v>
      </c>
      <c r="W413" s="77">
        <v>0</v>
      </c>
      <c r="X413" s="77">
        <v>0</v>
      </c>
      <c r="Y413" s="77">
        <f>0</f>
        <v>0</v>
      </c>
      <c r="Z413" s="392">
        <f>0</f>
        <v>0</v>
      </c>
      <c r="AA413" s="174">
        <f t="shared" si="19"/>
        <v>2</v>
      </c>
      <c r="AB413" s="175">
        <v>2</v>
      </c>
      <c r="AC413" s="172">
        <f t="shared" si="20"/>
        <v>0</v>
      </c>
      <c r="AD413" s="176"/>
      <c r="AE413" s="177" t="s">
        <v>529</v>
      </c>
      <c r="AF413" s="84" t="s">
        <v>44</v>
      </c>
      <c r="AG413" s="178"/>
      <c r="AH413" s="177"/>
      <c r="AI413" s="85"/>
      <c r="AJ413" s="86" t="s">
        <v>499</v>
      </c>
      <c r="AK413" s="179" t="e">
        <f t="shared" si="18"/>
        <v>#VALUE!</v>
      </c>
      <c r="AL413" s="85" t="s">
        <v>1231</v>
      </c>
      <c r="AM413" s="77"/>
      <c r="AN413" s="87"/>
      <c r="AO413" s="180"/>
    </row>
    <row r="414" spans="1:41" s="288" customFormat="1" ht="30.75" customHeight="1">
      <c r="A414" s="233">
        <v>422</v>
      </c>
      <c r="B414" s="234">
        <v>44946</v>
      </c>
      <c r="C414" s="235" t="s">
        <v>454</v>
      </c>
      <c r="D414" s="217"/>
      <c r="E414" s="217"/>
      <c r="F414" s="167" t="s">
        <v>1006</v>
      </c>
      <c r="G414" s="84" t="s">
        <v>1098</v>
      </c>
      <c r="H414" s="84" t="s">
        <v>1098</v>
      </c>
      <c r="I414" s="223" t="s">
        <v>1185</v>
      </c>
      <c r="J414" s="84"/>
      <c r="K414" s="84"/>
      <c r="L414" s="84"/>
      <c r="M414" s="84"/>
      <c r="N414" s="216"/>
      <c r="O414" s="323">
        <v>1</v>
      </c>
      <c r="P414" s="151">
        <v>0</v>
      </c>
      <c r="Q414" s="151">
        <v>0</v>
      </c>
      <c r="R414" s="151">
        <v>0</v>
      </c>
      <c r="S414" s="151">
        <v>0</v>
      </c>
      <c r="T414" s="151">
        <v>0</v>
      </c>
      <c r="U414" s="151">
        <v>0</v>
      </c>
      <c r="V414" s="151">
        <v>0</v>
      </c>
      <c r="W414" s="151">
        <v>0</v>
      </c>
      <c r="X414" s="151">
        <v>0</v>
      </c>
      <c r="Y414" s="151">
        <f>0</f>
        <v>0</v>
      </c>
      <c r="Z414" s="200">
        <f>0</f>
        <v>0</v>
      </c>
      <c r="AA414" s="142">
        <f t="shared" si="19"/>
        <v>1</v>
      </c>
      <c r="AB414" s="123">
        <v>1</v>
      </c>
      <c r="AC414" s="154">
        <f t="shared" si="20"/>
        <v>0</v>
      </c>
      <c r="AD414" s="176"/>
      <c r="AE414" s="177" t="s">
        <v>529</v>
      </c>
      <c r="AF414" s="84" t="s">
        <v>44</v>
      </c>
      <c r="AG414" s="178"/>
      <c r="AH414" s="177"/>
      <c r="AI414" s="85"/>
      <c r="AJ414" s="86" t="s">
        <v>499</v>
      </c>
      <c r="AK414" s="179" t="e">
        <f t="shared" si="18"/>
        <v>#VALUE!</v>
      </c>
      <c r="AL414" s="85" t="s">
        <v>1231</v>
      </c>
      <c r="AM414" s="77"/>
      <c r="AN414" s="87"/>
      <c r="AO414" s="180"/>
    </row>
    <row r="415" spans="1:41" s="288" customFormat="1" ht="30.75" customHeight="1">
      <c r="A415" s="225">
        <v>423</v>
      </c>
      <c r="B415" s="234">
        <v>44946</v>
      </c>
      <c r="C415" s="235" t="s">
        <v>454</v>
      </c>
      <c r="D415" s="217"/>
      <c r="E415" s="217"/>
      <c r="F415" s="167" t="s">
        <v>1007</v>
      </c>
      <c r="G415" s="84" t="s">
        <v>1099</v>
      </c>
      <c r="H415" s="84" t="s">
        <v>1099</v>
      </c>
      <c r="I415" s="223" t="s">
        <v>188</v>
      </c>
      <c r="J415" s="84"/>
      <c r="K415" s="84"/>
      <c r="L415" s="84"/>
      <c r="M415" s="84"/>
      <c r="N415" s="216"/>
      <c r="O415" s="323">
        <v>1</v>
      </c>
      <c r="P415" s="151">
        <v>0</v>
      </c>
      <c r="Q415" s="151">
        <v>0</v>
      </c>
      <c r="R415" s="151">
        <v>0</v>
      </c>
      <c r="S415" s="151">
        <v>0</v>
      </c>
      <c r="T415" s="151">
        <v>0</v>
      </c>
      <c r="U415" s="151">
        <v>0</v>
      </c>
      <c r="V415" s="151">
        <v>0</v>
      </c>
      <c r="W415" s="151">
        <v>0</v>
      </c>
      <c r="X415" s="151">
        <v>0</v>
      </c>
      <c r="Y415" s="151">
        <f>0</f>
        <v>0</v>
      </c>
      <c r="Z415" s="200">
        <f>0</f>
        <v>0</v>
      </c>
      <c r="AA415" s="142">
        <f t="shared" si="19"/>
        <v>1</v>
      </c>
      <c r="AB415" s="123"/>
      <c r="AC415" s="154">
        <f t="shared" si="20"/>
        <v>1</v>
      </c>
      <c r="AD415" s="176">
        <v>44964</v>
      </c>
      <c r="AE415" s="177" t="s">
        <v>529</v>
      </c>
      <c r="AF415" s="84" t="s">
        <v>1326</v>
      </c>
      <c r="AG415" s="178"/>
      <c r="AH415" s="177" t="s">
        <v>1327</v>
      </c>
      <c r="AI415" s="85"/>
      <c r="AJ415" s="86">
        <v>1</v>
      </c>
      <c r="AK415" s="179">
        <f t="shared" si="18"/>
        <v>0</v>
      </c>
      <c r="AL415" s="85" t="s">
        <v>1422</v>
      </c>
      <c r="AM415" s="77"/>
      <c r="AN415" s="87"/>
      <c r="AO415" s="180"/>
    </row>
    <row r="416" spans="1:41" s="288" customFormat="1" ht="30.75" customHeight="1">
      <c r="A416" s="233">
        <v>424</v>
      </c>
      <c r="B416" s="234">
        <v>44946</v>
      </c>
      <c r="C416" s="235" t="s">
        <v>454</v>
      </c>
      <c r="D416" s="217"/>
      <c r="E416" s="217"/>
      <c r="F416" s="167" t="s">
        <v>1008</v>
      </c>
      <c r="G416" s="84" t="s">
        <v>1100</v>
      </c>
      <c r="H416" s="84" t="s">
        <v>1100</v>
      </c>
      <c r="I416" s="223" t="s">
        <v>188</v>
      </c>
      <c r="J416" s="84"/>
      <c r="K416" s="84"/>
      <c r="L416" s="84"/>
      <c r="M416" s="84"/>
      <c r="N416" s="216"/>
      <c r="O416" s="323">
        <v>3</v>
      </c>
      <c r="P416" s="151">
        <v>0</v>
      </c>
      <c r="Q416" s="151">
        <v>0</v>
      </c>
      <c r="R416" s="151">
        <v>0</v>
      </c>
      <c r="S416" s="151">
        <v>0</v>
      </c>
      <c r="T416" s="151">
        <v>0</v>
      </c>
      <c r="U416" s="151">
        <v>0</v>
      </c>
      <c r="V416" s="151">
        <v>0</v>
      </c>
      <c r="W416" s="151">
        <v>0</v>
      </c>
      <c r="X416" s="151">
        <v>0</v>
      </c>
      <c r="Y416" s="151">
        <f>0</f>
        <v>0</v>
      </c>
      <c r="Z416" s="200">
        <f>0</f>
        <v>0</v>
      </c>
      <c r="AA416" s="142">
        <f t="shared" si="19"/>
        <v>3</v>
      </c>
      <c r="AB416" s="123"/>
      <c r="AC416" s="154">
        <f t="shared" si="20"/>
        <v>3</v>
      </c>
      <c r="AD416" s="176">
        <v>44964</v>
      </c>
      <c r="AE416" s="177" t="s">
        <v>529</v>
      </c>
      <c r="AF416" s="84" t="s">
        <v>1326</v>
      </c>
      <c r="AG416" s="178"/>
      <c r="AH416" s="177" t="s">
        <v>1327</v>
      </c>
      <c r="AI416" s="85"/>
      <c r="AJ416" s="86">
        <v>3</v>
      </c>
      <c r="AK416" s="179">
        <f t="shared" si="18"/>
        <v>0</v>
      </c>
      <c r="AL416" s="85" t="s">
        <v>1422</v>
      </c>
      <c r="AM416" s="77"/>
      <c r="AN416" s="87"/>
      <c r="AO416" s="180"/>
    </row>
    <row r="417" spans="1:41" s="288" customFormat="1" ht="30.75" customHeight="1">
      <c r="A417" s="225">
        <v>425</v>
      </c>
      <c r="B417" s="234">
        <v>44946</v>
      </c>
      <c r="C417" s="235" t="s">
        <v>454</v>
      </c>
      <c r="D417" s="217"/>
      <c r="E417" s="217"/>
      <c r="F417" s="167" t="s">
        <v>1009</v>
      </c>
      <c r="G417" s="84" t="s">
        <v>1101</v>
      </c>
      <c r="H417" s="84" t="s">
        <v>1101</v>
      </c>
      <c r="I417" s="223" t="s">
        <v>188</v>
      </c>
      <c r="J417" s="84"/>
      <c r="K417" s="84"/>
      <c r="L417" s="84"/>
      <c r="M417" s="84"/>
      <c r="N417" s="216"/>
      <c r="O417" s="323">
        <v>7</v>
      </c>
      <c r="P417" s="151">
        <v>0</v>
      </c>
      <c r="Q417" s="151">
        <v>0</v>
      </c>
      <c r="R417" s="151">
        <v>0</v>
      </c>
      <c r="S417" s="151">
        <v>0</v>
      </c>
      <c r="T417" s="151">
        <v>0</v>
      </c>
      <c r="U417" s="151">
        <v>0</v>
      </c>
      <c r="V417" s="151">
        <v>0</v>
      </c>
      <c r="W417" s="151">
        <v>0</v>
      </c>
      <c r="X417" s="151">
        <v>0</v>
      </c>
      <c r="Y417" s="151">
        <f>0</f>
        <v>0</v>
      </c>
      <c r="Z417" s="200">
        <f>0</f>
        <v>0</v>
      </c>
      <c r="AA417" s="142">
        <f t="shared" si="19"/>
        <v>7</v>
      </c>
      <c r="AB417" s="123">
        <v>1</v>
      </c>
      <c r="AC417" s="154">
        <f t="shared" si="20"/>
        <v>6</v>
      </c>
      <c r="AD417" s="176">
        <v>44964</v>
      </c>
      <c r="AE417" s="177" t="s">
        <v>529</v>
      </c>
      <c r="AF417" s="84" t="s">
        <v>1326</v>
      </c>
      <c r="AG417" s="178"/>
      <c r="AH417" s="177" t="s">
        <v>1327</v>
      </c>
      <c r="AI417" s="85"/>
      <c r="AJ417" s="86">
        <v>6</v>
      </c>
      <c r="AK417" s="179">
        <f t="shared" si="18"/>
        <v>0</v>
      </c>
      <c r="AL417" s="85" t="s">
        <v>1423</v>
      </c>
      <c r="AM417" s="77"/>
      <c r="AN417" s="87"/>
      <c r="AO417" s="180"/>
    </row>
    <row r="418" spans="1:41" s="288" customFormat="1" ht="30.75" customHeight="1">
      <c r="A418" s="233">
        <v>426</v>
      </c>
      <c r="B418" s="234">
        <v>44946</v>
      </c>
      <c r="C418" s="235" t="s">
        <v>454</v>
      </c>
      <c r="D418" s="217"/>
      <c r="E418" s="217"/>
      <c r="F418" s="167" t="s">
        <v>1009</v>
      </c>
      <c r="G418" s="84" t="s">
        <v>1102</v>
      </c>
      <c r="H418" s="84" t="s">
        <v>1102</v>
      </c>
      <c r="I418" s="223" t="s">
        <v>188</v>
      </c>
      <c r="J418" s="84"/>
      <c r="K418" s="84"/>
      <c r="L418" s="84"/>
      <c r="M418" s="84"/>
      <c r="N418" s="216"/>
      <c r="O418" s="323">
        <v>11</v>
      </c>
      <c r="P418" s="151">
        <v>0</v>
      </c>
      <c r="Q418" s="151">
        <v>0</v>
      </c>
      <c r="R418" s="151">
        <v>0</v>
      </c>
      <c r="S418" s="151">
        <v>0</v>
      </c>
      <c r="T418" s="151">
        <v>0</v>
      </c>
      <c r="U418" s="151">
        <v>0</v>
      </c>
      <c r="V418" s="151">
        <v>0</v>
      </c>
      <c r="W418" s="151">
        <v>0</v>
      </c>
      <c r="X418" s="151">
        <v>0</v>
      </c>
      <c r="Y418" s="151">
        <f>0</f>
        <v>0</v>
      </c>
      <c r="Z418" s="200">
        <f>0</f>
        <v>0</v>
      </c>
      <c r="AA418" s="142">
        <f t="shared" si="19"/>
        <v>11</v>
      </c>
      <c r="AB418" s="123"/>
      <c r="AC418" s="154">
        <f t="shared" si="20"/>
        <v>11</v>
      </c>
      <c r="AD418" s="176">
        <v>44964</v>
      </c>
      <c r="AE418" s="177" t="s">
        <v>529</v>
      </c>
      <c r="AF418" s="84" t="s">
        <v>1326</v>
      </c>
      <c r="AG418" s="178"/>
      <c r="AH418" s="177" t="s">
        <v>1327</v>
      </c>
      <c r="AI418" s="85"/>
      <c r="AJ418" s="86">
        <v>11</v>
      </c>
      <c r="AK418" s="179">
        <f t="shared" si="18"/>
        <v>0</v>
      </c>
      <c r="AL418" s="85" t="s">
        <v>1422</v>
      </c>
      <c r="AM418" s="77"/>
      <c r="AN418" s="87"/>
      <c r="AO418" s="180"/>
    </row>
    <row r="419" spans="1:41" s="288" customFormat="1" ht="30.75" customHeight="1">
      <c r="A419" s="225">
        <v>427</v>
      </c>
      <c r="B419" s="234">
        <v>44946</v>
      </c>
      <c r="C419" s="235" t="s">
        <v>454</v>
      </c>
      <c r="D419" s="217"/>
      <c r="E419" s="217"/>
      <c r="F419" s="167" t="s">
        <v>1010</v>
      </c>
      <c r="G419" s="84" t="s">
        <v>1103</v>
      </c>
      <c r="H419" s="84" t="s">
        <v>1103</v>
      </c>
      <c r="I419" s="223" t="s">
        <v>188</v>
      </c>
      <c r="J419" s="84"/>
      <c r="K419" s="84"/>
      <c r="L419" s="84"/>
      <c r="M419" s="84"/>
      <c r="N419" s="216"/>
      <c r="O419" s="323">
        <v>1</v>
      </c>
      <c r="P419" s="151">
        <v>0</v>
      </c>
      <c r="Q419" s="151">
        <v>0</v>
      </c>
      <c r="R419" s="151">
        <v>0</v>
      </c>
      <c r="S419" s="151">
        <v>0</v>
      </c>
      <c r="T419" s="151">
        <v>0</v>
      </c>
      <c r="U419" s="151">
        <v>0</v>
      </c>
      <c r="V419" s="151">
        <v>0</v>
      </c>
      <c r="W419" s="151">
        <v>0</v>
      </c>
      <c r="X419" s="151">
        <v>0</v>
      </c>
      <c r="Y419" s="151">
        <f>0</f>
        <v>0</v>
      </c>
      <c r="Z419" s="200">
        <f>0</f>
        <v>0</v>
      </c>
      <c r="AA419" s="142">
        <f t="shared" si="19"/>
        <v>1</v>
      </c>
      <c r="AB419" s="123"/>
      <c r="AC419" s="154">
        <f t="shared" si="20"/>
        <v>1</v>
      </c>
      <c r="AD419" s="176">
        <v>44964</v>
      </c>
      <c r="AE419" s="177" t="s">
        <v>529</v>
      </c>
      <c r="AF419" s="84" t="s">
        <v>1326</v>
      </c>
      <c r="AG419" s="178"/>
      <c r="AH419" s="177" t="s">
        <v>1327</v>
      </c>
      <c r="AI419" s="85"/>
      <c r="AJ419" s="86">
        <v>1</v>
      </c>
      <c r="AK419" s="179">
        <f t="shared" si="18"/>
        <v>0</v>
      </c>
      <c r="AL419" s="85" t="s">
        <v>1422</v>
      </c>
      <c r="AM419" s="77"/>
      <c r="AN419" s="87"/>
      <c r="AO419" s="180"/>
    </row>
    <row r="420" spans="1:41" s="288" customFormat="1" ht="30.75" customHeight="1">
      <c r="A420" s="233">
        <v>428</v>
      </c>
      <c r="B420" s="234">
        <v>44946</v>
      </c>
      <c r="C420" s="235" t="s">
        <v>454</v>
      </c>
      <c r="D420" s="217"/>
      <c r="E420" s="217"/>
      <c r="F420" s="167" t="s">
        <v>1009</v>
      </c>
      <c r="G420" s="84" t="s">
        <v>1104</v>
      </c>
      <c r="H420" s="84" t="s">
        <v>1104</v>
      </c>
      <c r="I420" s="223" t="s">
        <v>188</v>
      </c>
      <c r="J420" s="84"/>
      <c r="K420" s="84"/>
      <c r="L420" s="84"/>
      <c r="M420" s="84"/>
      <c r="N420" s="216"/>
      <c r="O420" s="323">
        <v>2</v>
      </c>
      <c r="P420" s="151">
        <v>0</v>
      </c>
      <c r="Q420" s="151">
        <v>0</v>
      </c>
      <c r="R420" s="151">
        <v>0</v>
      </c>
      <c r="S420" s="151">
        <v>0</v>
      </c>
      <c r="T420" s="151">
        <v>0</v>
      </c>
      <c r="U420" s="151">
        <v>0</v>
      </c>
      <c r="V420" s="151">
        <v>0</v>
      </c>
      <c r="W420" s="151">
        <v>0</v>
      </c>
      <c r="X420" s="151">
        <v>0</v>
      </c>
      <c r="Y420" s="151">
        <f>0</f>
        <v>0</v>
      </c>
      <c r="Z420" s="200">
        <f>0</f>
        <v>0</v>
      </c>
      <c r="AA420" s="142">
        <f t="shared" si="19"/>
        <v>2</v>
      </c>
      <c r="AB420" s="123"/>
      <c r="AC420" s="154">
        <f t="shared" si="20"/>
        <v>2</v>
      </c>
      <c r="AD420" s="176">
        <v>44964</v>
      </c>
      <c r="AE420" s="177" t="s">
        <v>529</v>
      </c>
      <c r="AF420" s="84" t="s">
        <v>1326</v>
      </c>
      <c r="AG420" s="178"/>
      <c r="AH420" s="177" t="s">
        <v>1327</v>
      </c>
      <c r="AI420" s="85"/>
      <c r="AJ420" s="86">
        <v>2</v>
      </c>
      <c r="AK420" s="179">
        <f t="shared" si="18"/>
        <v>0</v>
      </c>
      <c r="AL420" s="85" t="s">
        <v>1422</v>
      </c>
      <c r="AM420" s="77"/>
      <c r="AN420" s="87"/>
      <c r="AO420" s="180"/>
    </row>
    <row r="421" spans="1:41" s="288" customFormat="1" ht="30.75" customHeight="1">
      <c r="A421" s="225">
        <v>429</v>
      </c>
      <c r="B421" s="234">
        <v>44946</v>
      </c>
      <c r="C421" s="235" t="s">
        <v>454</v>
      </c>
      <c r="D421" s="217"/>
      <c r="E421" s="217"/>
      <c r="F421" s="167" t="s">
        <v>1011</v>
      </c>
      <c r="G421" s="84" t="s">
        <v>1105</v>
      </c>
      <c r="H421" s="84" t="s">
        <v>1105</v>
      </c>
      <c r="I421" s="223" t="s">
        <v>188</v>
      </c>
      <c r="J421" s="84"/>
      <c r="K421" s="84"/>
      <c r="L421" s="84"/>
      <c r="M421" s="84"/>
      <c r="N421" s="216"/>
      <c r="O421" s="323">
        <v>1</v>
      </c>
      <c r="P421" s="151">
        <v>0</v>
      </c>
      <c r="Q421" s="151">
        <v>0</v>
      </c>
      <c r="R421" s="151">
        <v>0</v>
      </c>
      <c r="S421" s="151">
        <v>0</v>
      </c>
      <c r="T421" s="151">
        <v>0</v>
      </c>
      <c r="U421" s="151">
        <v>0</v>
      </c>
      <c r="V421" s="151">
        <v>0</v>
      </c>
      <c r="W421" s="151">
        <v>0</v>
      </c>
      <c r="X421" s="151">
        <v>0</v>
      </c>
      <c r="Y421" s="151">
        <f>0</f>
        <v>0</v>
      </c>
      <c r="Z421" s="200">
        <f>0</f>
        <v>0</v>
      </c>
      <c r="AA421" s="142">
        <f t="shared" si="19"/>
        <v>1</v>
      </c>
      <c r="AB421" s="123"/>
      <c r="AC421" s="154">
        <f t="shared" si="20"/>
        <v>1</v>
      </c>
      <c r="AD421" s="176">
        <v>44964</v>
      </c>
      <c r="AE421" s="177" t="s">
        <v>529</v>
      </c>
      <c r="AF421" s="84" t="s">
        <v>1326</v>
      </c>
      <c r="AG421" s="178"/>
      <c r="AH421" s="177" t="s">
        <v>1327</v>
      </c>
      <c r="AI421" s="85"/>
      <c r="AJ421" s="86">
        <v>1</v>
      </c>
      <c r="AK421" s="179">
        <f t="shared" si="18"/>
        <v>0</v>
      </c>
      <c r="AL421" s="85" t="s">
        <v>1422</v>
      </c>
      <c r="AM421" s="77"/>
      <c r="AN421" s="87"/>
      <c r="AO421" s="180"/>
    </row>
    <row r="422" spans="1:41" s="288" customFormat="1" ht="30.75" customHeight="1">
      <c r="A422" s="233">
        <v>430</v>
      </c>
      <c r="B422" s="234">
        <v>44946</v>
      </c>
      <c r="C422" s="235" t="s">
        <v>454</v>
      </c>
      <c r="D422" s="217"/>
      <c r="E422" s="217"/>
      <c r="F422" s="167" t="s">
        <v>1012</v>
      </c>
      <c r="G422" s="84" t="s">
        <v>1106</v>
      </c>
      <c r="H422" s="84" t="s">
        <v>1106</v>
      </c>
      <c r="I422" s="223" t="s">
        <v>188</v>
      </c>
      <c r="J422" s="84"/>
      <c r="K422" s="84"/>
      <c r="L422" s="84"/>
      <c r="M422" s="84"/>
      <c r="N422" s="216"/>
      <c r="O422" s="323">
        <v>2</v>
      </c>
      <c r="P422" s="151">
        <v>0</v>
      </c>
      <c r="Q422" s="151">
        <v>0</v>
      </c>
      <c r="R422" s="151">
        <v>0</v>
      </c>
      <c r="S422" s="151">
        <v>0</v>
      </c>
      <c r="T422" s="151">
        <v>0</v>
      </c>
      <c r="U422" s="151">
        <v>0</v>
      </c>
      <c r="V422" s="151">
        <v>0</v>
      </c>
      <c r="W422" s="151">
        <v>0</v>
      </c>
      <c r="X422" s="151">
        <v>0</v>
      </c>
      <c r="Y422" s="151">
        <f>0</f>
        <v>0</v>
      </c>
      <c r="Z422" s="200">
        <f>0</f>
        <v>0</v>
      </c>
      <c r="AA422" s="142">
        <f t="shared" si="19"/>
        <v>2</v>
      </c>
      <c r="AB422" s="123"/>
      <c r="AC422" s="154">
        <f t="shared" si="20"/>
        <v>2</v>
      </c>
      <c r="AD422" s="176">
        <v>44964</v>
      </c>
      <c r="AE422" s="177" t="s">
        <v>529</v>
      </c>
      <c r="AF422" s="84" t="s">
        <v>1326</v>
      </c>
      <c r="AG422" s="178"/>
      <c r="AH422" s="177" t="s">
        <v>1327</v>
      </c>
      <c r="AI422" s="85"/>
      <c r="AJ422" s="86">
        <v>2</v>
      </c>
      <c r="AK422" s="179">
        <f t="shared" si="18"/>
        <v>0</v>
      </c>
      <c r="AL422" s="85" t="s">
        <v>1422</v>
      </c>
      <c r="AM422" s="77"/>
      <c r="AN422" s="87"/>
      <c r="AO422" s="180"/>
    </row>
    <row r="423" spans="1:41" s="288" customFormat="1" ht="30.75" customHeight="1">
      <c r="A423" s="225">
        <v>431</v>
      </c>
      <c r="B423" s="234">
        <v>44946</v>
      </c>
      <c r="C423" s="235" t="s">
        <v>454</v>
      </c>
      <c r="D423" s="217"/>
      <c r="E423" s="217"/>
      <c r="F423" s="167" t="s">
        <v>1013</v>
      </c>
      <c r="G423" s="84" t="s">
        <v>1107</v>
      </c>
      <c r="H423" s="84" t="s">
        <v>1107</v>
      </c>
      <c r="I423" s="223" t="s">
        <v>188</v>
      </c>
      <c r="J423" s="84"/>
      <c r="K423" s="84"/>
      <c r="L423" s="84"/>
      <c r="M423" s="84"/>
      <c r="N423" s="216"/>
      <c r="O423" s="323">
        <v>2</v>
      </c>
      <c r="P423" s="151">
        <v>0</v>
      </c>
      <c r="Q423" s="151">
        <v>0</v>
      </c>
      <c r="R423" s="151">
        <v>0</v>
      </c>
      <c r="S423" s="151">
        <v>0</v>
      </c>
      <c r="T423" s="151">
        <v>0</v>
      </c>
      <c r="U423" s="151">
        <v>0</v>
      </c>
      <c r="V423" s="151">
        <v>0</v>
      </c>
      <c r="W423" s="151">
        <v>0</v>
      </c>
      <c r="X423" s="151">
        <v>0</v>
      </c>
      <c r="Y423" s="151">
        <f>0</f>
        <v>0</v>
      </c>
      <c r="Z423" s="200">
        <f>0</f>
        <v>0</v>
      </c>
      <c r="AA423" s="142">
        <f t="shared" si="19"/>
        <v>2</v>
      </c>
      <c r="AB423" s="123">
        <v>1</v>
      </c>
      <c r="AC423" s="154">
        <f t="shared" si="20"/>
        <v>1</v>
      </c>
      <c r="AD423" s="176">
        <v>44964</v>
      </c>
      <c r="AE423" s="177" t="s">
        <v>529</v>
      </c>
      <c r="AF423" s="84" t="s">
        <v>1326</v>
      </c>
      <c r="AG423" s="178"/>
      <c r="AH423" s="177" t="s">
        <v>1327</v>
      </c>
      <c r="AI423" s="85"/>
      <c r="AJ423" s="86">
        <v>1</v>
      </c>
      <c r="AK423" s="179">
        <f t="shared" si="18"/>
        <v>0</v>
      </c>
      <c r="AL423" s="173" t="s">
        <v>1423</v>
      </c>
      <c r="AM423" s="77"/>
      <c r="AN423" s="87"/>
      <c r="AO423" s="180"/>
    </row>
    <row r="424" spans="1:41" s="288" customFormat="1" ht="35">
      <c r="A424" s="233">
        <v>432</v>
      </c>
      <c r="B424" s="234">
        <v>44946</v>
      </c>
      <c r="C424" s="235" t="s">
        <v>454</v>
      </c>
      <c r="D424" s="217"/>
      <c r="E424" s="217"/>
      <c r="F424" s="167" t="s">
        <v>1014</v>
      </c>
      <c r="G424" s="84" t="s">
        <v>1108</v>
      </c>
      <c r="H424" s="84" t="s">
        <v>1108</v>
      </c>
      <c r="I424" s="223" t="s">
        <v>188</v>
      </c>
      <c r="J424" s="84"/>
      <c r="K424" s="84"/>
      <c r="L424" s="84"/>
      <c r="M424" s="84"/>
      <c r="N424" s="216"/>
      <c r="O424" s="323">
        <v>1</v>
      </c>
      <c r="P424" s="151">
        <v>0</v>
      </c>
      <c r="Q424" s="151">
        <v>0</v>
      </c>
      <c r="R424" s="151">
        <v>0</v>
      </c>
      <c r="S424" s="151">
        <v>0</v>
      </c>
      <c r="T424" s="151">
        <v>0</v>
      </c>
      <c r="U424" s="151">
        <v>0</v>
      </c>
      <c r="V424" s="151">
        <v>0</v>
      </c>
      <c r="W424" s="151">
        <v>0</v>
      </c>
      <c r="X424" s="151">
        <v>0</v>
      </c>
      <c r="Y424" s="151">
        <f>0</f>
        <v>0</v>
      </c>
      <c r="Z424" s="200">
        <f>0</f>
        <v>0</v>
      </c>
      <c r="AA424" s="142">
        <f t="shared" si="19"/>
        <v>1</v>
      </c>
      <c r="AB424" s="123"/>
      <c r="AC424" s="154">
        <f t="shared" si="20"/>
        <v>1</v>
      </c>
      <c r="AD424" s="176">
        <v>44964</v>
      </c>
      <c r="AE424" s="177" t="s">
        <v>529</v>
      </c>
      <c r="AF424" s="84" t="s">
        <v>1326</v>
      </c>
      <c r="AG424" s="178"/>
      <c r="AH424" s="177" t="s">
        <v>1327</v>
      </c>
      <c r="AI424" s="85"/>
      <c r="AJ424" s="86">
        <v>1</v>
      </c>
      <c r="AK424" s="179">
        <f t="shared" si="18"/>
        <v>0</v>
      </c>
      <c r="AL424" s="85" t="s">
        <v>1422</v>
      </c>
      <c r="AM424" s="77"/>
      <c r="AN424" s="87"/>
      <c r="AO424" s="180"/>
    </row>
    <row r="425" spans="1:41" s="288" customFormat="1" ht="30.75" customHeight="1">
      <c r="A425" s="225">
        <v>433</v>
      </c>
      <c r="B425" s="234">
        <v>44946</v>
      </c>
      <c r="C425" s="235" t="s">
        <v>454</v>
      </c>
      <c r="D425" s="217"/>
      <c r="E425" s="217"/>
      <c r="F425" s="167" t="s">
        <v>1009</v>
      </c>
      <c r="G425" s="84" t="s">
        <v>1109</v>
      </c>
      <c r="H425" s="84" t="s">
        <v>1109</v>
      </c>
      <c r="I425" s="223" t="s">
        <v>188</v>
      </c>
      <c r="J425" s="84"/>
      <c r="K425" s="84"/>
      <c r="L425" s="84"/>
      <c r="M425" s="84"/>
      <c r="N425" s="216"/>
      <c r="O425" s="323">
        <v>1</v>
      </c>
      <c r="P425" s="151">
        <v>0</v>
      </c>
      <c r="Q425" s="151">
        <v>0</v>
      </c>
      <c r="R425" s="151">
        <v>0</v>
      </c>
      <c r="S425" s="151">
        <v>0</v>
      </c>
      <c r="T425" s="151">
        <v>0</v>
      </c>
      <c r="U425" s="151">
        <v>0</v>
      </c>
      <c r="V425" s="151">
        <v>0</v>
      </c>
      <c r="W425" s="151">
        <v>0</v>
      </c>
      <c r="X425" s="151">
        <v>0</v>
      </c>
      <c r="Y425" s="151">
        <f>0</f>
        <v>0</v>
      </c>
      <c r="Z425" s="200">
        <f>0</f>
        <v>0</v>
      </c>
      <c r="AA425" s="142">
        <f t="shared" si="19"/>
        <v>1</v>
      </c>
      <c r="AB425" s="123"/>
      <c r="AC425" s="154">
        <f t="shared" si="20"/>
        <v>1</v>
      </c>
      <c r="AD425" s="176">
        <v>44964</v>
      </c>
      <c r="AE425" s="177" t="s">
        <v>529</v>
      </c>
      <c r="AF425" s="84" t="s">
        <v>1326</v>
      </c>
      <c r="AG425" s="178"/>
      <c r="AH425" s="177" t="s">
        <v>1327</v>
      </c>
      <c r="AI425" s="85"/>
      <c r="AJ425" s="86">
        <v>1</v>
      </c>
      <c r="AK425" s="179">
        <f t="shared" si="18"/>
        <v>0</v>
      </c>
      <c r="AL425" s="85" t="s">
        <v>1422</v>
      </c>
      <c r="AM425" s="77"/>
      <c r="AN425" s="87"/>
      <c r="AO425" s="180"/>
    </row>
    <row r="426" spans="1:41" s="288" customFormat="1" ht="30.75" customHeight="1">
      <c r="A426" s="233">
        <v>434</v>
      </c>
      <c r="B426" s="234">
        <v>44946</v>
      </c>
      <c r="C426" s="235" t="s">
        <v>454</v>
      </c>
      <c r="D426" s="217"/>
      <c r="E426" s="217"/>
      <c r="F426" s="167" t="s">
        <v>1009</v>
      </c>
      <c r="G426" s="84" t="s">
        <v>1110</v>
      </c>
      <c r="H426" s="84" t="s">
        <v>1110</v>
      </c>
      <c r="I426" s="223" t="s">
        <v>188</v>
      </c>
      <c r="J426" s="84"/>
      <c r="K426" s="84"/>
      <c r="L426" s="84"/>
      <c r="M426" s="84"/>
      <c r="N426" s="216"/>
      <c r="O426" s="323">
        <v>6</v>
      </c>
      <c r="P426" s="151">
        <v>0</v>
      </c>
      <c r="Q426" s="151">
        <v>0</v>
      </c>
      <c r="R426" s="151">
        <v>0</v>
      </c>
      <c r="S426" s="151">
        <v>0</v>
      </c>
      <c r="T426" s="151">
        <v>0</v>
      </c>
      <c r="U426" s="151">
        <v>0</v>
      </c>
      <c r="V426" s="151">
        <v>0</v>
      </c>
      <c r="W426" s="151">
        <v>0</v>
      </c>
      <c r="X426" s="151">
        <v>0</v>
      </c>
      <c r="Y426" s="151">
        <f>0</f>
        <v>0</v>
      </c>
      <c r="Z426" s="200">
        <f>0</f>
        <v>0</v>
      </c>
      <c r="AA426" s="142">
        <f t="shared" si="19"/>
        <v>6</v>
      </c>
      <c r="AB426" s="123">
        <v>4</v>
      </c>
      <c r="AC426" s="154">
        <f t="shared" si="20"/>
        <v>2</v>
      </c>
      <c r="AD426" s="176">
        <v>44964</v>
      </c>
      <c r="AE426" s="177" t="s">
        <v>529</v>
      </c>
      <c r="AF426" s="84" t="s">
        <v>1326</v>
      </c>
      <c r="AG426" s="178"/>
      <c r="AH426" s="177" t="s">
        <v>1327</v>
      </c>
      <c r="AI426" s="85"/>
      <c r="AJ426" s="86">
        <v>2</v>
      </c>
      <c r="AK426" s="179">
        <f t="shared" si="18"/>
        <v>0</v>
      </c>
      <c r="AL426" s="85" t="s">
        <v>1423</v>
      </c>
      <c r="AM426" s="77"/>
      <c r="AN426" s="87"/>
      <c r="AO426" s="180"/>
    </row>
    <row r="427" spans="1:41" s="288" customFormat="1" ht="30.75" customHeight="1">
      <c r="A427" s="225">
        <v>435</v>
      </c>
      <c r="B427" s="234">
        <v>44946</v>
      </c>
      <c r="C427" s="235" t="s">
        <v>454</v>
      </c>
      <c r="D427" s="217"/>
      <c r="E427" s="217"/>
      <c r="F427" s="167" t="s">
        <v>1015</v>
      </c>
      <c r="G427" s="84" t="s">
        <v>1111</v>
      </c>
      <c r="H427" s="84" t="s">
        <v>1111</v>
      </c>
      <c r="I427" s="223" t="s">
        <v>188</v>
      </c>
      <c r="J427" s="84"/>
      <c r="K427" s="84"/>
      <c r="L427" s="84"/>
      <c r="M427" s="84"/>
      <c r="N427" s="216"/>
      <c r="O427" s="323">
        <v>3</v>
      </c>
      <c r="P427" s="151">
        <v>0</v>
      </c>
      <c r="Q427" s="151">
        <v>0</v>
      </c>
      <c r="R427" s="151">
        <v>0</v>
      </c>
      <c r="S427" s="151">
        <v>0</v>
      </c>
      <c r="T427" s="151">
        <v>0</v>
      </c>
      <c r="U427" s="151">
        <v>0</v>
      </c>
      <c r="V427" s="151">
        <v>0</v>
      </c>
      <c r="W427" s="151">
        <v>0</v>
      </c>
      <c r="X427" s="151">
        <v>0</v>
      </c>
      <c r="Y427" s="151">
        <f>0</f>
        <v>0</v>
      </c>
      <c r="Z427" s="200">
        <f>0</f>
        <v>0</v>
      </c>
      <c r="AA427" s="142">
        <f t="shared" si="19"/>
        <v>3</v>
      </c>
      <c r="AB427" s="123">
        <v>3</v>
      </c>
      <c r="AC427" s="154">
        <f t="shared" si="20"/>
        <v>0</v>
      </c>
      <c r="AD427" s="176"/>
      <c r="AE427" s="177" t="s">
        <v>529</v>
      </c>
      <c r="AF427" s="84" t="s">
        <v>44</v>
      </c>
      <c r="AG427" s="178"/>
      <c r="AH427" s="177"/>
      <c r="AI427" s="85"/>
      <c r="AJ427" s="86" t="s">
        <v>499</v>
      </c>
      <c r="AK427" s="179" t="e">
        <f t="shared" si="18"/>
        <v>#VALUE!</v>
      </c>
      <c r="AL427" s="173" t="s">
        <v>1231</v>
      </c>
      <c r="AM427" s="77"/>
      <c r="AN427" s="87"/>
      <c r="AO427" s="180"/>
    </row>
    <row r="428" spans="1:41" s="288" customFormat="1" ht="30.75" customHeight="1">
      <c r="A428" s="233">
        <v>436</v>
      </c>
      <c r="B428" s="234">
        <v>44946</v>
      </c>
      <c r="C428" s="235" t="s">
        <v>454</v>
      </c>
      <c r="D428" s="217"/>
      <c r="E428" s="217"/>
      <c r="F428" s="167" t="s">
        <v>1015</v>
      </c>
      <c r="G428" s="84" t="s">
        <v>1112</v>
      </c>
      <c r="H428" s="84" t="s">
        <v>1112</v>
      </c>
      <c r="I428" s="223" t="s">
        <v>188</v>
      </c>
      <c r="J428" s="84"/>
      <c r="K428" s="84"/>
      <c r="L428" s="84"/>
      <c r="M428" s="84"/>
      <c r="N428" s="216"/>
      <c r="O428" s="323">
        <v>1</v>
      </c>
      <c r="P428" s="151">
        <v>0</v>
      </c>
      <c r="Q428" s="151">
        <v>0</v>
      </c>
      <c r="R428" s="151">
        <v>0</v>
      </c>
      <c r="S428" s="151">
        <v>0</v>
      </c>
      <c r="T428" s="151">
        <v>0</v>
      </c>
      <c r="U428" s="151">
        <v>0</v>
      </c>
      <c r="V428" s="151">
        <v>0</v>
      </c>
      <c r="W428" s="151">
        <v>0</v>
      </c>
      <c r="X428" s="151">
        <v>0</v>
      </c>
      <c r="Y428" s="151">
        <f>0</f>
        <v>0</v>
      </c>
      <c r="Z428" s="200">
        <f>0</f>
        <v>0</v>
      </c>
      <c r="AA428" s="142">
        <f t="shared" si="19"/>
        <v>1</v>
      </c>
      <c r="AB428" s="123">
        <v>1</v>
      </c>
      <c r="AC428" s="154">
        <f t="shared" si="20"/>
        <v>0</v>
      </c>
      <c r="AD428" s="176"/>
      <c r="AE428" s="177" t="s">
        <v>529</v>
      </c>
      <c r="AF428" s="84" t="s">
        <v>44</v>
      </c>
      <c r="AG428" s="178"/>
      <c r="AH428" s="177"/>
      <c r="AI428" s="85"/>
      <c r="AJ428" s="86" t="s">
        <v>499</v>
      </c>
      <c r="AK428" s="179" t="e">
        <f t="shared" si="18"/>
        <v>#VALUE!</v>
      </c>
      <c r="AL428" s="173" t="s">
        <v>1231</v>
      </c>
      <c r="AM428" s="77"/>
      <c r="AN428" s="87"/>
      <c r="AO428" s="180"/>
    </row>
    <row r="429" spans="1:41" s="288" customFormat="1" ht="30.75" customHeight="1">
      <c r="A429" s="225">
        <v>437</v>
      </c>
      <c r="B429" s="234">
        <v>44946</v>
      </c>
      <c r="C429" s="235" t="s">
        <v>454</v>
      </c>
      <c r="D429" s="217"/>
      <c r="E429" s="217"/>
      <c r="F429" s="167" t="s">
        <v>186</v>
      </c>
      <c r="G429" s="84" t="s">
        <v>187</v>
      </c>
      <c r="H429" s="84" t="s">
        <v>187</v>
      </c>
      <c r="I429" s="223" t="s">
        <v>188</v>
      </c>
      <c r="J429" s="84"/>
      <c r="K429" s="84"/>
      <c r="L429" s="84"/>
      <c r="M429" s="84"/>
      <c r="N429" s="216"/>
      <c r="O429" s="323">
        <v>1</v>
      </c>
      <c r="P429" s="151">
        <v>0</v>
      </c>
      <c r="Q429" s="151">
        <v>0</v>
      </c>
      <c r="R429" s="151">
        <v>0</v>
      </c>
      <c r="S429" s="151">
        <v>0</v>
      </c>
      <c r="T429" s="151">
        <v>0</v>
      </c>
      <c r="U429" s="151">
        <v>0</v>
      </c>
      <c r="V429" s="151">
        <v>0</v>
      </c>
      <c r="W429" s="151">
        <v>0</v>
      </c>
      <c r="X429" s="151">
        <v>0</v>
      </c>
      <c r="Y429" s="151">
        <f>0</f>
        <v>0</v>
      </c>
      <c r="Z429" s="200">
        <f>0</f>
        <v>0</v>
      </c>
      <c r="AA429" s="142">
        <f t="shared" si="19"/>
        <v>1</v>
      </c>
      <c r="AB429" s="123">
        <v>1</v>
      </c>
      <c r="AC429" s="154">
        <f t="shared" si="20"/>
        <v>0</v>
      </c>
      <c r="AD429" s="176"/>
      <c r="AE429" s="177" t="s">
        <v>529</v>
      </c>
      <c r="AF429" s="84" t="s">
        <v>44</v>
      </c>
      <c r="AG429" s="178"/>
      <c r="AH429" s="177"/>
      <c r="AI429" s="85"/>
      <c r="AJ429" s="86" t="s">
        <v>499</v>
      </c>
      <c r="AK429" s="179" t="e">
        <f t="shared" si="18"/>
        <v>#VALUE!</v>
      </c>
      <c r="AL429" s="85" t="s">
        <v>1231</v>
      </c>
      <c r="AM429" s="77"/>
      <c r="AN429" s="87"/>
      <c r="AO429" s="180"/>
    </row>
    <row r="430" spans="1:41" s="288" customFormat="1" ht="30.75" customHeight="1">
      <c r="A430" s="233">
        <v>438</v>
      </c>
      <c r="B430" s="234">
        <v>44946</v>
      </c>
      <c r="C430" s="235" t="s">
        <v>454</v>
      </c>
      <c r="D430" s="217"/>
      <c r="E430" s="217"/>
      <c r="F430" s="167" t="s">
        <v>189</v>
      </c>
      <c r="G430" s="84" t="s">
        <v>190</v>
      </c>
      <c r="H430" s="84" t="s">
        <v>190</v>
      </c>
      <c r="I430" s="223" t="s">
        <v>188</v>
      </c>
      <c r="J430" s="84"/>
      <c r="K430" s="84"/>
      <c r="L430" s="84"/>
      <c r="M430" s="84"/>
      <c r="N430" s="216"/>
      <c r="O430" s="323">
        <v>1</v>
      </c>
      <c r="P430" s="151">
        <v>0</v>
      </c>
      <c r="Q430" s="151">
        <v>0</v>
      </c>
      <c r="R430" s="151">
        <v>0</v>
      </c>
      <c r="S430" s="151">
        <v>0</v>
      </c>
      <c r="T430" s="151">
        <v>0</v>
      </c>
      <c r="U430" s="151">
        <v>0</v>
      </c>
      <c r="V430" s="151">
        <v>0</v>
      </c>
      <c r="W430" s="151">
        <v>0</v>
      </c>
      <c r="X430" s="151">
        <v>0</v>
      </c>
      <c r="Y430" s="151">
        <f>0</f>
        <v>0</v>
      </c>
      <c r="Z430" s="200">
        <f>0</f>
        <v>0</v>
      </c>
      <c r="AA430" s="142">
        <f t="shared" si="19"/>
        <v>1</v>
      </c>
      <c r="AB430" s="123">
        <v>1</v>
      </c>
      <c r="AC430" s="154">
        <f t="shared" si="20"/>
        <v>0</v>
      </c>
      <c r="AD430" s="176"/>
      <c r="AE430" s="177" t="s">
        <v>529</v>
      </c>
      <c r="AF430" s="84" t="s">
        <v>44</v>
      </c>
      <c r="AG430" s="178"/>
      <c r="AH430" s="177"/>
      <c r="AI430" s="85"/>
      <c r="AJ430" s="86" t="s">
        <v>499</v>
      </c>
      <c r="AK430" s="179" t="e">
        <f t="shared" si="18"/>
        <v>#VALUE!</v>
      </c>
      <c r="AL430" s="85" t="s">
        <v>1231</v>
      </c>
      <c r="AM430" s="77"/>
      <c r="AN430" s="87"/>
      <c r="AO430" s="180"/>
    </row>
    <row r="431" spans="1:41" s="288" customFormat="1" ht="30.75" customHeight="1">
      <c r="A431" s="225">
        <v>439</v>
      </c>
      <c r="B431" s="234">
        <v>44946</v>
      </c>
      <c r="C431" s="235" t="s">
        <v>454</v>
      </c>
      <c r="D431" s="217"/>
      <c r="E431" s="217"/>
      <c r="F431" s="167" t="s">
        <v>1016</v>
      </c>
      <c r="G431" s="84" t="s">
        <v>1113</v>
      </c>
      <c r="H431" s="84" t="s">
        <v>1113</v>
      </c>
      <c r="I431" s="223" t="s">
        <v>188</v>
      </c>
      <c r="J431" s="84"/>
      <c r="K431" s="84"/>
      <c r="L431" s="84"/>
      <c r="M431" s="84"/>
      <c r="N431" s="216"/>
      <c r="O431" s="323">
        <v>2</v>
      </c>
      <c r="P431" s="151">
        <v>0</v>
      </c>
      <c r="Q431" s="151">
        <v>0</v>
      </c>
      <c r="R431" s="151">
        <v>0</v>
      </c>
      <c r="S431" s="151">
        <v>0</v>
      </c>
      <c r="T431" s="151">
        <v>0</v>
      </c>
      <c r="U431" s="151">
        <v>0</v>
      </c>
      <c r="V431" s="151">
        <v>0</v>
      </c>
      <c r="W431" s="151">
        <v>0</v>
      </c>
      <c r="X431" s="151">
        <v>0</v>
      </c>
      <c r="Y431" s="151">
        <f>0</f>
        <v>0</v>
      </c>
      <c r="Z431" s="200">
        <f>0</f>
        <v>0</v>
      </c>
      <c r="AA431" s="142">
        <f t="shared" si="19"/>
        <v>2</v>
      </c>
      <c r="AB431" s="123">
        <v>2</v>
      </c>
      <c r="AC431" s="154">
        <f t="shared" si="20"/>
        <v>0</v>
      </c>
      <c r="AD431" s="176"/>
      <c r="AE431" s="177" t="s">
        <v>529</v>
      </c>
      <c r="AF431" s="84" t="s">
        <v>44</v>
      </c>
      <c r="AG431" s="178"/>
      <c r="AH431" s="177"/>
      <c r="AI431" s="85"/>
      <c r="AJ431" s="86" t="s">
        <v>499</v>
      </c>
      <c r="AK431" s="179" t="e">
        <f t="shared" si="18"/>
        <v>#VALUE!</v>
      </c>
      <c r="AL431" s="173" t="s">
        <v>1231</v>
      </c>
      <c r="AM431" s="77"/>
      <c r="AN431" s="87"/>
      <c r="AO431" s="180"/>
    </row>
    <row r="432" spans="1:41" s="288" customFormat="1" ht="30.75" customHeight="1">
      <c r="A432" s="233">
        <v>440</v>
      </c>
      <c r="B432" s="234">
        <v>44946</v>
      </c>
      <c r="C432" s="235" t="s">
        <v>454</v>
      </c>
      <c r="D432" s="217"/>
      <c r="E432" s="217"/>
      <c r="F432" s="167" t="s">
        <v>1017</v>
      </c>
      <c r="G432" s="84" t="s">
        <v>1114</v>
      </c>
      <c r="H432" s="84" t="s">
        <v>1114</v>
      </c>
      <c r="I432" s="223" t="s">
        <v>188</v>
      </c>
      <c r="J432" s="84"/>
      <c r="K432" s="84"/>
      <c r="L432" s="84"/>
      <c r="M432" s="84"/>
      <c r="N432" s="216"/>
      <c r="O432" s="323">
        <v>2</v>
      </c>
      <c r="P432" s="151">
        <v>0</v>
      </c>
      <c r="Q432" s="151">
        <v>0</v>
      </c>
      <c r="R432" s="151">
        <v>0</v>
      </c>
      <c r="S432" s="151">
        <v>0</v>
      </c>
      <c r="T432" s="151">
        <v>0</v>
      </c>
      <c r="U432" s="151">
        <v>0</v>
      </c>
      <c r="V432" s="151">
        <v>0</v>
      </c>
      <c r="W432" s="151">
        <v>0</v>
      </c>
      <c r="X432" s="151">
        <v>0</v>
      </c>
      <c r="Y432" s="151">
        <f>0</f>
        <v>0</v>
      </c>
      <c r="Z432" s="200">
        <f>0</f>
        <v>0</v>
      </c>
      <c r="AA432" s="142">
        <f t="shared" si="19"/>
        <v>2</v>
      </c>
      <c r="AB432" s="123"/>
      <c r="AC432" s="154">
        <f t="shared" si="20"/>
        <v>2</v>
      </c>
      <c r="AD432" s="176">
        <v>44964</v>
      </c>
      <c r="AE432" s="177" t="s">
        <v>529</v>
      </c>
      <c r="AF432" s="84" t="s">
        <v>1326</v>
      </c>
      <c r="AG432" s="178"/>
      <c r="AH432" s="177" t="s">
        <v>1327</v>
      </c>
      <c r="AI432" s="85"/>
      <c r="AJ432" s="86">
        <v>2</v>
      </c>
      <c r="AK432" s="179">
        <f t="shared" si="18"/>
        <v>0</v>
      </c>
      <c r="AL432" s="85" t="s">
        <v>1459</v>
      </c>
      <c r="AM432" s="77"/>
      <c r="AN432" s="87"/>
      <c r="AO432" s="180"/>
    </row>
    <row r="433" spans="1:41" s="288" customFormat="1" ht="30.75" customHeight="1">
      <c r="A433" s="225">
        <v>441</v>
      </c>
      <c r="B433" s="234">
        <v>44946</v>
      </c>
      <c r="C433" s="235" t="s">
        <v>454</v>
      </c>
      <c r="D433" s="217"/>
      <c r="E433" s="217"/>
      <c r="F433" s="167" t="s">
        <v>1018</v>
      </c>
      <c r="G433" s="84" t="s">
        <v>1115</v>
      </c>
      <c r="H433" s="84" t="s">
        <v>1115</v>
      </c>
      <c r="I433" s="223" t="s">
        <v>188</v>
      </c>
      <c r="J433" s="84"/>
      <c r="K433" s="84"/>
      <c r="L433" s="84"/>
      <c r="M433" s="84"/>
      <c r="N433" s="216"/>
      <c r="O433" s="323">
        <v>2</v>
      </c>
      <c r="P433" s="151">
        <v>0</v>
      </c>
      <c r="Q433" s="151">
        <v>0</v>
      </c>
      <c r="R433" s="151">
        <v>0</v>
      </c>
      <c r="S433" s="151">
        <v>0</v>
      </c>
      <c r="T433" s="151">
        <v>0</v>
      </c>
      <c r="U433" s="151">
        <v>0</v>
      </c>
      <c r="V433" s="151">
        <v>0</v>
      </c>
      <c r="W433" s="151">
        <v>0</v>
      </c>
      <c r="X433" s="151">
        <v>0</v>
      </c>
      <c r="Y433" s="151">
        <f>0</f>
        <v>0</v>
      </c>
      <c r="Z433" s="200">
        <f>0</f>
        <v>0</v>
      </c>
      <c r="AA433" s="142">
        <f t="shared" si="19"/>
        <v>2</v>
      </c>
      <c r="AB433" s="123"/>
      <c r="AC433" s="154">
        <f t="shared" si="20"/>
        <v>2</v>
      </c>
      <c r="AD433" s="176">
        <v>44964</v>
      </c>
      <c r="AE433" s="177" t="s">
        <v>529</v>
      </c>
      <c r="AF433" s="84" t="s">
        <v>1326</v>
      </c>
      <c r="AG433" s="178"/>
      <c r="AH433" s="177" t="s">
        <v>1327</v>
      </c>
      <c r="AI433" s="85"/>
      <c r="AJ433" s="86">
        <v>2</v>
      </c>
      <c r="AK433" s="179">
        <f t="shared" si="18"/>
        <v>0</v>
      </c>
      <c r="AL433" s="85" t="s">
        <v>1422</v>
      </c>
      <c r="AM433" s="77"/>
      <c r="AN433" s="87"/>
      <c r="AO433" s="180"/>
    </row>
    <row r="434" spans="1:41" s="288" customFormat="1" ht="30.75" customHeight="1">
      <c r="A434" s="233">
        <v>442</v>
      </c>
      <c r="B434" s="234">
        <v>44946</v>
      </c>
      <c r="C434" s="235" t="s">
        <v>454</v>
      </c>
      <c r="D434" s="217"/>
      <c r="E434" s="217"/>
      <c r="F434" s="167" t="s">
        <v>1019</v>
      </c>
      <c r="G434" s="84" t="s">
        <v>1116</v>
      </c>
      <c r="H434" s="84" t="s">
        <v>1116</v>
      </c>
      <c r="I434" s="223" t="s">
        <v>188</v>
      </c>
      <c r="J434" s="84"/>
      <c r="K434" s="84"/>
      <c r="L434" s="84"/>
      <c r="M434" s="84"/>
      <c r="N434" s="216"/>
      <c r="O434" s="323">
        <v>2</v>
      </c>
      <c r="P434" s="151">
        <v>0</v>
      </c>
      <c r="Q434" s="151">
        <v>0</v>
      </c>
      <c r="R434" s="151">
        <v>0</v>
      </c>
      <c r="S434" s="151">
        <v>0</v>
      </c>
      <c r="T434" s="151">
        <v>0</v>
      </c>
      <c r="U434" s="151">
        <v>0</v>
      </c>
      <c r="V434" s="151">
        <v>0</v>
      </c>
      <c r="W434" s="151">
        <v>0</v>
      </c>
      <c r="X434" s="151">
        <v>0</v>
      </c>
      <c r="Y434" s="151">
        <f>0</f>
        <v>0</v>
      </c>
      <c r="Z434" s="200">
        <f>0</f>
        <v>0</v>
      </c>
      <c r="AA434" s="142">
        <f t="shared" si="19"/>
        <v>2</v>
      </c>
      <c r="AB434" s="123">
        <v>2</v>
      </c>
      <c r="AC434" s="154">
        <f t="shared" si="20"/>
        <v>0</v>
      </c>
      <c r="AD434" s="176"/>
      <c r="AE434" s="177" t="s">
        <v>529</v>
      </c>
      <c r="AF434" s="84" t="s">
        <v>44</v>
      </c>
      <c r="AG434" s="178"/>
      <c r="AH434" s="177"/>
      <c r="AI434" s="85"/>
      <c r="AJ434" s="86" t="s">
        <v>499</v>
      </c>
      <c r="AK434" s="179" t="e">
        <f t="shared" si="18"/>
        <v>#VALUE!</v>
      </c>
      <c r="AL434" s="173" t="s">
        <v>1231</v>
      </c>
      <c r="AM434" s="77"/>
      <c r="AN434" s="87"/>
      <c r="AO434" s="180"/>
    </row>
    <row r="435" spans="1:41" s="288" customFormat="1" ht="30.75" customHeight="1">
      <c r="A435" s="225">
        <v>443</v>
      </c>
      <c r="B435" s="234">
        <v>44946</v>
      </c>
      <c r="C435" s="235" t="s">
        <v>454</v>
      </c>
      <c r="D435" s="217"/>
      <c r="E435" s="217"/>
      <c r="F435" s="167" t="s">
        <v>1020</v>
      </c>
      <c r="G435" s="84" t="s">
        <v>1117</v>
      </c>
      <c r="H435" s="84" t="s">
        <v>1117</v>
      </c>
      <c r="I435" s="223" t="s">
        <v>188</v>
      </c>
      <c r="J435" s="84"/>
      <c r="K435" s="84"/>
      <c r="L435" s="84"/>
      <c r="M435" s="84"/>
      <c r="N435" s="216"/>
      <c r="O435" s="323">
        <v>2</v>
      </c>
      <c r="P435" s="151">
        <v>0</v>
      </c>
      <c r="Q435" s="151">
        <v>0</v>
      </c>
      <c r="R435" s="151">
        <v>0</v>
      </c>
      <c r="S435" s="151">
        <v>0</v>
      </c>
      <c r="T435" s="151">
        <v>0</v>
      </c>
      <c r="U435" s="151">
        <v>0</v>
      </c>
      <c r="V435" s="151">
        <v>0</v>
      </c>
      <c r="W435" s="151">
        <v>0</v>
      </c>
      <c r="X435" s="151">
        <v>0</v>
      </c>
      <c r="Y435" s="151">
        <f>0</f>
        <v>0</v>
      </c>
      <c r="Z435" s="200">
        <f>0</f>
        <v>0</v>
      </c>
      <c r="AA435" s="142">
        <f t="shared" si="19"/>
        <v>2</v>
      </c>
      <c r="AB435" s="123">
        <v>2</v>
      </c>
      <c r="AC435" s="154">
        <f t="shared" si="20"/>
        <v>0</v>
      </c>
      <c r="AD435" s="176"/>
      <c r="AE435" s="177" t="s">
        <v>529</v>
      </c>
      <c r="AF435" s="84" t="s">
        <v>44</v>
      </c>
      <c r="AG435" s="178"/>
      <c r="AH435" s="177"/>
      <c r="AI435" s="85"/>
      <c r="AJ435" s="86" t="s">
        <v>499</v>
      </c>
      <c r="AK435" s="179" t="e">
        <f t="shared" si="18"/>
        <v>#VALUE!</v>
      </c>
      <c r="AL435" s="173" t="s">
        <v>1231</v>
      </c>
      <c r="AM435" s="77"/>
      <c r="AN435" s="87"/>
      <c r="AO435" s="180"/>
    </row>
    <row r="436" spans="1:41" s="288" customFormat="1" ht="30.75" customHeight="1">
      <c r="A436" s="233">
        <v>444</v>
      </c>
      <c r="B436" s="234">
        <v>44946</v>
      </c>
      <c r="C436" s="235" t="s">
        <v>454</v>
      </c>
      <c r="D436" s="217"/>
      <c r="E436" s="217"/>
      <c r="F436" s="167" t="s">
        <v>1021</v>
      </c>
      <c r="G436" s="84" t="s">
        <v>1118</v>
      </c>
      <c r="H436" s="84" t="s">
        <v>1118</v>
      </c>
      <c r="I436" s="223" t="s">
        <v>188</v>
      </c>
      <c r="J436" s="84"/>
      <c r="K436" s="84"/>
      <c r="L436" s="84"/>
      <c r="M436" s="84"/>
      <c r="N436" s="216"/>
      <c r="O436" s="323">
        <v>2</v>
      </c>
      <c r="P436" s="151">
        <v>0</v>
      </c>
      <c r="Q436" s="151">
        <v>0</v>
      </c>
      <c r="R436" s="151">
        <v>0</v>
      </c>
      <c r="S436" s="151">
        <v>0</v>
      </c>
      <c r="T436" s="151">
        <v>0</v>
      </c>
      <c r="U436" s="151">
        <v>0</v>
      </c>
      <c r="V436" s="151">
        <v>0</v>
      </c>
      <c r="W436" s="151">
        <v>0</v>
      </c>
      <c r="X436" s="151">
        <v>0</v>
      </c>
      <c r="Y436" s="151">
        <f>0</f>
        <v>0</v>
      </c>
      <c r="Z436" s="200">
        <f>0</f>
        <v>0</v>
      </c>
      <c r="AA436" s="142">
        <f t="shared" si="19"/>
        <v>2</v>
      </c>
      <c r="AB436" s="123">
        <v>1</v>
      </c>
      <c r="AC436" s="154">
        <f t="shared" si="20"/>
        <v>1</v>
      </c>
      <c r="AD436" s="176">
        <v>44964</v>
      </c>
      <c r="AE436" s="177" t="s">
        <v>529</v>
      </c>
      <c r="AF436" s="84" t="s">
        <v>1326</v>
      </c>
      <c r="AG436" s="178"/>
      <c r="AH436" s="177" t="s">
        <v>1327</v>
      </c>
      <c r="AI436" s="85"/>
      <c r="AJ436" s="86">
        <v>1</v>
      </c>
      <c r="AK436" s="179">
        <f t="shared" si="18"/>
        <v>0</v>
      </c>
      <c r="AL436" s="173" t="s">
        <v>1423</v>
      </c>
      <c r="AM436" s="77"/>
      <c r="AN436" s="87"/>
      <c r="AO436" s="180"/>
    </row>
    <row r="437" spans="1:41" s="288" customFormat="1" ht="30.75" customHeight="1">
      <c r="A437" s="225">
        <v>445</v>
      </c>
      <c r="B437" s="234">
        <v>44946</v>
      </c>
      <c r="C437" s="235" t="s">
        <v>454</v>
      </c>
      <c r="D437" s="217"/>
      <c r="E437" s="217"/>
      <c r="F437" s="167" t="s">
        <v>1022</v>
      </c>
      <c r="G437" s="84" t="s">
        <v>1119</v>
      </c>
      <c r="H437" s="84" t="s">
        <v>1119</v>
      </c>
      <c r="I437" s="223" t="s">
        <v>188</v>
      </c>
      <c r="J437" s="84"/>
      <c r="K437" s="84"/>
      <c r="L437" s="84"/>
      <c r="M437" s="84"/>
      <c r="N437" s="216"/>
      <c r="O437" s="323">
        <v>1</v>
      </c>
      <c r="P437" s="151">
        <v>0</v>
      </c>
      <c r="Q437" s="151">
        <v>0</v>
      </c>
      <c r="R437" s="151">
        <v>0</v>
      </c>
      <c r="S437" s="151">
        <v>0</v>
      </c>
      <c r="T437" s="151">
        <v>0</v>
      </c>
      <c r="U437" s="151">
        <v>0</v>
      </c>
      <c r="V437" s="151">
        <v>0</v>
      </c>
      <c r="W437" s="151">
        <v>0</v>
      </c>
      <c r="X437" s="151">
        <v>0</v>
      </c>
      <c r="Y437" s="151">
        <f>0</f>
        <v>0</v>
      </c>
      <c r="Z437" s="200">
        <f>0</f>
        <v>0</v>
      </c>
      <c r="AA437" s="142">
        <f t="shared" si="19"/>
        <v>1</v>
      </c>
      <c r="AB437" s="123">
        <v>1</v>
      </c>
      <c r="AC437" s="154">
        <f t="shared" si="20"/>
        <v>0</v>
      </c>
      <c r="AD437" s="176"/>
      <c r="AE437" s="177" t="s">
        <v>529</v>
      </c>
      <c r="AF437" s="84" t="s">
        <v>44</v>
      </c>
      <c r="AG437" s="178"/>
      <c r="AH437" s="177"/>
      <c r="AI437" s="85"/>
      <c r="AJ437" s="86" t="s">
        <v>499</v>
      </c>
      <c r="AK437" s="179" t="e">
        <f t="shared" si="18"/>
        <v>#VALUE!</v>
      </c>
      <c r="AL437" s="173" t="s">
        <v>1231</v>
      </c>
      <c r="AM437" s="77"/>
      <c r="AN437" s="87"/>
      <c r="AO437" s="180"/>
    </row>
    <row r="438" spans="1:41" s="288" customFormat="1" ht="30.75" customHeight="1">
      <c r="A438" s="233">
        <v>446</v>
      </c>
      <c r="B438" s="234">
        <v>44946</v>
      </c>
      <c r="C438" s="235" t="s">
        <v>454</v>
      </c>
      <c r="D438" s="217"/>
      <c r="E438" s="217"/>
      <c r="F438" s="167" t="s">
        <v>1023</v>
      </c>
      <c r="G438" s="84" t="s">
        <v>1120</v>
      </c>
      <c r="H438" s="84" t="s">
        <v>1120</v>
      </c>
      <c r="I438" s="223" t="s">
        <v>188</v>
      </c>
      <c r="J438" s="84"/>
      <c r="K438" s="84"/>
      <c r="L438" s="84"/>
      <c r="M438" s="84"/>
      <c r="N438" s="216"/>
      <c r="O438" s="323">
        <v>1</v>
      </c>
      <c r="P438" s="151">
        <v>0</v>
      </c>
      <c r="Q438" s="151">
        <v>0</v>
      </c>
      <c r="R438" s="151">
        <v>0</v>
      </c>
      <c r="S438" s="151">
        <v>0</v>
      </c>
      <c r="T438" s="151">
        <v>0</v>
      </c>
      <c r="U438" s="151">
        <v>0</v>
      </c>
      <c r="V438" s="151">
        <v>0</v>
      </c>
      <c r="W438" s="151">
        <v>0</v>
      </c>
      <c r="X438" s="151">
        <v>0</v>
      </c>
      <c r="Y438" s="151">
        <f>0</f>
        <v>0</v>
      </c>
      <c r="Z438" s="200">
        <f>0</f>
        <v>0</v>
      </c>
      <c r="AA438" s="142">
        <f t="shared" si="19"/>
        <v>1</v>
      </c>
      <c r="AB438" s="123">
        <v>1</v>
      </c>
      <c r="AC438" s="154">
        <f t="shared" si="20"/>
        <v>0</v>
      </c>
      <c r="AD438" s="176"/>
      <c r="AE438" s="177" t="s">
        <v>529</v>
      </c>
      <c r="AF438" s="84" t="s">
        <v>44</v>
      </c>
      <c r="AG438" s="178"/>
      <c r="AH438" s="177"/>
      <c r="AI438" s="85"/>
      <c r="AJ438" s="86" t="s">
        <v>499</v>
      </c>
      <c r="AK438" s="179" t="e">
        <f t="shared" si="18"/>
        <v>#VALUE!</v>
      </c>
      <c r="AL438" s="173" t="s">
        <v>1231</v>
      </c>
      <c r="AM438" s="77"/>
      <c r="AN438" s="87"/>
      <c r="AO438" s="180"/>
    </row>
    <row r="439" spans="1:41" s="288" customFormat="1" ht="30.75" customHeight="1">
      <c r="A439" s="225">
        <v>447</v>
      </c>
      <c r="B439" s="234">
        <v>44946</v>
      </c>
      <c r="C439" s="235" t="s">
        <v>454</v>
      </c>
      <c r="D439" s="217"/>
      <c r="E439" s="217"/>
      <c r="F439" s="167" t="s">
        <v>1024</v>
      </c>
      <c r="G439" s="84" t="s">
        <v>1121</v>
      </c>
      <c r="H439" s="84" t="s">
        <v>1121</v>
      </c>
      <c r="I439" s="223" t="s">
        <v>188</v>
      </c>
      <c r="J439" s="84"/>
      <c r="K439" s="84"/>
      <c r="L439" s="84"/>
      <c r="M439" s="84"/>
      <c r="N439" s="216"/>
      <c r="O439" s="323">
        <v>2</v>
      </c>
      <c r="P439" s="151">
        <v>0</v>
      </c>
      <c r="Q439" s="151">
        <v>0</v>
      </c>
      <c r="R439" s="151">
        <v>0</v>
      </c>
      <c r="S439" s="151">
        <v>0</v>
      </c>
      <c r="T439" s="151">
        <v>0</v>
      </c>
      <c r="U439" s="151">
        <v>0</v>
      </c>
      <c r="V439" s="151">
        <v>0</v>
      </c>
      <c r="W439" s="151">
        <v>0</v>
      </c>
      <c r="X439" s="151">
        <v>0</v>
      </c>
      <c r="Y439" s="151">
        <f>0</f>
        <v>0</v>
      </c>
      <c r="Z439" s="200">
        <f>0</f>
        <v>0</v>
      </c>
      <c r="AA439" s="142">
        <f t="shared" si="19"/>
        <v>2</v>
      </c>
      <c r="AB439" s="123">
        <v>2</v>
      </c>
      <c r="AC439" s="154">
        <f t="shared" si="20"/>
        <v>0</v>
      </c>
      <c r="AD439" s="176"/>
      <c r="AE439" s="177" t="s">
        <v>529</v>
      </c>
      <c r="AF439" s="84" t="s">
        <v>44</v>
      </c>
      <c r="AG439" s="178"/>
      <c r="AH439" s="177"/>
      <c r="AI439" s="85"/>
      <c r="AJ439" s="86" t="s">
        <v>499</v>
      </c>
      <c r="AK439" s="179" t="e">
        <f t="shared" si="18"/>
        <v>#VALUE!</v>
      </c>
      <c r="AL439" s="173" t="s">
        <v>1231</v>
      </c>
      <c r="AM439" s="77"/>
      <c r="AN439" s="87"/>
      <c r="AO439" s="180"/>
    </row>
    <row r="440" spans="1:41" s="288" customFormat="1" ht="30.75" customHeight="1">
      <c r="A440" s="233">
        <v>448</v>
      </c>
      <c r="B440" s="234">
        <v>44946</v>
      </c>
      <c r="C440" s="235" t="s">
        <v>454</v>
      </c>
      <c r="D440" s="217"/>
      <c r="E440" s="217"/>
      <c r="F440" s="167" t="s">
        <v>1025</v>
      </c>
      <c r="G440" s="84" t="s">
        <v>1122</v>
      </c>
      <c r="H440" s="84" t="s">
        <v>1122</v>
      </c>
      <c r="I440" s="223" t="s">
        <v>188</v>
      </c>
      <c r="J440" s="84"/>
      <c r="K440" s="84"/>
      <c r="L440" s="84"/>
      <c r="M440" s="84"/>
      <c r="N440" s="216"/>
      <c r="O440" s="323">
        <v>2</v>
      </c>
      <c r="P440" s="151">
        <v>0</v>
      </c>
      <c r="Q440" s="151">
        <v>0</v>
      </c>
      <c r="R440" s="151">
        <v>0</v>
      </c>
      <c r="S440" s="151">
        <v>0</v>
      </c>
      <c r="T440" s="151">
        <v>0</v>
      </c>
      <c r="U440" s="151">
        <v>0</v>
      </c>
      <c r="V440" s="151">
        <v>0</v>
      </c>
      <c r="W440" s="151">
        <v>0</v>
      </c>
      <c r="X440" s="151">
        <v>0</v>
      </c>
      <c r="Y440" s="151">
        <f>0</f>
        <v>0</v>
      </c>
      <c r="Z440" s="200">
        <f>0</f>
        <v>0</v>
      </c>
      <c r="AA440" s="142">
        <f t="shared" si="19"/>
        <v>2</v>
      </c>
      <c r="AB440" s="123">
        <v>2</v>
      </c>
      <c r="AC440" s="154">
        <f t="shared" si="20"/>
        <v>0</v>
      </c>
      <c r="AD440" s="176"/>
      <c r="AE440" s="177" t="s">
        <v>529</v>
      </c>
      <c r="AF440" s="84" t="s">
        <v>44</v>
      </c>
      <c r="AG440" s="178"/>
      <c r="AH440" s="177"/>
      <c r="AI440" s="85"/>
      <c r="AJ440" s="86" t="s">
        <v>499</v>
      </c>
      <c r="AK440" s="179" t="e">
        <f t="shared" si="18"/>
        <v>#VALUE!</v>
      </c>
      <c r="AL440" s="173" t="s">
        <v>1231</v>
      </c>
      <c r="AM440" s="77"/>
      <c r="AN440" s="87"/>
      <c r="AO440" s="180"/>
    </row>
    <row r="441" spans="1:41" s="288" customFormat="1" ht="30.75" customHeight="1">
      <c r="A441" s="225">
        <v>449</v>
      </c>
      <c r="B441" s="234">
        <v>44946</v>
      </c>
      <c r="C441" s="235" t="s">
        <v>454</v>
      </c>
      <c r="D441" s="217"/>
      <c r="E441" s="217"/>
      <c r="F441" s="167" t="s">
        <v>1026</v>
      </c>
      <c r="G441" s="84" t="s">
        <v>1123</v>
      </c>
      <c r="H441" s="84" t="s">
        <v>1123</v>
      </c>
      <c r="I441" s="223" t="s">
        <v>188</v>
      </c>
      <c r="J441" s="84"/>
      <c r="K441" s="84"/>
      <c r="L441" s="84"/>
      <c r="M441" s="84"/>
      <c r="N441" s="216"/>
      <c r="O441" s="323">
        <v>1</v>
      </c>
      <c r="P441" s="151">
        <v>0</v>
      </c>
      <c r="Q441" s="151">
        <v>0</v>
      </c>
      <c r="R441" s="151">
        <v>0</v>
      </c>
      <c r="S441" s="151">
        <v>0</v>
      </c>
      <c r="T441" s="151">
        <v>0</v>
      </c>
      <c r="U441" s="151">
        <v>0</v>
      </c>
      <c r="V441" s="151">
        <v>0</v>
      </c>
      <c r="W441" s="151">
        <v>0</v>
      </c>
      <c r="X441" s="151">
        <v>0</v>
      </c>
      <c r="Y441" s="151">
        <f>0</f>
        <v>0</v>
      </c>
      <c r="Z441" s="200">
        <f>0</f>
        <v>0</v>
      </c>
      <c r="AA441" s="142">
        <f t="shared" si="19"/>
        <v>1</v>
      </c>
      <c r="AB441" s="123">
        <v>1</v>
      </c>
      <c r="AC441" s="154">
        <f t="shared" si="20"/>
        <v>0</v>
      </c>
      <c r="AD441" s="176"/>
      <c r="AE441" s="177" t="s">
        <v>529</v>
      </c>
      <c r="AF441" s="84" t="s">
        <v>44</v>
      </c>
      <c r="AG441" s="178"/>
      <c r="AH441" s="177"/>
      <c r="AI441" s="85"/>
      <c r="AJ441" s="86" t="s">
        <v>499</v>
      </c>
      <c r="AK441" s="179" t="e">
        <f t="shared" si="18"/>
        <v>#VALUE!</v>
      </c>
      <c r="AL441" s="173" t="s">
        <v>1231</v>
      </c>
      <c r="AM441" s="77"/>
      <c r="AN441" s="87"/>
      <c r="AO441" s="180"/>
    </row>
    <row r="442" spans="1:41" s="288" customFormat="1" ht="30.75" customHeight="1">
      <c r="A442" s="233">
        <v>450</v>
      </c>
      <c r="B442" s="234">
        <v>44946</v>
      </c>
      <c r="C442" s="235" t="s">
        <v>454</v>
      </c>
      <c r="D442" s="217"/>
      <c r="E442" s="217"/>
      <c r="F442" s="167" t="s">
        <v>1027</v>
      </c>
      <c r="G442" s="84" t="s">
        <v>1124</v>
      </c>
      <c r="H442" s="84" t="s">
        <v>1163</v>
      </c>
      <c r="I442" s="223" t="s">
        <v>188</v>
      </c>
      <c r="J442" s="84"/>
      <c r="K442" s="84"/>
      <c r="L442" s="84"/>
      <c r="M442" s="84"/>
      <c r="N442" s="216"/>
      <c r="O442" s="323">
        <v>1</v>
      </c>
      <c r="P442" s="151">
        <v>0</v>
      </c>
      <c r="Q442" s="151">
        <v>0</v>
      </c>
      <c r="R442" s="151">
        <v>0</v>
      </c>
      <c r="S442" s="151">
        <v>0</v>
      </c>
      <c r="T442" s="151">
        <v>0</v>
      </c>
      <c r="U442" s="151">
        <v>0</v>
      </c>
      <c r="V442" s="151">
        <v>0</v>
      </c>
      <c r="W442" s="151">
        <v>0</v>
      </c>
      <c r="X442" s="151">
        <v>0</v>
      </c>
      <c r="Y442" s="151">
        <f>0</f>
        <v>0</v>
      </c>
      <c r="Z442" s="200">
        <f>0</f>
        <v>0</v>
      </c>
      <c r="AA442" s="142">
        <f t="shared" si="19"/>
        <v>1</v>
      </c>
      <c r="AB442" s="123">
        <v>1</v>
      </c>
      <c r="AC442" s="154">
        <f t="shared" si="20"/>
        <v>0</v>
      </c>
      <c r="AD442" s="176"/>
      <c r="AE442" s="177" t="s">
        <v>529</v>
      </c>
      <c r="AF442" s="84" t="s">
        <v>44</v>
      </c>
      <c r="AG442" s="178"/>
      <c r="AH442" s="177"/>
      <c r="AI442" s="85"/>
      <c r="AJ442" s="86" t="s">
        <v>499</v>
      </c>
      <c r="AK442" s="179" t="e">
        <f t="shared" si="18"/>
        <v>#VALUE!</v>
      </c>
      <c r="AL442" s="173" t="s">
        <v>1231</v>
      </c>
      <c r="AM442" s="77"/>
      <c r="AN442" s="87"/>
      <c r="AO442" s="180"/>
    </row>
    <row r="443" spans="1:41" s="288" customFormat="1" ht="30.75" customHeight="1">
      <c r="A443" s="225">
        <v>451</v>
      </c>
      <c r="B443" s="234">
        <v>44946</v>
      </c>
      <c r="C443" s="235" t="s">
        <v>454</v>
      </c>
      <c r="D443" s="217"/>
      <c r="E443" s="217"/>
      <c r="F443" s="167" t="s">
        <v>1028</v>
      </c>
      <c r="G443" s="84" t="s">
        <v>1125</v>
      </c>
      <c r="H443" s="84" t="s">
        <v>1164</v>
      </c>
      <c r="I443" s="223" t="s">
        <v>170</v>
      </c>
      <c r="J443" s="84"/>
      <c r="K443" s="84"/>
      <c r="L443" s="84"/>
      <c r="M443" s="84"/>
      <c r="N443" s="216" t="s">
        <v>71</v>
      </c>
      <c r="O443" s="391">
        <v>2</v>
      </c>
      <c r="P443" s="77">
        <v>0</v>
      </c>
      <c r="Q443" s="77">
        <v>0</v>
      </c>
      <c r="R443" s="77">
        <v>0</v>
      </c>
      <c r="S443" s="77">
        <v>0</v>
      </c>
      <c r="T443" s="77">
        <v>0</v>
      </c>
      <c r="U443" s="77">
        <v>0</v>
      </c>
      <c r="V443" s="77">
        <v>0</v>
      </c>
      <c r="W443" s="77">
        <v>0</v>
      </c>
      <c r="X443" s="77">
        <v>0</v>
      </c>
      <c r="Y443" s="77">
        <f>0</f>
        <v>0</v>
      </c>
      <c r="Z443" s="392">
        <f>0</f>
        <v>0</v>
      </c>
      <c r="AA443" s="174">
        <f t="shared" si="19"/>
        <v>2</v>
      </c>
      <c r="AB443" s="175">
        <v>2</v>
      </c>
      <c r="AC443" s="172">
        <f t="shared" si="20"/>
        <v>0</v>
      </c>
      <c r="AD443" s="176"/>
      <c r="AE443" s="177" t="s">
        <v>239</v>
      </c>
      <c r="AF443" s="84" t="s">
        <v>1440</v>
      </c>
      <c r="AG443" s="133"/>
      <c r="AH443" s="100"/>
      <c r="AI443" s="85" t="s">
        <v>1438</v>
      </c>
      <c r="AJ443" s="86" t="s">
        <v>499</v>
      </c>
      <c r="AK443" s="179" t="e">
        <f t="shared" si="18"/>
        <v>#VALUE!</v>
      </c>
      <c r="AL443" s="85" t="s">
        <v>1439</v>
      </c>
      <c r="AM443" s="77"/>
      <c r="AN443" s="87"/>
      <c r="AO443" s="180"/>
    </row>
    <row r="444" spans="1:41" s="288" customFormat="1" ht="35">
      <c r="A444" s="233">
        <v>452</v>
      </c>
      <c r="B444" s="234">
        <v>44946</v>
      </c>
      <c r="C444" s="235" t="s">
        <v>454</v>
      </c>
      <c r="D444" s="217"/>
      <c r="E444" s="217"/>
      <c r="F444" s="167" t="s">
        <v>1029</v>
      </c>
      <c r="G444" s="84" t="s">
        <v>1126</v>
      </c>
      <c r="H444" s="84" t="s">
        <v>1165</v>
      </c>
      <c r="I444" s="223" t="s">
        <v>170</v>
      </c>
      <c r="J444" s="84"/>
      <c r="K444" s="84"/>
      <c r="L444" s="84"/>
      <c r="M444" s="84"/>
      <c r="N444" s="216" t="s">
        <v>71</v>
      </c>
      <c r="O444" s="391">
        <v>9</v>
      </c>
      <c r="P444" s="77">
        <v>0</v>
      </c>
      <c r="Q444" s="77">
        <v>0</v>
      </c>
      <c r="R444" s="77">
        <v>0</v>
      </c>
      <c r="S444" s="77">
        <v>0</v>
      </c>
      <c r="T444" s="77">
        <v>0</v>
      </c>
      <c r="U444" s="77">
        <v>0</v>
      </c>
      <c r="V444" s="77">
        <v>0</v>
      </c>
      <c r="W444" s="77">
        <v>0</v>
      </c>
      <c r="X444" s="77">
        <v>0</v>
      </c>
      <c r="Y444" s="77">
        <f>0</f>
        <v>0</v>
      </c>
      <c r="Z444" s="392">
        <f>0</f>
        <v>0</v>
      </c>
      <c r="AA444" s="174">
        <f t="shared" si="19"/>
        <v>9</v>
      </c>
      <c r="AB444" s="175">
        <v>9</v>
      </c>
      <c r="AC444" s="172">
        <f t="shared" si="20"/>
        <v>0</v>
      </c>
      <c r="AD444" s="176"/>
      <c r="AE444" s="177" t="s">
        <v>239</v>
      </c>
      <c r="AF444" s="84" t="s">
        <v>1441</v>
      </c>
      <c r="AG444" s="133"/>
      <c r="AH444" s="100"/>
      <c r="AI444" s="88" t="s">
        <v>1438</v>
      </c>
      <c r="AJ444" s="86" t="s">
        <v>499</v>
      </c>
      <c r="AK444" s="179" t="e">
        <f t="shared" si="18"/>
        <v>#VALUE!</v>
      </c>
      <c r="AL444" s="85" t="s">
        <v>1439</v>
      </c>
      <c r="AM444" s="77"/>
      <c r="AN444" s="87"/>
      <c r="AO444" s="180"/>
    </row>
    <row r="445" spans="1:41" s="288" customFormat="1" ht="35">
      <c r="A445" s="225">
        <v>453</v>
      </c>
      <c r="B445" s="234">
        <v>44946</v>
      </c>
      <c r="C445" s="235" t="s">
        <v>454</v>
      </c>
      <c r="D445" s="217"/>
      <c r="E445" s="217"/>
      <c r="F445" s="167" t="s">
        <v>1030</v>
      </c>
      <c r="G445" s="84" t="s">
        <v>1127</v>
      </c>
      <c r="H445" s="84" t="s">
        <v>1166</v>
      </c>
      <c r="I445" s="223" t="s">
        <v>170</v>
      </c>
      <c r="J445" s="84"/>
      <c r="K445" s="84"/>
      <c r="L445" s="84"/>
      <c r="M445" s="84"/>
      <c r="N445" s="216" t="s">
        <v>71</v>
      </c>
      <c r="O445" s="391">
        <v>4</v>
      </c>
      <c r="P445" s="77">
        <v>0</v>
      </c>
      <c r="Q445" s="77">
        <v>0</v>
      </c>
      <c r="R445" s="77">
        <v>0</v>
      </c>
      <c r="S445" s="77">
        <v>0</v>
      </c>
      <c r="T445" s="77">
        <v>0</v>
      </c>
      <c r="U445" s="77">
        <v>0</v>
      </c>
      <c r="V445" s="77">
        <v>0</v>
      </c>
      <c r="W445" s="77">
        <v>0</v>
      </c>
      <c r="X445" s="77">
        <v>0</v>
      </c>
      <c r="Y445" s="77">
        <f>0</f>
        <v>0</v>
      </c>
      <c r="Z445" s="392">
        <f>0</f>
        <v>0</v>
      </c>
      <c r="AA445" s="174">
        <f t="shared" si="19"/>
        <v>4</v>
      </c>
      <c r="AB445" s="175"/>
      <c r="AC445" s="172">
        <f t="shared" si="20"/>
        <v>4</v>
      </c>
      <c r="AD445" s="176">
        <v>45013</v>
      </c>
      <c r="AE445" s="177" t="s">
        <v>239</v>
      </c>
      <c r="AF445" s="84" t="s">
        <v>1553</v>
      </c>
      <c r="AG445" s="133"/>
      <c r="AH445" s="146">
        <v>45062</v>
      </c>
      <c r="AI445" s="88" t="s">
        <v>1438</v>
      </c>
      <c r="AJ445" s="86"/>
      <c r="AK445" s="179">
        <f t="shared" ref="AK445:AK508" si="21">AC445-AJ445</f>
        <v>4</v>
      </c>
      <c r="AL445" s="85"/>
      <c r="AM445" s="77"/>
      <c r="AN445" s="87"/>
      <c r="AO445" s="180"/>
    </row>
    <row r="446" spans="1:41" s="288" customFormat="1" ht="30.75" customHeight="1">
      <c r="A446" s="233">
        <v>454</v>
      </c>
      <c r="B446" s="234">
        <v>44946</v>
      </c>
      <c r="C446" s="235" t="s">
        <v>454</v>
      </c>
      <c r="D446" s="217"/>
      <c r="E446" s="217"/>
      <c r="F446" s="167" t="s">
        <v>1031</v>
      </c>
      <c r="G446" s="84" t="s">
        <v>1128</v>
      </c>
      <c r="H446" s="84" t="s">
        <v>1167</v>
      </c>
      <c r="I446" s="223" t="s">
        <v>170</v>
      </c>
      <c r="J446" s="84"/>
      <c r="K446" s="84"/>
      <c r="L446" s="84"/>
      <c r="M446" s="84"/>
      <c r="N446" s="216" t="s">
        <v>71</v>
      </c>
      <c r="O446" s="391">
        <v>3</v>
      </c>
      <c r="P446" s="77">
        <v>0</v>
      </c>
      <c r="Q446" s="77">
        <v>0</v>
      </c>
      <c r="R446" s="77">
        <v>0</v>
      </c>
      <c r="S446" s="77">
        <v>0</v>
      </c>
      <c r="T446" s="77">
        <v>0</v>
      </c>
      <c r="U446" s="77">
        <v>0</v>
      </c>
      <c r="V446" s="77">
        <v>0</v>
      </c>
      <c r="W446" s="77">
        <v>0</v>
      </c>
      <c r="X446" s="77">
        <v>0</v>
      </c>
      <c r="Y446" s="77">
        <f>0</f>
        <v>0</v>
      </c>
      <c r="Z446" s="392">
        <f>0</f>
        <v>0</v>
      </c>
      <c r="AA446" s="174">
        <f t="shared" si="19"/>
        <v>3</v>
      </c>
      <c r="AB446" s="175"/>
      <c r="AC446" s="172">
        <f t="shared" si="20"/>
        <v>3</v>
      </c>
      <c r="AD446" s="176">
        <v>45013</v>
      </c>
      <c r="AE446" s="177" t="s">
        <v>239</v>
      </c>
      <c r="AF446" s="84" t="s">
        <v>1553</v>
      </c>
      <c r="AG446" s="133"/>
      <c r="AH446" s="146">
        <v>45062</v>
      </c>
      <c r="AI446" s="88" t="s">
        <v>1438</v>
      </c>
      <c r="AJ446" s="86"/>
      <c r="AK446" s="179">
        <f t="shared" si="21"/>
        <v>3</v>
      </c>
      <c r="AL446" s="85"/>
      <c r="AM446" s="77"/>
      <c r="AN446" s="87"/>
      <c r="AO446" s="180"/>
    </row>
    <row r="447" spans="1:41" s="288" customFormat="1" ht="30.75" customHeight="1">
      <c r="A447" s="225">
        <v>455</v>
      </c>
      <c r="B447" s="234">
        <v>44946</v>
      </c>
      <c r="C447" s="235" t="s">
        <v>454</v>
      </c>
      <c r="D447" s="217"/>
      <c r="E447" s="217"/>
      <c r="F447" s="167" t="s">
        <v>1032</v>
      </c>
      <c r="G447" s="84" t="s">
        <v>1129</v>
      </c>
      <c r="H447" s="84" t="s">
        <v>1129</v>
      </c>
      <c r="I447" s="223" t="s">
        <v>1186</v>
      </c>
      <c r="J447" s="84"/>
      <c r="K447" s="84"/>
      <c r="L447" s="84"/>
      <c r="M447" s="84"/>
      <c r="N447" s="216"/>
      <c r="O447" s="323">
        <v>1</v>
      </c>
      <c r="P447" s="151">
        <v>0</v>
      </c>
      <c r="Q447" s="151">
        <v>0</v>
      </c>
      <c r="R447" s="151">
        <v>0</v>
      </c>
      <c r="S447" s="151">
        <v>0</v>
      </c>
      <c r="T447" s="151">
        <v>0</v>
      </c>
      <c r="U447" s="151">
        <v>0</v>
      </c>
      <c r="V447" s="151">
        <v>0</v>
      </c>
      <c r="W447" s="151">
        <v>0</v>
      </c>
      <c r="X447" s="151">
        <v>0</v>
      </c>
      <c r="Y447" s="151">
        <f>0</f>
        <v>0</v>
      </c>
      <c r="Z447" s="200">
        <f>0</f>
        <v>0</v>
      </c>
      <c r="AA447" s="142">
        <f t="shared" si="19"/>
        <v>1</v>
      </c>
      <c r="AB447" s="123">
        <v>1</v>
      </c>
      <c r="AC447" s="154">
        <f t="shared" si="20"/>
        <v>0</v>
      </c>
      <c r="AD447" s="176"/>
      <c r="AE447" s="177" t="s">
        <v>529</v>
      </c>
      <c r="AF447" s="84" t="s">
        <v>44</v>
      </c>
      <c r="AG447" s="178"/>
      <c r="AH447" s="177"/>
      <c r="AI447" s="88"/>
      <c r="AJ447" s="86" t="s">
        <v>499</v>
      </c>
      <c r="AK447" s="179" t="e">
        <f t="shared" si="21"/>
        <v>#VALUE!</v>
      </c>
      <c r="AL447" s="85" t="s">
        <v>1231</v>
      </c>
      <c r="AM447" s="77"/>
      <c r="AN447" s="87"/>
      <c r="AO447" s="180"/>
    </row>
    <row r="448" spans="1:41" s="288" customFormat="1" ht="30.75" customHeight="1">
      <c r="A448" s="233">
        <v>456</v>
      </c>
      <c r="B448" s="234">
        <v>44946</v>
      </c>
      <c r="C448" s="235" t="s">
        <v>454</v>
      </c>
      <c r="D448" s="217"/>
      <c r="E448" s="217"/>
      <c r="F448" s="167" t="s">
        <v>1033</v>
      </c>
      <c r="G448" s="84" t="s">
        <v>1130</v>
      </c>
      <c r="H448" s="84" t="s">
        <v>1130</v>
      </c>
      <c r="I448" s="223" t="s">
        <v>1186</v>
      </c>
      <c r="J448" s="84"/>
      <c r="K448" s="84"/>
      <c r="L448" s="84"/>
      <c r="M448" s="84"/>
      <c r="N448" s="216"/>
      <c r="O448" s="391">
        <v>9</v>
      </c>
      <c r="P448" s="77">
        <v>0</v>
      </c>
      <c r="Q448" s="77">
        <v>0</v>
      </c>
      <c r="R448" s="77">
        <v>0</v>
      </c>
      <c r="S448" s="77">
        <v>0</v>
      </c>
      <c r="T448" s="77">
        <v>0</v>
      </c>
      <c r="U448" s="77">
        <v>0</v>
      </c>
      <c r="V448" s="77">
        <v>0</v>
      </c>
      <c r="W448" s="77">
        <v>0</v>
      </c>
      <c r="X448" s="77">
        <v>0</v>
      </c>
      <c r="Y448" s="77">
        <f>0</f>
        <v>0</v>
      </c>
      <c r="Z448" s="392">
        <f>0</f>
        <v>0</v>
      </c>
      <c r="AA448" s="174">
        <f t="shared" si="19"/>
        <v>9</v>
      </c>
      <c r="AB448" s="175">
        <v>7</v>
      </c>
      <c r="AC448" s="172">
        <f t="shared" si="20"/>
        <v>2</v>
      </c>
      <c r="AD448" s="176"/>
      <c r="AE448" s="177" t="s">
        <v>529</v>
      </c>
      <c r="AF448" s="379" t="s">
        <v>1613</v>
      </c>
      <c r="AG448" s="178"/>
      <c r="AH448" s="177"/>
      <c r="AI448" s="85"/>
      <c r="AJ448" s="86"/>
      <c r="AK448" s="179">
        <f t="shared" si="21"/>
        <v>2</v>
      </c>
      <c r="AL448" s="85" t="s">
        <v>1231</v>
      </c>
      <c r="AM448" s="77"/>
      <c r="AN448" s="87"/>
      <c r="AO448" s="180"/>
    </row>
    <row r="449" spans="1:41" s="288" customFormat="1" ht="30.75" customHeight="1">
      <c r="A449" s="225">
        <v>457</v>
      </c>
      <c r="B449" s="234">
        <v>44946</v>
      </c>
      <c r="C449" s="235" t="s">
        <v>454</v>
      </c>
      <c r="D449" s="217"/>
      <c r="E449" s="217"/>
      <c r="F449" s="167" t="s">
        <v>1034</v>
      </c>
      <c r="G449" s="84" t="s">
        <v>1131</v>
      </c>
      <c r="H449" s="84" t="s">
        <v>1131</v>
      </c>
      <c r="I449" s="223" t="s">
        <v>227</v>
      </c>
      <c r="J449" s="84"/>
      <c r="K449" s="84"/>
      <c r="L449" s="84"/>
      <c r="M449" s="84"/>
      <c r="N449" s="216"/>
      <c r="O449" s="323">
        <v>6</v>
      </c>
      <c r="P449" s="151">
        <v>0</v>
      </c>
      <c r="Q449" s="151">
        <v>0</v>
      </c>
      <c r="R449" s="151">
        <v>0</v>
      </c>
      <c r="S449" s="151">
        <v>0</v>
      </c>
      <c r="T449" s="151">
        <v>0</v>
      </c>
      <c r="U449" s="151">
        <v>0</v>
      </c>
      <c r="V449" s="151">
        <v>0</v>
      </c>
      <c r="W449" s="151">
        <v>0</v>
      </c>
      <c r="X449" s="151">
        <v>0</v>
      </c>
      <c r="Y449" s="151">
        <f>0</f>
        <v>0</v>
      </c>
      <c r="Z449" s="200">
        <f>0</f>
        <v>0</v>
      </c>
      <c r="AA449" s="174">
        <f t="shared" si="19"/>
        <v>6</v>
      </c>
      <c r="AB449" s="175"/>
      <c r="AC449" s="172">
        <f t="shared" si="20"/>
        <v>6</v>
      </c>
      <c r="AD449" s="176">
        <v>44967</v>
      </c>
      <c r="AE449" s="177" t="s">
        <v>282</v>
      </c>
      <c r="AF449" s="284" t="s">
        <v>1398</v>
      </c>
      <c r="AG449" s="178"/>
      <c r="AH449" s="177"/>
      <c r="AI449" s="85"/>
      <c r="AJ449" s="86">
        <v>6</v>
      </c>
      <c r="AK449" s="179">
        <f t="shared" si="21"/>
        <v>0</v>
      </c>
      <c r="AL449" s="85" t="s">
        <v>1489</v>
      </c>
      <c r="AM449" s="77"/>
      <c r="AN449" s="87"/>
      <c r="AO449" s="180"/>
    </row>
    <row r="450" spans="1:41" s="288" customFormat="1" ht="30.75" customHeight="1">
      <c r="A450" s="233">
        <v>458</v>
      </c>
      <c r="B450" s="234">
        <v>44946</v>
      </c>
      <c r="C450" s="235" t="s">
        <v>454</v>
      </c>
      <c r="D450" s="217"/>
      <c r="E450" s="217"/>
      <c r="F450" s="167" t="s">
        <v>1035</v>
      </c>
      <c r="G450" s="84" t="s">
        <v>1132</v>
      </c>
      <c r="H450" s="84" t="s">
        <v>1132</v>
      </c>
      <c r="I450" s="223" t="s">
        <v>227</v>
      </c>
      <c r="J450" s="84"/>
      <c r="K450" s="84"/>
      <c r="L450" s="84"/>
      <c r="M450" s="84"/>
      <c r="N450" s="216"/>
      <c r="O450" s="323">
        <v>2</v>
      </c>
      <c r="P450" s="151">
        <v>0</v>
      </c>
      <c r="Q450" s="151">
        <v>0</v>
      </c>
      <c r="R450" s="151">
        <v>0</v>
      </c>
      <c r="S450" s="151">
        <v>0</v>
      </c>
      <c r="T450" s="151">
        <v>0</v>
      </c>
      <c r="U450" s="151">
        <v>0</v>
      </c>
      <c r="V450" s="151">
        <v>0</v>
      </c>
      <c r="W450" s="151">
        <v>0</v>
      </c>
      <c r="X450" s="151">
        <v>0</v>
      </c>
      <c r="Y450" s="151">
        <f>0</f>
        <v>0</v>
      </c>
      <c r="Z450" s="200">
        <f>0</f>
        <v>0</v>
      </c>
      <c r="AA450" s="142">
        <f t="shared" si="19"/>
        <v>2</v>
      </c>
      <c r="AB450" s="123">
        <v>2</v>
      </c>
      <c r="AC450" s="154">
        <f t="shared" si="20"/>
        <v>0</v>
      </c>
      <c r="AD450" s="176"/>
      <c r="AE450" s="177" t="s">
        <v>529</v>
      </c>
      <c r="AF450" s="130" t="s">
        <v>1234</v>
      </c>
      <c r="AG450" s="178"/>
      <c r="AH450" s="177"/>
      <c r="AI450" s="85"/>
      <c r="AJ450" s="86" t="s">
        <v>499</v>
      </c>
      <c r="AK450" s="179" t="e">
        <f t="shared" si="21"/>
        <v>#VALUE!</v>
      </c>
      <c r="AL450" s="85" t="s">
        <v>1231</v>
      </c>
      <c r="AM450" s="77"/>
      <c r="AN450" s="87"/>
      <c r="AO450" s="180"/>
    </row>
    <row r="451" spans="1:41" s="288" customFormat="1" ht="30.75" customHeight="1">
      <c r="A451" s="225">
        <v>459</v>
      </c>
      <c r="B451" s="234">
        <v>44946</v>
      </c>
      <c r="C451" s="235" t="s">
        <v>454</v>
      </c>
      <c r="D451" s="217"/>
      <c r="E451" s="217"/>
      <c r="F451" s="167" t="s">
        <v>1035</v>
      </c>
      <c r="G451" s="84" t="s">
        <v>1133</v>
      </c>
      <c r="H451" s="84" t="s">
        <v>1133</v>
      </c>
      <c r="I451" s="223" t="s">
        <v>227</v>
      </c>
      <c r="J451" s="84"/>
      <c r="K451" s="84"/>
      <c r="L451" s="84"/>
      <c r="M451" s="84"/>
      <c r="N451" s="216"/>
      <c r="O451" s="323">
        <v>2</v>
      </c>
      <c r="P451" s="151">
        <v>0</v>
      </c>
      <c r="Q451" s="151">
        <v>0</v>
      </c>
      <c r="R451" s="151">
        <v>0</v>
      </c>
      <c r="S451" s="151">
        <v>0</v>
      </c>
      <c r="T451" s="151">
        <v>0</v>
      </c>
      <c r="U451" s="151">
        <v>0</v>
      </c>
      <c r="V451" s="151">
        <v>0</v>
      </c>
      <c r="W451" s="151">
        <v>0</v>
      </c>
      <c r="X451" s="151">
        <v>0</v>
      </c>
      <c r="Y451" s="151">
        <f>0</f>
        <v>0</v>
      </c>
      <c r="Z451" s="200">
        <f>0</f>
        <v>0</v>
      </c>
      <c r="AA451" s="142">
        <f t="shared" si="19"/>
        <v>2</v>
      </c>
      <c r="AB451" s="123">
        <v>2</v>
      </c>
      <c r="AC451" s="154">
        <f t="shared" si="20"/>
        <v>0</v>
      </c>
      <c r="AD451" s="176"/>
      <c r="AE451" s="177" t="s">
        <v>529</v>
      </c>
      <c r="AF451" s="84" t="s">
        <v>1234</v>
      </c>
      <c r="AG451" s="178"/>
      <c r="AH451" s="177"/>
      <c r="AI451" s="85"/>
      <c r="AJ451" s="86" t="s">
        <v>499</v>
      </c>
      <c r="AK451" s="179" t="e">
        <f t="shared" si="21"/>
        <v>#VALUE!</v>
      </c>
      <c r="AL451" s="85" t="s">
        <v>1231</v>
      </c>
      <c r="AM451" s="77"/>
      <c r="AN451" s="87"/>
      <c r="AO451" s="180"/>
    </row>
    <row r="452" spans="1:41" s="288" customFormat="1" ht="30.75" customHeight="1">
      <c r="A452" s="233">
        <v>460</v>
      </c>
      <c r="B452" s="234">
        <v>44946</v>
      </c>
      <c r="C452" s="235" t="s">
        <v>454</v>
      </c>
      <c r="D452" s="217"/>
      <c r="E452" s="377"/>
      <c r="F452" s="167" t="s">
        <v>1036</v>
      </c>
      <c r="G452" s="84" t="s">
        <v>1134</v>
      </c>
      <c r="H452" s="84" t="s">
        <v>1134</v>
      </c>
      <c r="I452" s="223" t="s">
        <v>227</v>
      </c>
      <c r="J452" s="84"/>
      <c r="K452" s="84"/>
      <c r="L452" s="84"/>
      <c r="M452" s="84"/>
      <c r="N452" s="216"/>
      <c r="O452" s="323">
        <v>1</v>
      </c>
      <c r="P452" s="151">
        <v>0</v>
      </c>
      <c r="Q452" s="151">
        <v>0</v>
      </c>
      <c r="R452" s="151">
        <v>0</v>
      </c>
      <c r="S452" s="151">
        <v>0</v>
      </c>
      <c r="T452" s="151">
        <v>0</v>
      </c>
      <c r="U452" s="151">
        <v>0</v>
      </c>
      <c r="V452" s="151">
        <v>0</v>
      </c>
      <c r="W452" s="151">
        <v>0</v>
      </c>
      <c r="X452" s="151">
        <v>0</v>
      </c>
      <c r="Y452" s="151">
        <f>0</f>
        <v>0</v>
      </c>
      <c r="Z452" s="200">
        <f>0</f>
        <v>0</v>
      </c>
      <c r="AA452" s="174">
        <f t="shared" si="19"/>
        <v>1</v>
      </c>
      <c r="AB452" s="175"/>
      <c r="AC452" s="172">
        <f t="shared" si="20"/>
        <v>1</v>
      </c>
      <c r="AD452" s="176">
        <v>44967</v>
      </c>
      <c r="AE452" s="177" t="s">
        <v>282</v>
      </c>
      <c r="AF452" s="284" t="s">
        <v>1398</v>
      </c>
      <c r="AG452" s="178"/>
      <c r="AH452" s="177"/>
      <c r="AI452" s="85"/>
      <c r="AJ452" s="86">
        <v>1</v>
      </c>
      <c r="AK452" s="179">
        <f t="shared" si="21"/>
        <v>0</v>
      </c>
      <c r="AL452" s="85" t="s">
        <v>1489</v>
      </c>
      <c r="AM452" s="77"/>
      <c r="AN452" s="87"/>
      <c r="AO452" s="180"/>
    </row>
    <row r="453" spans="1:41" s="288" customFormat="1" ht="30.75" customHeight="1">
      <c r="A453" s="225">
        <v>461</v>
      </c>
      <c r="B453" s="234">
        <v>44946</v>
      </c>
      <c r="C453" s="235" t="s">
        <v>454</v>
      </c>
      <c r="D453" s="217"/>
      <c r="E453" s="377"/>
      <c r="F453" s="167" t="s">
        <v>1036</v>
      </c>
      <c r="G453" s="84" t="s">
        <v>1135</v>
      </c>
      <c r="H453" s="84" t="s">
        <v>1135</v>
      </c>
      <c r="I453" s="223" t="s">
        <v>227</v>
      </c>
      <c r="J453" s="84"/>
      <c r="K453" s="84"/>
      <c r="L453" s="84"/>
      <c r="M453" s="84"/>
      <c r="N453" s="216"/>
      <c r="O453" s="323">
        <v>1</v>
      </c>
      <c r="P453" s="151">
        <v>0</v>
      </c>
      <c r="Q453" s="151">
        <v>0</v>
      </c>
      <c r="R453" s="151">
        <v>0</v>
      </c>
      <c r="S453" s="151">
        <v>0</v>
      </c>
      <c r="T453" s="151">
        <v>0</v>
      </c>
      <c r="U453" s="151">
        <v>0</v>
      </c>
      <c r="V453" s="151">
        <v>0</v>
      </c>
      <c r="W453" s="151">
        <v>0</v>
      </c>
      <c r="X453" s="151">
        <v>0</v>
      </c>
      <c r="Y453" s="151">
        <f>0</f>
        <v>0</v>
      </c>
      <c r="Z453" s="200">
        <f>0</f>
        <v>0</v>
      </c>
      <c r="AA453" s="174">
        <f t="shared" si="19"/>
        <v>1</v>
      </c>
      <c r="AB453" s="175"/>
      <c r="AC453" s="172">
        <f t="shared" si="20"/>
        <v>1</v>
      </c>
      <c r="AD453" s="176">
        <v>44967</v>
      </c>
      <c r="AE453" s="177" t="s">
        <v>282</v>
      </c>
      <c r="AF453" s="253" t="s">
        <v>1398</v>
      </c>
      <c r="AG453" s="178"/>
      <c r="AH453" s="177"/>
      <c r="AI453" s="85"/>
      <c r="AJ453" s="86">
        <v>1</v>
      </c>
      <c r="AK453" s="179">
        <f t="shared" si="21"/>
        <v>0</v>
      </c>
      <c r="AL453" s="85" t="s">
        <v>1489</v>
      </c>
      <c r="AM453" s="77"/>
      <c r="AN453" s="87"/>
      <c r="AO453" s="180"/>
    </row>
    <row r="454" spans="1:41" s="288" customFormat="1" ht="30.75" customHeight="1">
      <c r="A454" s="233">
        <v>462</v>
      </c>
      <c r="B454" s="234">
        <v>44946</v>
      </c>
      <c r="C454" s="235" t="s">
        <v>454</v>
      </c>
      <c r="D454" s="217"/>
      <c r="E454" s="217"/>
      <c r="F454" s="167" t="s">
        <v>1037</v>
      </c>
      <c r="G454" s="84" t="s">
        <v>1136</v>
      </c>
      <c r="H454" s="84" t="s">
        <v>1136</v>
      </c>
      <c r="I454" s="223" t="s">
        <v>227</v>
      </c>
      <c r="J454" s="84"/>
      <c r="K454" s="84"/>
      <c r="L454" s="84"/>
      <c r="M454" s="84"/>
      <c r="N454" s="216"/>
      <c r="O454" s="323">
        <v>2</v>
      </c>
      <c r="P454" s="151">
        <v>0</v>
      </c>
      <c r="Q454" s="151">
        <v>0</v>
      </c>
      <c r="R454" s="151">
        <v>0</v>
      </c>
      <c r="S454" s="151">
        <v>0</v>
      </c>
      <c r="T454" s="151">
        <v>0</v>
      </c>
      <c r="U454" s="151">
        <v>0</v>
      </c>
      <c r="V454" s="151">
        <v>0</v>
      </c>
      <c r="W454" s="151">
        <v>0</v>
      </c>
      <c r="X454" s="151">
        <v>0</v>
      </c>
      <c r="Y454" s="151">
        <f>0</f>
        <v>0</v>
      </c>
      <c r="Z454" s="200">
        <f>0</f>
        <v>0</v>
      </c>
      <c r="AA454" s="142">
        <f t="shared" ref="AA454:AA517" si="22">SUM(O454:Z454)</f>
        <v>2</v>
      </c>
      <c r="AB454" s="123">
        <v>2</v>
      </c>
      <c r="AC454" s="154">
        <f t="shared" ref="AC454:AC517" si="23">AA454-AB454</f>
        <v>0</v>
      </c>
      <c r="AD454" s="176"/>
      <c r="AE454" s="177" t="s">
        <v>529</v>
      </c>
      <c r="AF454" s="84" t="s">
        <v>44</v>
      </c>
      <c r="AG454" s="178"/>
      <c r="AH454" s="177"/>
      <c r="AI454" s="85"/>
      <c r="AJ454" s="86" t="s">
        <v>499</v>
      </c>
      <c r="AK454" s="179" t="e">
        <f t="shared" si="21"/>
        <v>#VALUE!</v>
      </c>
      <c r="AL454" s="85" t="s">
        <v>1231</v>
      </c>
      <c r="AM454" s="77"/>
      <c r="AN454" s="87"/>
      <c r="AO454" s="180"/>
    </row>
    <row r="455" spans="1:41" s="288" customFormat="1" ht="30.75" customHeight="1">
      <c r="A455" s="225">
        <v>463</v>
      </c>
      <c r="B455" s="234">
        <v>44946</v>
      </c>
      <c r="C455" s="235" t="s">
        <v>454</v>
      </c>
      <c r="D455" s="217"/>
      <c r="E455" s="377"/>
      <c r="F455" s="167" t="s">
        <v>1038</v>
      </c>
      <c r="G455" s="84" t="s">
        <v>1137</v>
      </c>
      <c r="H455" s="84" t="s">
        <v>1137</v>
      </c>
      <c r="I455" s="223" t="s">
        <v>227</v>
      </c>
      <c r="J455" s="84"/>
      <c r="K455" s="84"/>
      <c r="L455" s="84"/>
      <c r="M455" s="84"/>
      <c r="N455" s="216"/>
      <c r="O455" s="323">
        <v>1</v>
      </c>
      <c r="P455" s="151">
        <v>0</v>
      </c>
      <c r="Q455" s="151">
        <v>0</v>
      </c>
      <c r="R455" s="151">
        <v>0</v>
      </c>
      <c r="S455" s="151">
        <v>0</v>
      </c>
      <c r="T455" s="151">
        <v>0</v>
      </c>
      <c r="U455" s="151">
        <v>0</v>
      </c>
      <c r="V455" s="151">
        <v>0</v>
      </c>
      <c r="W455" s="151">
        <v>0</v>
      </c>
      <c r="X455" s="151">
        <v>0</v>
      </c>
      <c r="Y455" s="151">
        <f>0</f>
        <v>0</v>
      </c>
      <c r="Z455" s="200">
        <f>0</f>
        <v>0</v>
      </c>
      <c r="AA455" s="174">
        <f t="shared" si="22"/>
        <v>1</v>
      </c>
      <c r="AB455" s="175"/>
      <c r="AC455" s="172">
        <f t="shared" si="23"/>
        <v>1</v>
      </c>
      <c r="AD455" s="176">
        <v>44967</v>
      </c>
      <c r="AE455" s="177" t="s">
        <v>282</v>
      </c>
      <c r="AF455" s="284" t="s">
        <v>1398</v>
      </c>
      <c r="AG455" s="178"/>
      <c r="AH455" s="177"/>
      <c r="AI455" s="85"/>
      <c r="AJ455" s="86">
        <v>1</v>
      </c>
      <c r="AK455" s="179">
        <f t="shared" si="21"/>
        <v>0</v>
      </c>
      <c r="AL455" s="85" t="s">
        <v>1489</v>
      </c>
      <c r="AM455" s="77"/>
      <c r="AN455" s="87"/>
      <c r="AO455" s="180"/>
    </row>
    <row r="456" spans="1:41" s="288" customFormat="1" ht="30.75" customHeight="1">
      <c r="A456" s="233">
        <v>464</v>
      </c>
      <c r="B456" s="234">
        <v>44946</v>
      </c>
      <c r="C456" s="235" t="s">
        <v>454</v>
      </c>
      <c r="D456" s="217"/>
      <c r="E456" s="217"/>
      <c r="F456" s="167" t="s">
        <v>1039</v>
      </c>
      <c r="G456" s="84" t="s">
        <v>1511</v>
      </c>
      <c r="H456" s="84" t="s">
        <v>1509</v>
      </c>
      <c r="I456" s="223" t="s">
        <v>1508</v>
      </c>
      <c r="J456" s="84"/>
      <c r="K456" s="84"/>
      <c r="L456" s="84"/>
      <c r="M456" s="84"/>
      <c r="N456" s="216"/>
      <c r="O456" s="323">
        <v>1</v>
      </c>
      <c r="P456" s="151">
        <v>0</v>
      </c>
      <c r="Q456" s="151">
        <v>0</v>
      </c>
      <c r="R456" s="151">
        <v>0</v>
      </c>
      <c r="S456" s="151">
        <v>0</v>
      </c>
      <c r="T456" s="151">
        <v>0</v>
      </c>
      <c r="U456" s="151">
        <v>0</v>
      </c>
      <c r="V456" s="151">
        <v>0</v>
      </c>
      <c r="W456" s="151">
        <v>0</v>
      </c>
      <c r="X456" s="151">
        <v>0</v>
      </c>
      <c r="Y456" s="151">
        <f>0</f>
        <v>0</v>
      </c>
      <c r="Z456" s="200">
        <f>0</f>
        <v>0</v>
      </c>
      <c r="AA456" s="174">
        <f t="shared" si="22"/>
        <v>1</v>
      </c>
      <c r="AB456" s="175">
        <v>1</v>
      </c>
      <c r="AC456" s="172">
        <f t="shared" si="23"/>
        <v>0</v>
      </c>
      <c r="AD456" s="176"/>
      <c r="AE456" s="177"/>
      <c r="AF456" s="130" t="s">
        <v>292</v>
      </c>
      <c r="AG456" s="178"/>
      <c r="AH456" s="177"/>
      <c r="AI456" s="85"/>
      <c r="AJ456" s="86" t="s">
        <v>284</v>
      </c>
      <c r="AK456" s="179" t="e">
        <f t="shared" si="21"/>
        <v>#VALUE!</v>
      </c>
      <c r="AL456" s="85" t="s">
        <v>1507</v>
      </c>
      <c r="AM456" s="77"/>
      <c r="AN456" s="87"/>
      <c r="AO456" s="180"/>
    </row>
    <row r="457" spans="1:41" s="288" customFormat="1" ht="54.75" customHeight="1">
      <c r="A457" s="225">
        <v>465</v>
      </c>
      <c r="B457" s="234">
        <v>44946</v>
      </c>
      <c r="C457" s="235" t="s">
        <v>454</v>
      </c>
      <c r="D457" s="217"/>
      <c r="E457" s="217"/>
      <c r="F457" s="167" t="s">
        <v>1040</v>
      </c>
      <c r="G457" s="84" t="s">
        <v>1512</v>
      </c>
      <c r="H457" s="84" t="s">
        <v>1510</v>
      </c>
      <c r="I457" s="223" t="s">
        <v>1508</v>
      </c>
      <c r="J457" s="84"/>
      <c r="K457" s="84"/>
      <c r="L457" s="84"/>
      <c r="M457" s="84"/>
      <c r="N457" s="216"/>
      <c r="O457" s="323">
        <v>1</v>
      </c>
      <c r="P457" s="151">
        <v>0</v>
      </c>
      <c r="Q457" s="151">
        <v>0</v>
      </c>
      <c r="R457" s="151">
        <v>0</v>
      </c>
      <c r="S457" s="151">
        <v>0</v>
      </c>
      <c r="T457" s="151">
        <v>0</v>
      </c>
      <c r="U457" s="151">
        <v>0</v>
      </c>
      <c r="V457" s="151">
        <v>0</v>
      </c>
      <c r="W457" s="151">
        <v>0</v>
      </c>
      <c r="X457" s="151">
        <v>0</v>
      </c>
      <c r="Y457" s="151">
        <f>0</f>
        <v>0</v>
      </c>
      <c r="Z457" s="200">
        <f>0</f>
        <v>0</v>
      </c>
      <c r="AA457" s="174">
        <f t="shared" si="22"/>
        <v>1</v>
      </c>
      <c r="AB457" s="175">
        <v>1</v>
      </c>
      <c r="AC457" s="172">
        <f t="shared" si="23"/>
        <v>0</v>
      </c>
      <c r="AD457" s="176"/>
      <c r="AE457" s="177"/>
      <c r="AF457" s="84" t="s">
        <v>292</v>
      </c>
      <c r="AG457" s="178"/>
      <c r="AH457" s="177"/>
      <c r="AI457" s="85"/>
      <c r="AJ457" s="86" t="s">
        <v>284</v>
      </c>
      <c r="AK457" s="179" t="e">
        <f t="shared" si="21"/>
        <v>#VALUE!</v>
      </c>
      <c r="AL457" s="85" t="s">
        <v>1507</v>
      </c>
      <c r="AM457" s="77"/>
      <c r="AN457" s="87"/>
      <c r="AO457" s="180"/>
    </row>
    <row r="458" spans="1:41" s="288" customFormat="1" ht="59.25" customHeight="1">
      <c r="A458" s="233">
        <v>466</v>
      </c>
      <c r="B458" s="234">
        <v>44946</v>
      </c>
      <c r="C458" s="235" t="s">
        <v>454</v>
      </c>
      <c r="D458" s="217"/>
      <c r="E458" s="217"/>
      <c r="F458" s="167" t="s">
        <v>1041</v>
      </c>
      <c r="G458" s="84" t="s">
        <v>1138</v>
      </c>
      <c r="H458" s="84" t="s">
        <v>1138</v>
      </c>
      <c r="I458" s="223" t="s">
        <v>1187</v>
      </c>
      <c r="J458" s="84"/>
      <c r="K458" s="84"/>
      <c r="L458" s="84"/>
      <c r="M458" s="84"/>
      <c r="N458" s="216"/>
      <c r="O458" s="323">
        <v>2</v>
      </c>
      <c r="P458" s="151">
        <v>0</v>
      </c>
      <c r="Q458" s="151">
        <v>0</v>
      </c>
      <c r="R458" s="151">
        <v>0</v>
      </c>
      <c r="S458" s="151">
        <v>0</v>
      </c>
      <c r="T458" s="151">
        <v>0</v>
      </c>
      <c r="U458" s="151">
        <v>0</v>
      </c>
      <c r="V458" s="151">
        <v>0</v>
      </c>
      <c r="W458" s="151">
        <v>0</v>
      </c>
      <c r="X458" s="151">
        <v>0</v>
      </c>
      <c r="Y458" s="151">
        <f>0</f>
        <v>0</v>
      </c>
      <c r="Z458" s="200">
        <f>0</f>
        <v>0</v>
      </c>
      <c r="AA458" s="142">
        <f t="shared" si="22"/>
        <v>2</v>
      </c>
      <c r="AB458" s="123"/>
      <c r="AC458" s="154">
        <f t="shared" si="23"/>
        <v>2</v>
      </c>
      <c r="AD458" s="176">
        <v>44951</v>
      </c>
      <c r="AE458" s="177" t="s">
        <v>529</v>
      </c>
      <c r="AF458" s="84" t="s">
        <v>1295</v>
      </c>
      <c r="AG458" s="178"/>
      <c r="AH458" s="177"/>
      <c r="AI458" s="85"/>
      <c r="AJ458" s="86">
        <v>2</v>
      </c>
      <c r="AK458" s="179">
        <f t="shared" si="21"/>
        <v>0</v>
      </c>
      <c r="AL458" s="85" t="s">
        <v>1296</v>
      </c>
      <c r="AM458" s="77"/>
      <c r="AN458" s="87"/>
      <c r="AO458" s="180"/>
    </row>
    <row r="459" spans="1:41" s="288" customFormat="1" ht="30.75" customHeight="1">
      <c r="A459" s="225">
        <v>467</v>
      </c>
      <c r="B459" s="234">
        <v>44946</v>
      </c>
      <c r="C459" s="235" t="s">
        <v>454</v>
      </c>
      <c r="D459" s="217"/>
      <c r="E459" s="217"/>
      <c r="F459" s="167" t="s">
        <v>1042</v>
      </c>
      <c r="G459" s="84" t="s">
        <v>1139</v>
      </c>
      <c r="H459" s="84" t="s">
        <v>1168</v>
      </c>
      <c r="I459" s="223" t="s">
        <v>1188</v>
      </c>
      <c r="J459" s="84"/>
      <c r="K459" s="84"/>
      <c r="L459" s="84"/>
      <c r="M459" s="84"/>
      <c r="N459" s="216"/>
      <c r="O459" s="323">
        <v>1</v>
      </c>
      <c r="P459" s="151">
        <v>0</v>
      </c>
      <c r="Q459" s="151">
        <v>0</v>
      </c>
      <c r="R459" s="151">
        <v>0</v>
      </c>
      <c r="S459" s="151">
        <v>0</v>
      </c>
      <c r="T459" s="151">
        <v>0</v>
      </c>
      <c r="U459" s="151">
        <v>0</v>
      </c>
      <c r="V459" s="151">
        <v>0</v>
      </c>
      <c r="W459" s="151">
        <v>0</v>
      </c>
      <c r="X459" s="151">
        <v>0</v>
      </c>
      <c r="Y459" s="151">
        <f>0</f>
        <v>0</v>
      </c>
      <c r="Z459" s="200">
        <f>0</f>
        <v>0</v>
      </c>
      <c r="AA459" s="142">
        <f t="shared" si="22"/>
        <v>1</v>
      </c>
      <c r="AB459" s="123">
        <v>1</v>
      </c>
      <c r="AC459" s="154">
        <f t="shared" si="23"/>
        <v>0</v>
      </c>
      <c r="AD459" s="176"/>
      <c r="AE459" s="177" t="s">
        <v>529</v>
      </c>
      <c r="AF459" s="84" t="s">
        <v>44</v>
      </c>
      <c r="AG459" s="178"/>
      <c r="AH459" s="177"/>
      <c r="AI459" s="85"/>
      <c r="AJ459" s="86" t="s">
        <v>499</v>
      </c>
      <c r="AK459" s="179" t="e">
        <f t="shared" si="21"/>
        <v>#VALUE!</v>
      </c>
      <c r="AL459" s="85" t="s">
        <v>1231</v>
      </c>
      <c r="AM459" s="77"/>
      <c r="AN459" s="87"/>
      <c r="AO459" s="180"/>
    </row>
    <row r="460" spans="1:41" s="288" customFormat="1" ht="30.75" customHeight="1">
      <c r="A460" s="233">
        <v>468</v>
      </c>
      <c r="B460" s="234">
        <v>44946</v>
      </c>
      <c r="C460" s="235" t="s">
        <v>454</v>
      </c>
      <c r="D460" s="217"/>
      <c r="E460" s="217"/>
      <c r="F460" s="167" t="s">
        <v>1043</v>
      </c>
      <c r="G460" s="84" t="s">
        <v>1140</v>
      </c>
      <c r="H460" s="84" t="s">
        <v>1169</v>
      </c>
      <c r="I460" s="223" t="s">
        <v>1188</v>
      </c>
      <c r="J460" s="84"/>
      <c r="K460" s="84"/>
      <c r="L460" s="84"/>
      <c r="M460" s="84"/>
      <c r="N460" s="216"/>
      <c r="O460" s="323">
        <v>1</v>
      </c>
      <c r="P460" s="151">
        <v>0</v>
      </c>
      <c r="Q460" s="151">
        <v>0</v>
      </c>
      <c r="R460" s="151">
        <v>0</v>
      </c>
      <c r="S460" s="151">
        <v>0</v>
      </c>
      <c r="T460" s="151">
        <v>0</v>
      </c>
      <c r="U460" s="151">
        <v>0</v>
      </c>
      <c r="V460" s="151">
        <v>0</v>
      </c>
      <c r="W460" s="151">
        <v>0</v>
      </c>
      <c r="X460" s="151">
        <v>0</v>
      </c>
      <c r="Y460" s="151">
        <f>0</f>
        <v>0</v>
      </c>
      <c r="Z460" s="200">
        <f>0</f>
        <v>0</v>
      </c>
      <c r="AA460" s="142">
        <f t="shared" si="22"/>
        <v>1</v>
      </c>
      <c r="AB460" s="123">
        <v>1</v>
      </c>
      <c r="AC460" s="154">
        <f t="shared" si="23"/>
        <v>0</v>
      </c>
      <c r="AD460" s="176"/>
      <c r="AE460" s="177" t="s">
        <v>529</v>
      </c>
      <c r="AF460" s="84" t="s">
        <v>44</v>
      </c>
      <c r="AG460" s="178"/>
      <c r="AH460" s="177"/>
      <c r="AI460" s="85"/>
      <c r="AJ460" s="86" t="s">
        <v>499</v>
      </c>
      <c r="AK460" s="179" t="e">
        <f t="shared" si="21"/>
        <v>#VALUE!</v>
      </c>
      <c r="AL460" s="85" t="s">
        <v>1231</v>
      </c>
      <c r="AM460" s="77"/>
      <c r="AN460" s="87"/>
      <c r="AO460" s="180"/>
    </row>
    <row r="461" spans="1:41" s="288" customFormat="1" ht="30.75" customHeight="1">
      <c r="A461" s="225">
        <v>469</v>
      </c>
      <c r="B461" s="234">
        <v>44946</v>
      </c>
      <c r="C461" s="235" t="s">
        <v>454</v>
      </c>
      <c r="D461" s="217"/>
      <c r="E461" s="217"/>
      <c r="F461" s="167" t="s">
        <v>1044</v>
      </c>
      <c r="G461" s="84" t="s">
        <v>1141</v>
      </c>
      <c r="H461" s="84" t="s">
        <v>1170</v>
      </c>
      <c r="I461" s="223" t="s">
        <v>1188</v>
      </c>
      <c r="J461" s="84"/>
      <c r="K461" s="84"/>
      <c r="L461" s="84"/>
      <c r="M461" s="84"/>
      <c r="N461" s="216"/>
      <c r="O461" s="323">
        <v>1</v>
      </c>
      <c r="P461" s="151">
        <v>0</v>
      </c>
      <c r="Q461" s="151">
        <v>0</v>
      </c>
      <c r="R461" s="151">
        <v>0</v>
      </c>
      <c r="S461" s="151">
        <v>0</v>
      </c>
      <c r="T461" s="151">
        <v>0</v>
      </c>
      <c r="U461" s="151">
        <v>0</v>
      </c>
      <c r="V461" s="151">
        <v>0</v>
      </c>
      <c r="W461" s="151">
        <v>0</v>
      </c>
      <c r="X461" s="151">
        <v>0</v>
      </c>
      <c r="Y461" s="151">
        <f>0</f>
        <v>0</v>
      </c>
      <c r="Z461" s="200">
        <f>0</f>
        <v>0</v>
      </c>
      <c r="AA461" s="142">
        <f t="shared" si="22"/>
        <v>1</v>
      </c>
      <c r="AB461" s="123">
        <v>1</v>
      </c>
      <c r="AC461" s="154">
        <f t="shared" si="23"/>
        <v>0</v>
      </c>
      <c r="AD461" s="176"/>
      <c r="AE461" s="177" t="s">
        <v>529</v>
      </c>
      <c r="AF461" s="84" t="s">
        <v>1235</v>
      </c>
      <c r="AG461" s="178"/>
      <c r="AH461" s="177"/>
      <c r="AI461" s="85"/>
      <c r="AJ461" s="86" t="s">
        <v>499</v>
      </c>
      <c r="AK461" s="179" t="e">
        <f t="shared" si="21"/>
        <v>#VALUE!</v>
      </c>
      <c r="AL461" s="85" t="s">
        <v>1231</v>
      </c>
      <c r="AM461" s="77"/>
      <c r="AN461" s="87"/>
      <c r="AO461" s="180"/>
    </row>
    <row r="462" spans="1:41" s="288" customFormat="1" ht="30.75" customHeight="1">
      <c r="A462" s="233">
        <v>470</v>
      </c>
      <c r="B462" s="234">
        <v>44946</v>
      </c>
      <c r="C462" s="235" t="s">
        <v>454</v>
      </c>
      <c r="D462" s="217"/>
      <c r="E462" s="217"/>
      <c r="F462" s="167" t="s">
        <v>1045</v>
      </c>
      <c r="G462" s="84" t="s">
        <v>1142</v>
      </c>
      <c r="H462" s="84" t="s">
        <v>1171</v>
      </c>
      <c r="I462" s="223" t="s">
        <v>1188</v>
      </c>
      <c r="J462" s="84"/>
      <c r="K462" s="84"/>
      <c r="L462" s="84"/>
      <c r="M462" s="84"/>
      <c r="N462" s="216"/>
      <c r="O462" s="323">
        <v>2</v>
      </c>
      <c r="P462" s="151">
        <v>0</v>
      </c>
      <c r="Q462" s="151">
        <v>0</v>
      </c>
      <c r="R462" s="151">
        <v>0</v>
      </c>
      <c r="S462" s="151">
        <v>0</v>
      </c>
      <c r="T462" s="151">
        <v>0</v>
      </c>
      <c r="U462" s="151">
        <v>0</v>
      </c>
      <c r="V462" s="151">
        <v>0</v>
      </c>
      <c r="W462" s="151">
        <v>0</v>
      </c>
      <c r="X462" s="151">
        <v>0</v>
      </c>
      <c r="Y462" s="151">
        <f>0</f>
        <v>0</v>
      </c>
      <c r="Z462" s="200">
        <f>0</f>
        <v>0</v>
      </c>
      <c r="AA462" s="142">
        <f t="shared" si="22"/>
        <v>2</v>
      </c>
      <c r="AB462" s="123">
        <v>2</v>
      </c>
      <c r="AC462" s="154">
        <f t="shared" si="23"/>
        <v>0</v>
      </c>
      <c r="AD462" s="176"/>
      <c r="AE462" s="177" t="s">
        <v>529</v>
      </c>
      <c r="AF462" s="84" t="s">
        <v>44</v>
      </c>
      <c r="AG462" s="178"/>
      <c r="AH462" s="177"/>
      <c r="AI462" s="85"/>
      <c r="AJ462" s="86" t="s">
        <v>499</v>
      </c>
      <c r="AK462" s="179" t="e">
        <f t="shared" si="21"/>
        <v>#VALUE!</v>
      </c>
      <c r="AL462" s="85" t="s">
        <v>1231</v>
      </c>
      <c r="AM462" s="77"/>
      <c r="AN462" s="87"/>
      <c r="AO462" s="180"/>
    </row>
    <row r="463" spans="1:41" s="288" customFormat="1" ht="30.75" customHeight="1">
      <c r="A463" s="225">
        <v>471</v>
      </c>
      <c r="B463" s="234">
        <v>44949</v>
      </c>
      <c r="C463" s="235" t="s">
        <v>254</v>
      </c>
      <c r="D463" s="217" t="s">
        <v>1190</v>
      </c>
      <c r="E463" s="217" t="s">
        <v>1191</v>
      </c>
      <c r="F463" s="167" t="s">
        <v>627</v>
      </c>
      <c r="G463" s="178" t="s">
        <v>1190</v>
      </c>
      <c r="H463" s="308" t="s">
        <v>1190</v>
      </c>
      <c r="I463" s="468" t="s">
        <v>309</v>
      </c>
      <c r="J463" s="84" t="s">
        <v>251</v>
      </c>
      <c r="K463" s="84" t="s">
        <v>252</v>
      </c>
      <c r="L463" s="84" t="s">
        <v>252</v>
      </c>
      <c r="M463" s="84" t="s">
        <v>252</v>
      </c>
      <c r="N463" s="216" t="s">
        <v>1214</v>
      </c>
      <c r="O463" s="323">
        <v>0</v>
      </c>
      <c r="P463" s="151">
        <v>0</v>
      </c>
      <c r="Q463" s="151">
        <v>0</v>
      </c>
      <c r="R463" s="151">
        <v>0</v>
      </c>
      <c r="S463" s="151">
        <v>0</v>
      </c>
      <c r="T463" s="151">
        <v>0</v>
      </c>
      <c r="U463" s="151">
        <v>1</v>
      </c>
      <c r="V463" s="151">
        <f>0</f>
        <v>0</v>
      </c>
      <c r="W463" s="151">
        <v>0</v>
      </c>
      <c r="X463" s="151">
        <f>0</f>
        <v>0</v>
      </c>
      <c r="Y463" s="151">
        <f>0</f>
        <v>0</v>
      </c>
      <c r="Z463" s="200">
        <f>0</f>
        <v>0</v>
      </c>
      <c r="AA463" s="142">
        <f t="shared" si="22"/>
        <v>1</v>
      </c>
      <c r="AB463" s="123"/>
      <c r="AC463" s="154">
        <f t="shared" si="23"/>
        <v>1</v>
      </c>
      <c r="AD463" s="176">
        <v>44950</v>
      </c>
      <c r="AE463" s="177" t="s">
        <v>529</v>
      </c>
      <c r="AF463" s="84" t="s">
        <v>1238</v>
      </c>
      <c r="AG463" s="178"/>
      <c r="AH463" s="177" t="s">
        <v>1239</v>
      </c>
      <c r="AI463" s="85"/>
      <c r="AJ463" s="86">
        <v>1</v>
      </c>
      <c r="AK463" s="179">
        <f t="shared" si="21"/>
        <v>0</v>
      </c>
      <c r="AL463" s="85" t="s">
        <v>1454</v>
      </c>
      <c r="AM463" s="77"/>
      <c r="AN463" s="87"/>
      <c r="AO463" s="180"/>
    </row>
    <row r="464" spans="1:41" s="288" customFormat="1" ht="30.75" customHeight="1">
      <c r="A464" s="225">
        <v>473</v>
      </c>
      <c r="B464" s="234">
        <v>44949</v>
      </c>
      <c r="C464" s="307" t="s">
        <v>254</v>
      </c>
      <c r="D464" s="217" t="s">
        <v>1192</v>
      </c>
      <c r="E464" s="217" t="s">
        <v>322</v>
      </c>
      <c r="F464" s="167" t="s">
        <v>1193</v>
      </c>
      <c r="G464" s="178" t="s">
        <v>1192</v>
      </c>
      <c r="H464" s="308" t="s">
        <v>1194</v>
      </c>
      <c r="I464" s="301" t="s">
        <v>333</v>
      </c>
      <c r="J464" s="84" t="s">
        <v>251</v>
      </c>
      <c r="K464" s="84" t="s">
        <v>252</v>
      </c>
      <c r="L464" s="84" t="s">
        <v>252</v>
      </c>
      <c r="M464" s="84" t="s">
        <v>252</v>
      </c>
      <c r="N464" s="216" t="s">
        <v>1214</v>
      </c>
      <c r="O464" s="323">
        <v>0</v>
      </c>
      <c r="P464" s="151">
        <v>0</v>
      </c>
      <c r="Q464" s="151">
        <v>0</v>
      </c>
      <c r="R464" s="151">
        <v>0</v>
      </c>
      <c r="S464" s="151">
        <v>0</v>
      </c>
      <c r="T464" s="151">
        <v>0</v>
      </c>
      <c r="U464" s="151">
        <v>1</v>
      </c>
      <c r="V464" s="151">
        <f>0</f>
        <v>0</v>
      </c>
      <c r="W464" s="151">
        <v>0</v>
      </c>
      <c r="X464" s="151">
        <f>0</f>
        <v>0</v>
      </c>
      <c r="Y464" s="151">
        <f>0</f>
        <v>0</v>
      </c>
      <c r="Z464" s="200">
        <f>0</f>
        <v>0</v>
      </c>
      <c r="AA464" s="142">
        <f t="shared" si="22"/>
        <v>1</v>
      </c>
      <c r="AB464" s="123"/>
      <c r="AC464" s="154">
        <f t="shared" si="23"/>
        <v>1</v>
      </c>
      <c r="AD464" s="176">
        <v>44951</v>
      </c>
      <c r="AE464" s="177" t="s">
        <v>529</v>
      </c>
      <c r="AF464" s="130" t="s">
        <v>1247</v>
      </c>
      <c r="AG464" s="178"/>
      <c r="AH464" s="187" t="s">
        <v>1239</v>
      </c>
      <c r="AI464" s="85"/>
      <c r="AJ464" s="86">
        <v>1</v>
      </c>
      <c r="AK464" s="179">
        <f t="shared" si="21"/>
        <v>0</v>
      </c>
      <c r="AL464" s="85" t="s">
        <v>1454</v>
      </c>
      <c r="AM464" s="77"/>
      <c r="AN464" s="87"/>
      <c r="AO464" s="180"/>
    </row>
    <row r="465" spans="1:41" s="288" customFormat="1" ht="30.75" customHeight="1">
      <c r="A465" s="225">
        <v>474</v>
      </c>
      <c r="B465" s="234">
        <v>44949</v>
      </c>
      <c r="C465" s="307" t="s">
        <v>254</v>
      </c>
      <c r="D465" s="217" t="s">
        <v>1195</v>
      </c>
      <c r="E465" s="217" t="s">
        <v>322</v>
      </c>
      <c r="F465" s="167" t="s">
        <v>672</v>
      </c>
      <c r="G465" s="178" t="s">
        <v>1195</v>
      </c>
      <c r="H465" s="308" t="s">
        <v>1196</v>
      </c>
      <c r="I465" s="301" t="s">
        <v>333</v>
      </c>
      <c r="J465" s="84" t="s">
        <v>251</v>
      </c>
      <c r="K465" s="84" t="s">
        <v>252</v>
      </c>
      <c r="L465" s="84" t="s">
        <v>252</v>
      </c>
      <c r="M465" s="84" t="s">
        <v>252</v>
      </c>
      <c r="N465" s="216" t="s">
        <v>1214</v>
      </c>
      <c r="O465" s="323">
        <v>0</v>
      </c>
      <c r="P465" s="151">
        <v>0</v>
      </c>
      <c r="Q465" s="151">
        <v>0</v>
      </c>
      <c r="R465" s="151">
        <v>0</v>
      </c>
      <c r="S465" s="151">
        <v>0</v>
      </c>
      <c r="T465" s="151">
        <v>0</v>
      </c>
      <c r="U465" s="151">
        <v>1</v>
      </c>
      <c r="V465" s="151">
        <f>0</f>
        <v>0</v>
      </c>
      <c r="W465" s="151">
        <v>0</v>
      </c>
      <c r="X465" s="151">
        <f>0</f>
        <v>0</v>
      </c>
      <c r="Y465" s="151">
        <f>0</f>
        <v>0</v>
      </c>
      <c r="Z465" s="200">
        <f>0</f>
        <v>0</v>
      </c>
      <c r="AA465" s="142">
        <f t="shared" si="22"/>
        <v>1</v>
      </c>
      <c r="AB465" s="123"/>
      <c r="AC465" s="154">
        <f t="shared" si="23"/>
        <v>1</v>
      </c>
      <c r="AD465" s="186">
        <v>44951</v>
      </c>
      <c r="AE465" s="187" t="s">
        <v>529</v>
      </c>
      <c r="AF465" s="84" t="s">
        <v>1247</v>
      </c>
      <c r="AG465" s="178"/>
      <c r="AH465" s="187" t="s">
        <v>1239</v>
      </c>
      <c r="AI465" s="85"/>
      <c r="AJ465" s="86" t="s">
        <v>1455</v>
      </c>
      <c r="AK465" s="179" t="e">
        <f t="shared" si="21"/>
        <v>#VALUE!</v>
      </c>
      <c r="AL465" s="85" t="s">
        <v>1584</v>
      </c>
      <c r="AM465" s="77"/>
      <c r="AN465" s="87"/>
      <c r="AO465" s="180"/>
    </row>
    <row r="466" spans="1:41" s="288" customFormat="1" ht="30.75" customHeight="1">
      <c r="A466" s="225">
        <v>475</v>
      </c>
      <c r="B466" s="234">
        <v>44949</v>
      </c>
      <c r="C466" s="307" t="s">
        <v>254</v>
      </c>
      <c r="D466" s="217" t="s">
        <v>1197</v>
      </c>
      <c r="E466" s="217" t="s">
        <v>322</v>
      </c>
      <c r="F466" s="167" t="s">
        <v>320</v>
      </c>
      <c r="G466" s="178" t="s">
        <v>1197</v>
      </c>
      <c r="H466" s="308" t="s">
        <v>1197</v>
      </c>
      <c r="I466" s="301" t="s">
        <v>318</v>
      </c>
      <c r="J466" s="84" t="s">
        <v>251</v>
      </c>
      <c r="K466" s="84" t="s">
        <v>252</v>
      </c>
      <c r="L466" s="84" t="s">
        <v>252</v>
      </c>
      <c r="M466" s="84" t="s">
        <v>252</v>
      </c>
      <c r="N466" s="216" t="s">
        <v>1214</v>
      </c>
      <c r="O466" s="323">
        <v>0</v>
      </c>
      <c r="P466" s="151">
        <v>0</v>
      </c>
      <c r="Q466" s="151">
        <v>0</v>
      </c>
      <c r="R466" s="151">
        <v>0</v>
      </c>
      <c r="S466" s="151">
        <v>0</v>
      </c>
      <c r="T466" s="151">
        <v>0</v>
      </c>
      <c r="U466" s="151">
        <v>2</v>
      </c>
      <c r="V466" s="151">
        <f>0</f>
        <v>0</v>
      </c>
      <c r="W466" s="151">
        <v>0</v>
      </c>
      <c r="X466" s="151">
        <f>0</f>
        <v>0</v>
      </c>
      <c r="Y466" s="151">
        <f>0</f>
        <v>0</v>
      </c>
      <c r="Z466" s="200">
        <f>0</f>
        <v>0</v>
      </c>
      <c r="AA466" s="142">
        <f t="shared" si="22"/>
        <v>2</v>
      </c>
      <c r="AB466" s="123"/>
      <c r="AC466" s="154">
        <f t="shared" si="23"/>
        <v>2</v>
      </c>
      <c r="AD466" s="186">
        <v>44964</v>
      </c>
      <c r="AE466" s="187" t="s">
        <v>529</v>
      </c>
      <c r="AF466" s="84" t="s">
        <v>1328</v>
      </c>
      <c r="AG466" s="178"/>
      <c r="AH466" s="187" t="s">
        <v>1327</v>
      </c>
      <c r="AI466" s="85"/>
      <c r="AJ466" s="86">
        <v>2</v>
      </c>
      <c r="AK466" s="179">
        <f t="shared" si="21"/>
        <v>0</v>
      </c>
      <c r="AL466" s="85" t="s">
        <v>1483</v>
      </c>
      <c r="AM466" s="77"/>
      <c r="AN466" s="87"/>
      <c r="AO466" s="180"/>
    </row>
    <row r="467" spans="1:41" s="288" customFormat="1" ht="30.75" customHeight="1">
      <c r="A467" s="233">
        <v>476</v>
      </c>
      <c r="B467" s="234">
        <v>44949</v>
      </c>
      <c r="C467" s="307" t="s">
        <v>254</v>
      </c>
      <c r="D467" s="217" t="s">
        <v>1198</v>
      </c>
      <c r="E467" s="217" t="s">
        <v>338</v>
      </c>
      <c r="F467" s="167" t="s">
        <v>377</v>
      </c>
      <c r="G467" s="178" t="s">
        <v>1198</v>
      </c>
      <c r="H467" s="308" t="s">
        <v>1198</v>
      </c>
      <c r="I467" s="301" t="s">
        <v>318</v>
      </c>
      <c r="J467" s="84" t="s">
        <v>251</v>
      </c>
      <c r="K467" s="84" t="s">
        <v>252</v>
      </c>
      <c r="L467" s="84" t="s">
        <v>252</v>
      </c>
      <c r="M467" s="84" t="s">
        <v>252</v>
      </c>
      <c r="N467" s="216" t="s">
        <v>1214</v>
      </c>
      <c r="O467" s="323">
        <v>0</v>
      </c>
      <c r="P467" s="151">
        <v>0</v>
      </c>
      <c r="Q467" s="151">
        <v>0</v>
      </c>
      <c r="R467" s="151">
        <v>0</v>
      </c>
      <c r="S467" s="151">
        <v>0</v>
      </c>
      <c r="T467" s="151">
        <v>0</v>
      </c>
      <c r="U467" s="151">
        <v>2</v>
      </c>
      <c r="V467" s="151">
        <f>0</f>
        <v>0</v>
      </c>
      <c r="W467" s="151">
        <v>0</v>
      </c>
      <c r="X467" s="151">
        <f>0</f>
        <v>0</v>
      </c>
      <c r="Y467" s="151">
        <f>0</f>
        <v>0</v>
      </c>
      <c r="Z467" s="200">
        <f>0</f>
        <v>0</v>
      </c>
      <c r="AA467" s="142">
        <f t="shared" si="22"/>
        <v>2</v>
      </c>
      <c r="AB467" s="123"/>
      <c r="AC467" s="154">
        <f t="shared" si="23"/>
        <v>2</v>
      </c>
      <c r="AD467" s="176">
        <v>44964</v>
      </c>
      <c r="AE467" s="177" t="s">
        <v>529</v>
      </c>
      <c r="AF467" s="171" t="s">
        <v>1328</v>
      </c>
      <c r="AG467" s="178"/>
      <c r="AH467" s="177" t="s">
        <v>1327</v>
      </c>
      <c r="AI467" s="85"/>
      <c r="AJ467" s="86">
        <v>2</v>
      </c>
      <c r="AK467" s="179">
        <f t="shared" si="21"/>
        <v>0</v>
      </c>
      <c r="AL467" s="85" t="s">
        <v>1483</v>
      </c>
      <c r="AM467" s="77"/>
      <c r="AN467" s="87"/>
      <c r="AO467" s="180"/>
    </row>
    <row r="468" spans="1:41" s="288" customFormat="1" ht="30.75" customHeight="1">
      <c r="A468" s="225">
        <v>477</v>
      </c>
      <c r="B468" s="234">
        <v>44949</v>
      </c>
      <c r="C468" s="307" t="s">
        <v>254</v>
      </c>
      <c r="D468" s="217" t="s">
        <v>1199</v>
      </c>
      <c r="E468" s="217" t="s">
        <v>322</v>
      </c>
      <c r="F468" s="167" t="s">
        <v>1200</v>
      </c>
      <c r="G468" s="178" t="s">
        <v>1199</v>
      </c>
      <c r="H468" s="308" t="s">
        <v>1201</v>
      </c>
      <c r="I468" s="301" t="s">
        <v>318</v>
      </c>
      <c r="J468" s="84" t="s">
        <v>251</v>
      </c>
      <c r="K468" s="84" t="s">
        <v>252</v>
      </c>
      <c r="L468" s="84" t="s">
        <v>252</v>
      </c>
      <c r="M468" s="84" t="s">
        <v>252</v>
      </c>
      <c r="N468" s="216" t="s">
        <v>1214</v>
      </c>
      <c r="O468" s="323">
        <v>0</v>
      </c>
      <c r="P468" s="151">
        <v>0</v>
      </c>
      <c r="Q468" s="151">
        <v>0</v>
      </c>
      <c r="R468" s="151">
        <v>0</v>
      </c>
      <c r="S468" s="151">
        <v>0</v>
      </c>
      <c r="T468" s="151">
        <v>0</v>
      </c>
      <c r="U468" s="151">
        <v>1</v>
      </c>
      <c r="V468" s="151">
        <f>0</f>
        <v>0</v>
      </c>
      <c r="W468" s="151">
        <v>0</v>
      </c>
      <c r="X468" s="151">
        <f>0</f>
        <v>0</v>
      </c>
      <c r="Y468" s="151">
        <f>0</f>
        <v>0</v>
      </c>
      <c r="Z468" s="200">
        <f>0</f>
        <v>0</v>
      </c>
      <c r="AA468" s="142">
        <f t="shared" si="22"/>
        <v>1</v>
      </c>
      <c r="AB468" s="123">
        <v>1</v>
      </c>
      <c r="AC468" s="154">
        <f t="shared" si="23"/>
        <v>0</v>
      </c>
      <c r="AD468" s="176">
        <v>44964</v>
      </c>
      <c r="AE468" s="177" t="s">
        <v>282</v>
      </c>
      <c r="AF468" s="171" t="s">
        <v>587</v>
      </c>
      <c r="AG468" s="178"/>
      <c r="AH468" s="177"/>
      <c r="AI468" s="85"/>
      <c r="AJ468" s="86" t="s">
        <v>284</v>
      </c>
      <c r="AK468" s="179" t="e">
        <f t="shared" si="21"/>
        <v>#VALUE!</v>
      </c>
      <c r="AL468" s="85" t="s">
        <v>1288</v>
      </c>
      <c r="AM468" s="77"/>
      <c r="AN468" s="87"/>
      <c r="AO468" s="180"/>
    </row>
    <row r="469" spans="1:41" s="288" customFormat="1" ht="30.75" customHeight="1">
      <c r="A469" s="225">
        <v>478</v>
      </c>
      <c r="B469" s="234">
        <v>44949</v>
      </c>
      <c r="C469" s="307" t="s">
        <v>254</v>
      </c>
      <c r="D469" s="217" t="s">
        <v>1202</v>
      </c>
      <c r="E469" s="217" t="s">
        <v>380</v>
      </c>
      <c r="F469" s="167" t="s">
        <v>320</v>
      </c>
      <c r="G469" s="178" t="s">
        <v>1202</v>
      </c>
      <c r="H469" s="308" t="s">
        <v>678</v>
      </c>
      <c r="I469" s="301" t="s">
        <v>318</v>
      </c>
      <c r="J469" s="84" t="s">
        <v>251</v>
      </c>
      <c r="K469" s="84" t="s">
        <v>252</v>
      </c>
      <c r="L469" s="84" t="s">
        <v>252</v>
      </c>
      <c r="M469" s="84" t="s">
        <v>252</v>
      </c>
      <c r="N469" s="216" t="s">
        <v>1214</v>
      </c>
      <c r="O469" s="323">
        <v>0</v>
      </c>
      <c r="P469" s="151">
        <v>0</v>
      </c>
      <c r="Q469" s="151">
        <v>0</v>
      </c>
      <c r="R469" s="151">
        <v>0</v>
      </c>
      <c r="S469" s="151">
        <v>0</v>
      </c>
      <c r="T469" s="151">
        <v>0</v>
      </c>
      <c r="U469" s="151">
        <v>2</v>
      </c>
      <c r="V469" s="151">
        <f>0</f>
        <v>0</v>
      </c>
      <c r="W469" s="151">
        <v>0</v>
      </c>
      <c r="X469" s="151">
        <f>0</f>
        <v>0</v>
      </c>
      <c r="Y469" s="151">
        <f>0</f>
        <v>0</v>
      </c>
      <c r="Z469" s="200">
        <f>0</f>
        <v>0</v>
      </c>
      <c r="AA469" s="142">
        <f t="shared" si="22"/>
        <v>2</v>
      </c>
      <c r="AB469" s="123"/>
      <c r="AC469" s="154">
        <f t="shared" si="23"/>
        <v>2</v>
      </c>
      <c r="AD469" s="176">
        <v>44964</v>
      </c>
      <c r="AE469" s="177" t="s">
        <v>529</v>
      </c>
      <c r="AF469" s="84" t="s">
        <v>1328</v>
      </c>
      <c r="AG469" s="178"/>
      <c r="AH469" s="177" t="s">
        <v>1327</v>
      </c>
      <c r="AI469" s="85"/>
      <c r="AJ469" s="86">
        <v>2</v>
      </c>
      <c r="AK469" s="179">
        <f t="shared" si="21"/>
        <v>0</v>
      </c>
      <c r="AL469" s="85" t="s">
        <v>1483</v>
      </c>
      <c r="AM469" s="77"/>
      <c r="AN469" s="87"/>
      <c r="AO469" s="180"/>
    </row>
    <row r="470" spans="1:41" s="288" customFormat="1" ht="30.75" customHeight="1">
      <c r="A470" s="233">
        <v>479</v>
      </c>
      <c r="B470" s="234">
        <v>44949</v>
      </c>
      <c r="C470" s="307" t="s">
        <v>254</v>
      </c>
      <c r="D470" s="217" t="s">
        <v>777</v>
      </c>
      <c r="E470" s="217">
        <v>0</v>
      </c>
      <c r="F470" s="167" t="s">
        <v>1203</v>
      </c>
      <c r="G470" s="178" t="s">
        <v>777</v>
      </c>
      <c r="H470" s="308" t="s">
        <v>777</v>
      </c>
      <c r="I470" s="301" t="s">
        <v>318</v>
      </c>
      <c r="J470" s="84" t="s">
        <v>251</v>
      </c>
      <c r="K470" s="84" t="s">
        <v>252</v>
      </c>
      <c r="L470" s="84" t="s">
        <v>252</v>
      </c>
      <c r="M470" s="84" t="s">
        <v>252</v>
      </c>
      <c r="N470" s="216" t="s">
        <v>1214</v>
      </c>
      <c r="O470" s="323">
        <v>0</v>
      </c>
      <c r="P470" s="151">
        <v>0</v>
      </c>
      <c r="Q470" s="151">
        <v>0</v>
      </c>
      <c r="R470" s="151">
        <v>0</v>
      </c>
      <c r="S470" s="151">
        <v>0</v>
      </c>
      <c r="T470" s="151">
        <v>0</v>
      </c>
      <c r="U470" s="151">
        <v>3</v>
      </c>
      <c r="V470" s="151">
        <f>0</f>
        <v>0</v>
      </c>
      <c r="W470" s="151">
        <v>0</v>
      </c>
      <c r="X470" s="151">
        <f>0</f>
        <v>0</v>
      </c>
      <c r="Y470" s="151">
        <f>0</f>
        <v>0</v>
      </c>
      <c r="Z470" s="200">
        <f>0</f>
        <v>0</v>
      </c>
      <c r="AA470" s="142">
        <f t="shared" si="22"/>
        <v>3</v>
      </c>
      <c r="AB470" s="123"/>
      <c r="AC470" s="154">
        <f t="shared" si="23"/>
        <v>3</v>
      </c>
      <c r="AD470" s="176">
        <v>44964</v>
      </c>
      <c r="AE470" s="177" t="s">
        <v>529</v>
      </c>
      <c r="AF470" s="171" t="s">
        <v>1328</v>
      </c>
      <c r="AG470" s="178"/>
      <c r="AH470" s="177" t="s">
        <v>1327</v>
      </c>
      <c r="AI470" s="85"/>
      <c r="AJ470" s="86">
        <v>3</v>
      </c>
      <c r="AK470" s="179">
        <f t="shared" si="21"/>
        <v>0</v>
      </c>
      <c r="AL470" s="85" t="s">
        <v>1472</v>
      </c>
      <c r="AM470" s="77"/>
      <c r="AN470" s="87"/>
      <c r="AO470" s="180"/>
    </row>
    <row r="471" spans="1:41" s="288" customFormat="1" ht="30.75" customHeight="1">
      <c r="A471" s="225">
        <v>480</v>
      </c>
      <c r="B471" s="234">
        <v>44949</v>
      </c>
      <c r="C471" s="307" t="s">
        <v>254</v>
      </c>
      <c r="D471" s="217" t="s">
        <v>1204</v>
      </c>
      <c r="E471" s="217">
        <v>0</v>
      </c>
      <c r="F471" s="167" t="s">
        <v>1205</v>
      </c>
      <c r="G471" s="178" t="s">
        <v>1204</v>
      </c>
      <c r="H471" s="308" t="s">
        <v>1204</v>
      </c>
      <c r="I471" s="301" t="s">
        <v>318</v>
      </c>
      <c r="J471" s="84" t="s">
        <v>251</v>
      </c>
      <c r="K471" s="84" t="s">
        <v>252</v>
      </c>
      <c r="L471" s="84" t="s">
        <v>252</v>
      </c>
      <c r="M471" s="84" t="s">
        <v>252</v>
      </c>
      <c r="N471" s="216" t="s">
        <v>1214</v>
      </c>
      <c r="O471" s="323">
        <v>0</v>
      </c>
      <c r="P471" s="151">
        <v>0</v>
      </c>
      <c r="Q471" s="151">
        <v>0</v>
      </c>
      <c r="R471" s="151">
        <v>0</v>
      </c>
      <c r="S471" s="151">
        <v>0</v>
      </c>
      <c r="T471" s="151">
        <v>0</v>
      </c>
      <c r="U471" s="151">
        <v>2</v>
      </c>
      <c r="V471" s="151">
        <f>0</f>
        <v>0</v>
      </c>
      <c r="W471" s="151">
        <v>0</v>
      </c>
      <c r="X471" s="151">
        <f>0</f>
        <v>0</v>
      </c>
      <c r="Y471" s="151">
        <f>0</f>
        <v>0</v>
      </c>
      <c r="Z471" s="200">
        <f>0</f>
        <v>0</v>
      </c>
      <c r="AA471" s="142">
        <f t="shared" si="22"/>
        <v>2</v>
      </c>
      <c r="AB471" s="123"/>
      <c r="AC471" s="154">
        <f t="shared" si="23"/>
        <v>2</v>
      </c>
      <c r="AD471" s="176">
        <v>44964</v>
      </c>
      <c r="AE471" s="177" t="s">
        <v>529</v>
      </c>
      <c r="AF471" s="171" t="s">
        <v>1328</v>
      </c>
      <c r="AG471" s="178"/>
      <c r="AH471" s="177" t="s">
        <v>1327</v>
      </c>
      <c r="AI471" s="85"/>
      <c r="AJ471" s="86">
        <v>2</v>
      </c>
      <c r="AK471" s="179">
        <f t="shared" si="21"/>
        <v>0</v>
      </c>
      <c r="AL471" s="85" t="s">
        <v>1471</v>
      </c>
      <c r="AM471" s="77"/>
      <c r="AN471" s="87"/>
      <c r="AO471" s="180"/>
    </row>
    <row r="472" spans="1:41" s="288" customFormat="1" ht="30.75" customHeight="1">
      <c r="A472" s="225">
        <v>481</v>
      </c>
      <c r="B472" s="234">
        <v>44949</v>
      </c>
      <c r="C472" s="307" t="s">
        <v>254</v>
      </c>
      <c r="D472" s="217" t="s">
        <v>1206</v>
      </c>
      <c r="E472" s="217">
        <v>0</v>
      </c>
      <c r="F472" s="167" t="s">
        <v>1207</v>
      </c>
      <c r="G472" s="178" t="s">
        <v>1206</v>
      </c>
      <c r="H472" s="308" t="s">
        <v>1206</v>
      </c>
      <c r="I472" s="301" t="s">
        <v>318</v>
      </c>
      <c r="J472" s="84" t="s">
        <v>251</v>
      </c>
      <c r="K472" s="84" t="s">
        <v>252</v>
      </c>
      <c r="L472" s="84" t="s">
        <v>252</v>
      </c>
      <c r="M472" s="84" t="s">
        <v>252</v>
      </c>
      <c r="N472" s="216" t="s">
        <v>1214</v>
      </c>
      <c r="O472" s="323">
        <v>0</v>
      </c>
      <c r="P472" s="151">
        <v>0</v>
      </c>
      <c r="Q472" s="151">
        <v>0</v>
      </c>
      <c r="R472" s="151">
        <v>0</v>
      </c>
      <c r="S472" s="151">
        <v>0</v>
      </c>
      <c r="T472" s="151">
        <v>0</v>
      </c>
      <c r="U472" s="151">
        <v>1</v>
      </c>
      <c r="V472" s="151">
        <f>0</f>
        <v>0</v>
      </c>
      <c r="W472" s="151">
        <v>0</v>
      </c>
      <c r="X472" s="151">
        <f>0</f>
        <v>0</v>
      </c>
      <c r="Y472" s="151">
        <f>0</f>
        <v>0</v>
      </c>
      <c r="Z472" s="200">
        <f>0</f>
        <v>0</v>
      </c>
      <c r="AA472" s="142">
        <f t="shared" si="22"/>
        <v>1</v>
      </c>
      <c r="AB472" s="123"/>
      <c r="AC472" s="154">
        <f t="shared" si="23"/>
        <v>1</v>
      </c>
      <c r="AD472" s="176">
        <v>44964</v>
      </c>
      <c r="AE472" s="177" t="s">
        <v>529</v>
      </c>
      <c r="AF472" s="171" t="s">
        <v>1328</v>
      </c>
      <c r="AG472" s="178"/>
      <c r="AH472" s="177" t="s">
        <v>1327</v>
      </c>
      <c r="AI472" s="85"/>
      <c r="AJ472" s="86">
        <v>1</v>
      </c>
      <c r="AK472" s="179">
        <f t="shared" si="21"/>
        <v>0</v>
      </c>
      <c r="AL472" s="85" t="s">
        <v>1470</v>
      </c>
      <c r="AM472" s="77"/>
      <c r="AN472" s="87"/>
      <c r="AO472" s="180"/>
    </row>
    <row r="473" spans="1:41" s="288" customFormat="1" ht="30.75" customHeight="1">
      <c r="A473" s="233">
        <v>482</v>
      </c>
      <c r="B473" s="234">
        <v>44949</v>
      </c>
      <c r="C473" s="307" t="s">
        <v>254</v>
      </c>
      <c r="D473" s="214" t="s">
        <v>1208</v>
      </c>
      <c r="E473" s="267" t="s">
        <v>312</v>
      </c>
      <c r="F473" s="222" t="s">
        <v>1209</v>
      </c>
      <c r="G473" s="188" t="s">
        <v>1208</v>
      </c>
      <c r="H473" s="309" t="s">
        <v>1208</v>
      </c>
      <c r="I473" s="301" t="s">
        <v>523</v>
      </c>
      <c r="J473" s="171" t="s">
        <v>251</v>
      </c>
      <c r="K473" s="171" t="s">
        <v>252</v>
      </c>
      <c r="L473" s="171" t="s">
        <v>252</v>
      </c>
      <c r="M473" s="171" t="s">
        <v>252</v>
      </c>
      <c r="N473" s="216" t="s">
        <v>1214</v>
      </c>
      <c r="O473" s="323">
        <v>0</v>
      </c>
      <c r="P473" s="151">
        <v>0</v>
      </c>
      <c r="Q473" s="151">
        <v>0</v>
      </c>
      <c r="R473" s="151">
        <v>0</v>
      </c>
      <c r="S473" s="151">
        <v>0</v>
      </c>
      <c r="T473" s="151">
        <v>0</v>
      </c>
      <c r="U473" s="151">
        <v>2</v>
      </c>
      <c r="V473" s="151">
        <f>0</f>
        <v>0</v>
      </c>
      <c r="W473" s="151">
        <v>0</v>
      </c>
      <c r="X473" s="151">
        <f>0</f>
        <v>0</v>
      </c>
      <c r="Y473" s="151">
        <f>0</f>
        <v>0</v>
      </c>
      <c r="Z473" s="200">
        <f>0</f>
        <v>0</v>
      </c>
      <c r="AA473" s="132">
        <f t="shared" si="22"/>
        <v>2</v>
      </c>
      <c r="AB473" s="160"/>
      <c r="AC473" s="161">
        <f t="shared" si="23"/>
        <v>2</v>
      </c>
      <c r="AD473" s="176">
        <v>44964</v>
      </c>
      <c r="AE473" s="177" t="s">
        <v>529</v>
      </c>
      <c r="AF473" s="171" t="s">
        <v>1400</v>
      </c>
      <c r="AG473" s="188"/>
      <c r="AH473" s="177"/>
      <c r="AI473" s="88"/>
      <c r="AJ473" s="89">
        <v>2</v>
      </c>
      <c r="AK473" s="189">
        <f t="shared" si="21"/>
        <v>0</v>
      </c>
      <c r="AL473" s="88" t="s">
        <v>1483</v>
      </c>
      <c r="AM473" s="83"/>
      <c r="AN473" s="90"/>
      <c r="AO473" s="190"/>
    </row>
    <row r="474" spans="1:41" s="288" customFormat="1" ht="30.75" customHeight="1">
      <c r="A474" s="225">
        <v>483</v>
      </c>
      <c r="B474" s="234">
        <v>44949</v>
      </c>
      <c r="C474" s="307" t="s">
        <v>254</v>
      </c>
      <c r="D474" s="217" t="s">
        <v>1210</v>
      </c>
      <c r="E474" s="377" t="s">
        <v>322</v>
      </c>
      <c r="F474" s="167" t="s">
        <v>349</v>
      </c>
      <c r="G474" s="178" t="s">
        <v>1210</v>
      </c>
      <c r="H474" s="308" t="s">
        <v>1210</v>
      </c>
      <c r="I474" s="301" t="s">
        <v>523</v>
      </c>
      <c r="J474" s="84" t="s">
        <v>251</v>
      </c>
      <c r="K474" s="84" t="s">
        <v>252</v>
      </c>
      <c r="L474" s="84" t="s">
        <v>252</v>
      </c>
      <c r="M474" s="84" t="s">
        <v>252</v>
      </c>
      <c r="N474" s="216" t="s">
        <v>1214</v>
      </c>
      <c r="O474" s="323">
        <v>0</v>
      </c>
      <c r="P474" s="151">
        <v>0</v>
      </c>
      <c r="Q474" s="151">
        <v>0</v>
      </c>
      <c r="R474" s="151">
        <v>0</v>
      </c>
      <c r="S474" s="151">
        <v>0</v>
      </c>
      <c r="T474" s="151">
        <v>0</v>
      </c>
      <c r="U474" s="151">
        <v>1</v>
      </c>
      <c r="V474" s="151">
        <f>0</f>
        <v>0</v>
      </c>
      <c r="W474" s="151">
        <v>0</v>
      </c>
      <c r="X474" s="151">
        <f>0</f>
        <v>0</v>
      </c>
      <c r="Y474" s="151">
        <f>0</f>
        <v>0</v>
      </c>
      <c r="Z474" s="200">
        <f>0</f>
        <v>0</v>
      </c>
      <c r="AA474" s="174">
        <f t="shared" si="22"/>
        <v>1</v>
      </c>
      <c r="AB474" s="175"/>
      <c r="AC474" s="172">
        <f t="shared" si="23"/>
        <v>1</v>
      </c>
      <c r="AD474" s="176">
        <v>44964</v>
      </c>
      <c r="AE474" s="177" t="s">
        <v>529</v>
      </c>
      <c r="AF474" s="84" t="s">
        <v>1400</v>
      </c>
      <c r="AG474" s="178"/>
      <c r="AH474" s="177"/>
      <c r="AI474" s="85"/>
      <c r="AJ474" s="86">
        <v>1</v>
      </c>
      <c r="AK474" s="179">
        <f t="shared" si="21"/>
        <v>0</v>
      </c>
      <c r="AL474" s="85" t="s">
        <v>1483</v>
      </c>
      <c r="AM474" s="77"/>
      <c r="AN474" s="87"/>
      <c r="AO474" s="180"/>
    </row>
    <row r="475" spans="1:41" s="288" customFormat="1" ht="30.75" customHeight="1">
      <c r="A475" s="225">
        <v>484</v>
      </c>
      <c r="B475" s="234">
        <v>44949</v>
      </c>
      <c r="C475" s="307" t="s">
        <v>254</v>
      </c>
      <c r="D475" s="217" t="s">
        <v>1211</v>
      </c>
      <c r="E475" s="377">
        <v>0</v>
      </c>
      <c r="F475" s="167" t="s">
        <v>1212</v>
      </c>
      <c r="G475" s="178" t="s">
        <v>1211</v>
      </c>
      <c r="H475" s="308" t="s">
        <v>1211</v>
      </c>
      <c r="I475" s="301" t="s">
        <v>1213</v>
      </c>
      <c r="J475" s="84" t="s">
        <v>251</v>
      </c>
      <c r="K475" s="84" t="s">
        <v>252</v>
      </c>
      <c r="L475" s="84" t="s">
        <v>252</v>
      </c>
      <c r="M475" s="84" t="s">
        <v>252</v>
      </c>
      <c r="N475" s="216" t="s">
        <v>1214</v>
      </c>
      <c r="O475" s="323">
        <v>0</v>
      </c>
      <c r="P475" s="151">
        <v>0</v>
      </c>
      <c r="Q475" s="151">
        <v>0</v>
      </c>
      <c r="R475" s="151">
        <v>0</v>
      </c>
      <c r="S475" s="151">
        <v>0</v>
      </c>
      <c r="T475" s="151">
        <v>0</v>
      </c>
      <c r="U475" s="151">
        <v>4</v>
      </c>
      <c r="V475" s="151">
        <f>0</f>
        <v>0</v>
      </c>
      <c r="W475" s="151">
        <v>0</v>
      </c>
      <c r="X475" s="151">
        <f>0</f>
        <v>0</v>
      </c>
      <c r="Y475" s="151">
        <f>0</f>
        <v>0</v>
      </c>
      <c r="Z475" s="200">
        <f>0</f>
        <v>0</v>
      </c>
      <c r="AA475" s="174">
        <f t="shared" si="22"/>
        <v>4</v>
      </c>
      <c r="AB475" s="175"/>
      <c r="AC475" s="172">
        <f t="shared" si="23"/>
        <v>4</v>
      </c>
      <c r="AD475" s="176">
        <v>44964</v>
      </c>
      <c r="AE475" s="177" t="s">
        <v>529</v>
      </c>
      <c r="AF475" s="84" t="s">
        <v>1400</v>
      </c>
      <c r="AG475" s="178"/>
      <c r="AH475" s="177"/>
      <c r="AI475" s="85"/>
      <c r="AJ475" s="86">
        <v>4</v>
      </c>
      <c r="AK475" s="179">
        <f t="shared" si="21"/>
        <v>0</v>
      </c>
      <c r="AL475" s="85" t="s">
        <v>1483</v>
      </c>
      <c r="AM475" s="77"/>
      <c r="AN475" s="87"/>
      <c r="AO475" s="180"/>
    </row>
    <row r="476" spans="1:41" s="288" customFormat="1" ht="30.75" customHeight="1">
      <c r="A476" s="233">
        <v>485</v>
      </c>
      <c r="B476" s="234">
        <v>44949</v>
      </c>
      <c r="C476" s="307" t="s">
        <v>254</v>
      </c>
      <c r="D476" s="214" t="s">
        <v>1215</v>
      </c>
      <c r="E476" s="214" t="s">
        <v>1191</v>
      </c>
      <c r="F476" s="222" t="s">
        <v>627</v>
      </c>
      <c r="G476" s="214" t="s">
        <v>1215</v>
      </c>
      <c r="H476" s="309" t="s">
        <v>1215</v>
      </c>
      <c r="I476" s="301" t="s">
        <v>309</v>
      </c>
      <c r="J476" s="171" t="s">
        <v>251</v>
      </c>
      <c r="K476" s="171" t="s">
        <v>252</v>
      </c>
      <c r="L476" s="171" t="s">
        <v>252</v>
      </c>
      <c r="M476" s="171" t="s">
        <v>252</v>
      </c>
      <c r="N476" s="216" t="s">
        <v>1214</v>
      </c>
      <c r="O476" s="323">
        <v>0</v>
      </c>
      <c r="P476" s="151">
        <v>0</v>
      </c>
      <c r="Q476" s="151">
        <v>0</v>
      </c>
      <c r="R476" s="151">
        <v>0</v>
      </c>
      <c r="S476" s="151">
        <v>0</v>
      </c>
      <c r="T476" s="151">
        <v>0</v>
      </c>
      <c r="U476" s="151">
        <v>2</v>
      </c>
      <c r="V476" s="151">
        <f>0</f>
        <v>0</v>
      </c>
      <c r="W476" s="151">
        <v>0</v>
      </c>
      <c r="X476" s="151">
        <f>0</f>
        <v>0</v>
      </c>
      <c r="Y476" s="151">
        <f>0</f>
        <v>0</v>
      </c>
      <c r="Z476" s="200">
        <f>0</f>
        <v>0</v>
      </c>
      <c r="AA476" s="143">
        <f t="shared" si="22"/>
        <v>2</v>
      </c>
      <c r="AB476" s="168"/>
      <c r="AC476" s="169">
        <f t="shared" si="23"/>
        <v>2</v>
      </c>
      <c r="AD476" s="176">
        <v>44950</v>
      </c>
      <c r="AE476" s="177" t="s">
        <v>529</v>
      </c>
      <c r="AF476" s="84" t="s">
        <v>1238</v>
      </c>
      <c r="AG476" s="188"/>
      <c r="AH476" s="187" t="s">
        <v>1239</v>
      </c>
      <c r="AI476" s="88"/>
      <c r="AJ476" s="89">
        <v>2</v>
      </c>
      <c r="AK476" s="189">
        <f t="shared" si="21"/>
        <v>0</v>
      </c>
      <c r="AL476" s="88" t="s">
        <v>1454</v>
      </c>
      <c r="AM476" s="83"/>
      <c r="AN476" s="90"/>
      <c r="AO476" s="190"/>
    </row>
    <row r="477" spans="1:41" s="288" customFormat="1" ht="30.75" customHeight="1">
      <c r="A477" s="225">
        <v>486</v>
      </c>
      <c r="B477" s="234">
        <v>44949</v>
      </c>
      <c r="C477" s="307" t="s">
        <v>254</v>
      </c>
      <c r="D477" s="214" t="s">
        <v>881</v>
      </c>
      <c r="E477" s="214" t="s">
        <v>328</v>
      </c>
      <c r="F477" s="222" t="s">
        <v>1216</v>
      </c>
      <c r="G477" s="214" t="s">
        <v>881</v>
      </c>
      <c r="H477" s="309" t="s">
        <v>881</v>
      </c>
      <c r="I477" s="301" t="s">
        <v>227</v>
      </c>
      <c r="J477" s="171" t="s">
        <v>251</v>
      </c>
      <c r="K477" s="171" t="s">
        <v>252</v>
      </c>
      <c r="L477" s="171" t="s">
        <v>252</v>
      </c>
      <c r="M477" s="171" t="s">
        <v>252</v>
      </c>
      <c r="N477" s="216" t="s">
        <v>1214</v>
      </c>
      <c r="O477" s="323">
        <v>0</v>
      </c>
      <c r="P477" s="151">
        <v>0</v>
      </c>
      <c r="Q477" s="151">
        <v>0</v>
      </c>
      <c r="R477" s="151">
        <v>0</v>
      </c>
      <c r="S477" s="151">
        <v>0</v>
      </c>
      <c r="T477" s="151">
        <v>0</v>
      </c>
      <c r="U477" s="151">
        <v>1</v>
      </c>
      <c r="V477" s="151">
        <f>0</f>
        <v>0</v>
      </c>
      <c r="W477" s="151">
        <v>0</v>
      </c>
      <c r="X477" s="151">
        <f>0</f>
        <v>0</v>
      </c>
      <c r="Y477" s="151">
        <f>0</f>
        <v>0</v>
      </c>
      <c r="Z477" s="200">
        <f>0</f>
        <v>0</v>
      </c>
      <c r="AA477" s="143">
        <f t="shared" si="22"/>
        <v>1</v>
      </c>
      <c r="AB477" s="168">
        <v>1</v>
      </c>
      <c r="AC477" s="169">
        <f t="shared" si="23"/>
        <v>0</v>
      </c>
      <c r="AD477" s="176"/>
      <c r="AE477" s="187" t="s">
        <v>529</v>
      </c>
      <c r="AF477" s="130" t="s">
        <v>44</v>
      </c>
      <c r="AG477" s="188"/>
      <c r="AH477" s="187"/>
      <c r="AI477" s="88"/>
      <c r="AJ477" s="89" t="s">
        <v>499</v>
      </c>
      <c r="AK477" s="189" t="e">
        <f t="shared" si="21"/>
        <v>#VALUE!</v>
      </c>
      <c r="AL477" s="88" t="s">
        <v>1231</v>
      </c>
      <c r="AM477" s="83"/>
      <c r="AN477" s="90"/>
      <c r="AO477" s="190"/>
    </row>
    <row r="478" spans="1:41" s="288" customFormat="1" ht="30.75" customHeight="1">
      <c r="A478" s="225">
        <v>487</v>
      </c>
      <c r="B478" s="234">
        <v>44949</v>
      </c>
      <c r="C478" s="307" t="s">
        <v>254</v>
      </c>
      <c r="D478" s="217" t="s">
        <v>563</v>
      </c>
      <c r="E478" s="217" t="s">
        <v>322</v>
      </c>
      <c r="F478" s="167" t="s">
        <v>564</v>
      </c>
      <c r="G478" s="217" t="s">
        <v>563</v>
      </c>
      <c r="H478" s="308" t="s">
        <v>563</v>
      </c>
      <c r="I478" s="301" t="s">
        <v>227</v>
      </c>
      <c r="J478" s="84" t="s">
        <v>251</v>
      </c>
      <c r="K478" s="84" t="s">
        <v>252</v>
      </c>
      <c r="L478" s="84" t="s">
        <v>252</v>
      </c>
      <c r="M478" s="84" t="s">
        <v>252</v>
      </c>
      <c r="N478" s="216" t="s">
        <v>1214</v>
      </c>
      <c r="O478" s="323">
        <v>0</v>
      </c>
      <c r="P478" s="151">
        <v>0</v>
      </c>
      <c r="Q478" s="151">
        <v>0</v>
      </c>
      <c r="R478" s="151">
        <v>0</v>
      </c>
      <c r="S478" s="151">
        <v>0</v>
      </c>
      <c r="T478" s="151">
        <v>0</v>
      </c>
      <c r="U478" s="151">
        <v>2</v>
      </c>
      <c r="V478" s="151">
        <f>0</f>
        <v>0</v>
      </c>
      <c r="W478" s="151">
        <v>0</v>
      </c>
      <c r="X478" s="151">
        <f>0</f>
        <v>0</v>
      </c>
      <c r="Y478" s="151">
        <f>0</f>
        <v>0</v>
      </c>
      <c r="Z478" s="200">
        <f>0</f>
        <v>0</v>
      </c>
      <c r="AA478" s="142">
        <f t="shared" si="22"/>
        <v>2</v>
      </c>
      <c r="AB478" s="123">
        <v>2</v>
      </c>
      <c r="AC478" s="154">
        <f t="shared" si="23"/>
        <v>0</v>
      </c>
      <c r="AD478" s="176"/>
      <c r="AE478" s="177" t="s">
        <v>529</v>
      </c>
      <c r="AF478" s="84" t="s">
        <v>1234</v>
      </c>
      <c r="AG478" s="178"/>
      <c r="AH478" s="177"/>
      <c r="AI478" s="85"/>
      <c r="AJ478" s="86" t="s">
        <v>499</v>
      </c>
      <c r="AK478" s="179" t="e">
        <f t="shared" si="21"/>
        <v>#VALUE!</v>
      </c>
      <c r="AL478" s="85" t="s">
        <v>1231</v>
      </c>
      <c r="AM478" s="77"/>
      <c r="AN478" s="87"/>
      <c r="AO478" s="180"/>
    </row>
    <row r="479" spans="1:41" s="288" customFormat="1" ht="30.75" customHeight="1">
      <c r="A479" s="233">
        <v>488</v>
      </c>
      <c r="B479" s="234">
        <v>44949</v>
      </c>
      <c r="C479" s="307" t="s">
        <v>254</v>
      </c>
      <c r="D479" s="217" t="s">
        <v>1217</v>
      </c>
      <c r="E479" s="217" t="s">
        <v>338</v>
      </c>
      <c r="F479" s="167" t="s">
        <v>619</v>
      </c>
      <c r="G479" s="217" t="s">
        <v>1217</v>
      </c>
      <c r="H479" s="308" t="s">
        <v>621</v>
      </c>
      <c r="I479" s="301" t="s">
        <v>305</v>
      </c>
      <c r="J479" s="84" t="s">
        <v>251</v>
      </c>
      <c r="K479" s="84" t="s">
        <v>252</v>
      </c>
      <c r="L479" s="84" t="s">
        <v>252</v>
      </c>
      <c r="M479" s="84" t="s">
        <v>252</v>
      </c>
      <c r="N479" s="216" t="s">
        <v>1214</v>
      </c>
      <c r="O479" s="323">
        <v>0</v>
      </c>
      <c r="P479" s="151">
        <v>0</v>
      </c>
      <c r="Q479" s="151">
        <v>0</v>
      </c>
      <c r="R479" s="151">
        <v>0</v>
      </c>
      <c r="S479" s="151">
        <v>0</v>
      </c>
      <c r="T479" s="151">
        <v>0</v>
      </c>
      <c r="U479" s="151">
        <v>2</v>
      </c>
      <c r="V479" s="151">
        <f>0</f>
        <v>0</v>
      </c>
      <c r="W479" s="151">
        <v>0</v>
      </c>
      <c r="X479" s="151">
        <f>0</f>
        <v>0</v>
      </c>
      <c r="Y479" s="151">
        <f>0</f>
        <v>0</v>
      </c>
      <c r="Z479" s="200">
        <f>0</f>
        <v>0</v>
      </c>
      <c r="AA479" s="174">
        <f t="shared" si="22"/>
        <v>2</v>
      </c>
      <c r="AB479" s="175"/>
      <c r="AC479" s="172">
        <f t="shared" si="23"/>
        <v>2</v>
      </c>
      <c r="AD479" s="176">
        <v>44949</v>
      </c>
      <c r="AE479" s="177" t="s">
        <v>282</v>
      </c>
      <c r="AF479" s="84" t="s">
        <v>1322</v>
      </c>
      <c r="AG479" s="178"/>
      <c r="AH479" s="177"/>
      <c r="AI479" s="85"/>
      <c r="AJ479" s="86">
        <v>2</v>
      </c>
      <c r="AK479" s="179">
        <f t="shared" si="21"/>
        <v>0</v>
      </c>
      <c r="AL479" s="85" t="s">
        <v>1321</v>
      </c>
      <c r="AM479" s="77"/>
      <c r="AN479" s="87"/>
      <c r="AO479" s="180"/>
    </row>
    <row r="480" spans="1:41" s="288" customFormat="1" ht="30.75" customHeight="1">
      <c r="A480" s="225">
        <v>489</v>
      </c>
      <c r="B480" s="234">
        <v>44949</v>
      </c>
      <c r="C480" s="307" t="s">
        <v>254</v>
      </c>
      <c r="D480" s="217" t="s">
        <v>1218</v>
      </c>
      <c r="E480" s="217">
        <v>0</v>
      </c>
      <c r="F480" s="167" t="s">
        <v>303</v>
      </c>
      <c r="G480" s="217" t="s">
        <v>1218</v>
      </c>
      <c r="H480" s="308" t="s">
        <v>1219</v>
      </c>
      <c r="I480" s="301" t="s">
        <v>305</v>
      </c>
      <c r="J480" s="84" t="s">
        <v>251</v>
      </c>
      <c r="K480" s="84" t="s">
        <v>252</v>
      </c>
      <c r="L480" s="84" t="s">
        <v>252</v>
      </c>
      <c r="M480" s="84" t="s">
        <v>252</v>
      </c>
      <c r="N480" s="216" t="s">
        <v>1214</v>
      </c>
      <c r="O480" s="323">
        <v>0</v>
      </c>
      <c r="P480" s="151">
        <v>0</v>
      </c>
      <c r="Q480" s="151">
        <v>0</v>
      </c>
      <c r="R480" s="151">
        <v>0</v>
      </c>
      <c r="S480" s="151">
        <v>0</v>
      </c>
      <c r="T480" s="151">
        <v>0</v>
      </c>
      <c r="U480" s="151">
        <v>1</v>
      </c>
      <c r="V480" s="151">
        <f>0</f>
        <v>0</v>
      </c>
      <c r="W480" s="151">
        <v>0</v>
      </c>
      <c r="X480" s="151">
        <f>0</f>
        <v>0</v>
      </c>
      <c r="Y480" s="151">
        <f>0</f>
        <v>0</v>
      </c>
      <c r="Z480" s="200">
        <f>0</f>
        <v>0</v>
      </c>
      <c r="AA480" s="174">
        <f t="shared" si="22"/>
        <v>1</v>
      </c>
      <c r="AB480" s="175"/>
      <c r="AC480" s="172">
        <f t="shared" si="23"/>
        <v>1</v>
      </c>
      <c r="AD480" s="176"/>
      <c r="AE480" s="177" t="s">
        <v>529</v>
      </c>
      <c r="AF480" s="84" t="s">
        <v>44</v>
      </c>
      <c r="AG480" s="178"/>
      <c r="AH480" s="177"/>
      <c r="AI480" s="85"/>
      <c r="AJ480" s="86" t="s">
        <v>499</v>
      </c>
      <c r="AK480" s="179" t="e">
        <f t="shared" si="21"/>
        <v>#VALUE!</v>
      </c>
      <c r="AL480" s="85"/>
      <c r="AM480" s="77"/>
      <c r="AN480" s="87"/>
      <c r="AO480" s="180"/>
    </row>
    <row r="481" spans="1:41" s="288" customFormat="1" ht="30.75" customHeight="1">
      <c r="A481" s="225">
        <v>490</v>
      </c>
      <c r="B481" s="234">
        <v>44949</v>
      </c>
      <c r="C481" s="307" t="s">
        <v>254</v>
      </c>
      <c r="D481" s="217" t="s">
        <v>1220</v>
      </c>
      <c r="E481" s="217" t="s">
        <v>322</v>
      </c>
      <c r="F481" s="167" t="s">
        <v>345</v>
      </c>
      <c r="G481" s="217" t="s">
        <v>1220</v>
      </c>
      <c r="H481" s="308" t="s">
        <v>1221</v>
      </c>
      <c r="I481" s="301" t="s">
        <v>1222</v>
      </c>
      <c r="J481" s="84" t="s">
        <v>251</v>
      </c>
      <c r="K481" s="84" t="s">
        <v>252</v>
      </c>
      <c r="L481" s="84" t="s">
        <v>252</v>
      </c>
      <c r="M481" s="84" t="s">
        <v>252</v>
      </c>
      <c r="N481" s="216" t="s">
        <v>1214</v>
      </c>
      <c r="O481" s="323">
        <v>0</v>
      </c>
      <c r="P481" s="151">
        <v>0</v>
      </c>
      <c r="Q481" s="151">
        <v>0</v>
      </c>
      <c r="R481" s="151">
        <v>0</v>
      </c>
      <c r="S481" s="151">
        <v>0</v>
      </c>
      <c r="T481" s="151">
        <v>0</v>
      </c>
      <c r="U481" s="151">
        <v>2</v>
      </c>
      <c r="V481" s="151">
        <f>0</f>
        <v>0</v>
      </c>
      <c r="W481" s="151">
        <v>0</v>
      </c>
      <c r="X481" s="151">
        <f>0</f>
        <v>0</v>
      </c>
      <c r="Y481" s="151">
        <f>0</f>
        <v>0</v>
      </c>
      <c r="Z481" s="200">
        <f>0</f>
        <v>0</v>
      </c>
      <c r="AA481" s="174">
        <f t="shared" si="22"/>
        <v>2</v>
      </c>
      <c r="AB481" s="175"/>
      <c r="AC481" s="172">
        <f t="shared" si="23"/>
        <v>2</v>
      </c>
      <c r="AD481" s="176">
        <v>44970</v>
      </c>
      <c r="AE481" s="177" t="s">
        <v>282</v>
      </c>
      <c r="AF481" s="284" t="s">
        <v>1402</v>
      </c>
      <c r="AG481" s="178"/>
      <c r="AH481" s="177"/>
      <c r="AI481" s="85"/>
      <c r="AJ481" s="86">
        <v>2</v>
      </c>
      <c r="AK481" s="179">
        <f t="shared" si="21"/>
        <v>0</v>
      </c>
      <c r="AL481" s="85" t="s">
        <v>1422</v>
      </c>
      <c r="AM481" s="77"/>
      <c r="AN481" s="87"/>
      <c r="AO481" s="180"/>
    </row>
    <row r="482" spans="1:41" s="288" customFormat="1" ht="30.75" customHeight="1">
      <c r="A482" s="233">
        <v>491</v>
      </c>
      <c r="B482" s="234">
        <v>44949</v>
      </c>
      <c r="C482" s="307" t="s">
        <v>254</v>
      </c>
      <c r="D482" s="217" t="s">
        <v>1223</v>
      </c>
      <c r="E482" s="217" t="s">
        <v>322</v>
      </c>
      <c r="F482" s="167" t="s">
        <v>345</v>
      </c>
      <c r="G482" s="217" t="s">
        <v>1223</v>
      </c>
      <c r="H482" s="308" t="s">
        <v>1224</v>
      </c>
      <c r="I482" s="301" t="s">
        <v>1222</v>
      </c>
      <c r="J482" s="84" t="s">
        <v>251</v>
      </c>
      <c r="K482" s="84" t="s">
        <v>252</v>
      </c>
      <c r="L482" s="84" t="s">
        <v>252</v>
      </c>
      <c r="M482" s="84" t="s">
        <v>252</v>
      </c>
      <c r="N482" s="216" t="s">
        <v>1214</v>
      </c>
      <c r="O482" s="323">
        <v>0</v>
      </c>
      <c r="P482" s="151">
        <v>0</v>
      </c>
      <c r="Q482" s="151">
        <v>0</v>
      </c>
      <c r="R482" s="151">
        <v>0</v>
      </c>
      <c r="S482" s="151">
        <v>0</v>
      </c>
      <c r="T482" s="151">
        <v>0</v>
      </c>
      <c r="U482" s="151">
        <v>2</v>
      </c>
      <c r="V482" s="151">
        <f>0</f>
        <v>0</v>
      </c>
      <c r="W482" s="151">
        <v>0</v>
      </c>
      <c r="X482" s="151">
        <f>0</f>
        <v>0</v>
      </c>
      <c r="Y482" s="151">
        <f>0</f>
        <v>0</v>
      </c>
      <c r="Z482" s="200">
        <f>0</f>
        <v>0</v>
      </c>
      <c r="AA482" s="174">
        <f t="shared" si="22"/>
        <v>2</v>
      </c>
      <c r="AB482" s="175"/>
      <c r="AC482" s="172">
        <f t="shared" si="23"/>
        <v>2</v>
      </c>
      <c r="AD482" s="176">
        <v>44970</v>
      </c>
      <c r="AE482" s="177" t="s">
        <v>282</v>
      </c>
      <c r="AF482" s="262" t="s">
        <v>1402</v>
      </c>
      <c r="AG482" s="178"/>
      <c r="AH482" s="177"/>
      <c r="AI482" s="85"/>
      <c r="AJ482" s="86">
        <v>2</v>
      </c>
      <c r="AK482" s="179">
        <f t="shared" si="21"/>
        <v>0</v>
      </c>
      <c r="AL482" s="85" t="s">
        <v>1422</v>
      </c>
      <c r="AM482" s="77"/>
      <c r="AN482" s="87"/>
      <c r="AO482" s="180"/>
    </row>
    <row r="483" spans="1:41" s="288" customFormat="1" ht="30.75" customHeight="1">
      <c r="A483" s="225">
        <v>492</v>
      </c>
      <c r="B483" s="234">
        <v>44949</v>
      </c>
      <c r="C483" s="307" t="s">
        <v>254</v>
      </c>
      <c r="D483" s="217" t="s">
        <v>1225</v>
      </c>
      <c r="E483" s="217" t="s">
        <v>322</v>
      </c>
      <c r="F483" s="167" t="s">
        <v>345</v>
      </c>
      <c r="G483" s="217" t="s">
        <v>1225</v>
      </c>
      <c r="H483" s="308" t="s">
        <v>1224</v>
      </c>
      <c r="I483" s="301" t="s">
        <v>1222</v>
      </c>
      <c r="J483" s="84" t="s">
        <v>251</v>
      </c>
      <c r="K483" s="84" t="s">
        <v>252</v>
      </c>
      <c r="L483" s="84" t="s">
        <v>252</v>
      </c>
      <c r="M483" s="84" t="s">
        <v>252</v>
      </c>
      <c r="N483" s="216" t="s">
        <v>1214</v>
      </c>
      <c r="O483" s="323">
        <v>0</v>
      </c>
      <c r="P483" s="151">
        <v>0</v>
      </c>
      <c r="Q483" s="151">
        <v>0</v>
      </c>
      <c r="R483" s="151">
        <v>0</v>
      </c>
      <c r="S483" s="151">
        <v>0</v>
      </c>
      <c r="T483" s="151">
        <v>0</v>
      </c>
      <c r="U483" s="151">
        <v>2</v>
      </c>
      <c r="V483" s="151">
        <f>0</f>
        <v>0</v>
      </c>
      <c r="W483" s="151">
        <v>0</v>
      </c>
      <c r="X483" s="151">
        <f>0</f>
        <v>0</v>
      </c>
      <c r="Y483" s="151">
        <f>0</f>
        <v>0</v>
      </c>
      <c r="Z483" s="200">
        <f>0</f>
        <v>0</v>
      </c>
      <c r="AA483" s="174">
        <f t="shared" si="22"/>
        <v>2</v>
      </c>
      <c r="AB483" s="175"/>
      <c r="AC483" s="172">
        <f t="shared" si="23"/>
        <v>2</v>
      </c>
      <c r="AD483" s="176">
        <v>44970</v>
      </c>
      <c r="AE483" s="177" t="s">
        <v>282</v>
      </c>
      <c r="AF483" s="262" t="s">
        <v>1402</v>
      </c>
      <c r="AG483" s="178"/>
      <c r="AH483" s="177"/>
      <c r="AI483" s="85"/>
      <c r="AJ483" s="86">
        <v>2</v>
      </c>
      <c r="AK483" s="179">
        <f t="shared" si="21"/>
        <v>0</v>
      </c>
      <c r="AL483" s="85" t="s">
        <v>1422</v>
      </c>
      <c r="AM483" s="77"/>
      <c r="AN483" s="87"/>
      <c r="AO483" s="180"/>
    </row>
    <row r="484" spans="1:41" s="288" customFormat="1" ht="30.75" customHeight="1">
      <c r="A484" s="225">
        <v>494</v>
      </c>
      <c r="B484" s="234">
        <v>44949</v>
      </c>
      <c r="C484" s="307" t="s">
        <v>254</v>
      </c>
      <c r="D484" s="217" t="s">
        <v>1226</v>
      </c>
      <c r="E484" s="377" t="s">
        <v>322</v>
      </c>
      <c r="F484" s="167" t="s">
        <v>865</v>
      </c>
      <c r="G484" s="217" t="s">
        <v>1226</v>
      </c>
      <c r="H484" s="308" t="s">
        <v>1226</v>
      </c>
      <c r="I484" s="301" t="s">
        <v>626</v>
      </c>
      <c r="J484" s="84" t="s">
        <v>251</v>
      </c>
      <c r="K484" s="84" t="s">
        <v>252</v>
      </c>
      <c r="L484" s="84" t="s">
        <v>252</v>
      </c>
      <c r="M484" s="84" t="s">
        <v>252</v>
      </c>
      <c r="N484" s="216" t="s">
        <v>1214</v>
      </c>
      <c r="O484" s="391">
        <v>0</v>
      </c>
      <c r="P484" s="77">
        <v>0</v>
      </c>
      <c r="Q484" s="77">
        <v>0</v>
      </c>
      <c r="R484" s="77">
        <v>0</v>
      </c>
      <c r="S484" s="77">
        <v>0</v>
      </c>
      <c r="T484" s="77">
        <v>0</v>
      </c>
      <c r="U484" s="77">
        <v>1</v>
      </c>
      <c r="V484" s="77">
        <f>0</f>
        <v>0</v>
      </c>
      <c r="W484" s="77">
        <v>0</v>
      </c>
      <c r="X484" s="77">
        <f>0</f>
        <v>0</v>
      </c>
      <c r="Y484" s="77">
        <f>0</f>
        <v>0</v>
      </c>
      <c r="Z484" s="392">
        <f>0</f>
        <v>0</v>
      </c>
      <c r="AA484" s="174">
        <f t="shared" si="22"/>
        <v>1</v>
      </c>
      <c r="AB484" s="175"/>
      <c r="AC484" s="172">
        <f t="shared" si="23"/>
        <v>1</v>
      </c>
      <c r="AD484" s="176" t="s">
        <v>1434</v>
      </c>
      <c r="AE484" s="177" t="s">
        <v>282</v>
      </c>
      <c r="AF484" s="130" t="s">
        <v>1502</v>
      </c>
      <c r="AG484" s="178"/>
      <c r="AH484" s="177"/>
      <c r="AI484" s="85"/>
      <c r="AJ484" s="86">
        <v>1</v>
      </c>
      <c r="AK484" s="179">
        <f t="shared" si="21"/>
        <v>0</v>
      </c>
      <c r="AL484" s="85" t="s">
        <v>1488</v>
      </c>
      <c r="AM484" s="77"/>
      <c r="AN484" s="87"/>
      <c r="AO484" s="180"/>
    </row>
    <row r="485" spans="1:41" s="288" customFormat="1" ht="30.75" customHeight="1">
      <c r="A485" s="225">
        <v>495</v>
      </c>
      <c r="B485" s="234">
        <v>44949</v>
      </c>
      <c r="C485" s="307" t="s">
        <v>254</v>
      </c>
      <c r="D485" s="214" t="s">
        <v>1227</v>
      </c>
      <c r="E485" s="214" t="s">
        <v>328</v>
      </c>
      <c r="F485" s="222" t="s">
        <v>1228</v>
      </c>
      <c r="G485" s="214" t="s">
        <v>1227</v>
      </c>
      <c r="H485" s="309" t="s">
        <v>1227</v>
      </c>
      <c r="I485" s="301" t="s">
        <v>917</v>
      </c>
      <c r="J485" s="171" t="s">
        <v>251</v>
      </c>
      <c r="K485" s="171" t="s">
        <v>252</v>
      </c>
      <c r="L485" s="171" t="s">
        <v>252</v>
      </c>
      <c r="M485" s="171" t="s">
        <v>252</v>
      </c>
      <c r="N485" s="216" t="s">
        <v>1214</v>
      </c>
      <c r="O485" s="323">
        <v>0</v>
      </c>
      <c r="P485" s="151">
        <v>0</v>
      </c>
      <c r="Q485" s="151">
        <v>0</v>
      </c>
      <c r="R485" s="151">
        <v>0</v>
      </c>
      <c r="S485" s="151">
        <v>0</v>
      </c>
      <c r="T485" s="151">
        <v>0</v>
      </c>
      <c r="U485" s="151">
        <v>2</v>
      </c>
      <c r="V485" s="151">
        <f>0</f>
        <v>0</v>
      </c>
      <c r="W485" s="151">
        <v>0</v>
      </c>
      <c r="X485" s="151">
        <f>0</f>
        <v>0</v>
      </c>
      <c r="Y485" s="151">
        <f>0</f>
        <v>0</v>
      </c>
      <c r="Z485" s="200">
        <f>0</f>
        <v>0</v>
      </c>
      <c r="AA485" s="143">
        <f t="shared" si="22"/>
        <v>2</v>
      </c>
      <c r="AB485" s="168"/>
      <c r="AC485" s="169">
        <f t="shared" si="23"/>
        <v>2</v>
      </c>
      <c r="AD485" s="186">
        <v>44950</v>
      </c>
      <c r="AE485" s="187" t="s">
        <v>529</v>
      </c>
      <c r="AF485" s="84" t="s">
        <v>1241</v>
      </c>
      <c r="AG485" s="188"/>
      <c r="AH485" s="187" t="s">
        <v>1239</v>
      </c>
      <c r="AI485" s="88"/>
      <c r="AJ485" s="89">
        <v>2</v>
      </c>
      <c r="AK485" s="189">
        <f t="shared" si="21"/>
        <v>0</v>
      </c>
      <c r="AL485" s="88" t="s">
        <v>1396</v>
      </c>
      <c r="AM485" s="83"/>
      <c r="AN485" s="90"/>
      <c r="AO485" s="190"/>
    </row>
    <row r="486" spans="1:41" s="288" customFormat="1" ht="30.75" customHeight="1">
      <c r="A486" s="225">
        <v>496</v>
      </c>
      <c r="B486" s="234">
        <v>44949</v>
      </c>
      <c r="C486" s="307" t="s">
        <v>254</v>
      </c>
      <c r="D486" s="217" t="s">
        <v>674</v>
      </c>
      <c r="E486" s="217" t="s">
        <v>328</v>
      </c>
      <c r="F486" s="167" t="s">
        <v>377</v>
      </c>
      <c r="G486" s="217" t="s">
        <v>674</v>
      </c>
      <c r="H486" s="308" t="s">
        <v>676</v>
      </c>
      <c r="I486" s="301" t="s">
        <v>318</v>
      </c>
      <c r="J486" s="84" t="s">
        <v>251</v>
      </c>
      <c r="K486" s="84" t="s">
        <v>252</v>
      </c>
      <c r="L486" s="84" t="s">
        <v>252</v>
      </c>
      <c r="M486" s="84" t="s">
        <v>252</v>
      </c>
      <c r="N486" s="216" t="s">
        <v>1214</v>
      </c>
      <c r="O486" s="323">
        <v>0</v>
      </c>
      <c r="P486" s="151">
        <v>0</v>
      </c>
      <c r="Q486" s="151">
        <v>0</v>
      </c>
      <c r="R486" s="151">
        <v>0</v>
      </c>
      <c r="S486" s="151">
        <v>0</v>
      </c>
      <c r="T486" s="151">
        <v>0</v>
      </c>
      <c r="U486" s="151">
        <v>4</v>
      </c>
      <c r="V486" s="151">
        <f>0</f>
        <v>0</v>
      </c>
      <c r="W486" s="151">
        <v>0</v>
      </c>
      <c r="X486" s="151">
        <f>0</f>
        <v>0</v>
      </c>
      <c r="Y486" s="151">
        <f>0</f>
        <v>0</v>
      </c>
      <c r="Z486" s="200">
        <f>0</f>
        <v>0</v>
      </c>
      <c r="AA486" s="142">
        <f t="shared" si="22"/>
        <v>4</v>
      </c>
      <c r="AB486" s="123"/>
      <c r="AC486" s="154">
        <f t="shared" si="23"/>
        <v>4</v>
      </c>
      <c r="AD486" s="176">
        <v>44964</v>
      </c>
      <c r="AE486" s="177" t="s">
        <v>529</v>
      </c>
      <c r="AF486" s="84" t="s">
        <v>1328</v>
      </c>
      <c r="AG486" s="178"/>
      <c r="AH486" s="177" t="s">
        <v>1327</v>
      </c>
      <c r="AI486" s="85"/>
      <c r="AJ486" s="86">
        <v>4</v>
      </c>
      <c r="AK486" s="179">
        <f t="shared" si="21"/>
        <v>0</v>
      </c>
      <c r="AL486" s="85" t="s">
        <v>1483</v>
      </c>
      <c r="AM486" s="77"/>
      <c r="AN486" s="87"/>
      <c r="AO486" s="180"/>
    </row>
    <row r="487" spans="1:41" s="288" customFormat="1" ht="30.75" customHeight="1">
      <c r="A487" s="233">
        <v>497</v>
      </c>
      <c r="B487" s="234">
        <v>44955</v>
      </c>
      <c r="C487" s="307" t="s">
        <v>254</v>
      </c>
      <c r="D487" s="214" t="s">
        <v>1253</v>
      </c>
      <c r="E487" s="214"/>
      <c r="F487" s="222" t="s">
        <v>1254</v>
      </c>
      <c r="G487" s="188" t="s">
        <v>1253</v>
      </c>
      <c r="H487" s="309" t="s">
        <v>1253</v>
      </c>
      <c r="I487" s="301" t="s">
        <v>227</v>
      </c>
      <c r="J487" s="171" t="s">
        <v>251</v>
      </c>
      <c r="K487" s="171" t="s">
        <v>252</v>
      </c>
      <c r="L487" s="171" t="s">
        <v>252</v>
      </c>
      <c r="M487" s="171" t="s">
        <v>1255</v>
      </c>
      <c r="N487" s="216" t="s">
        <v>703</v>
      </c>
      <c r="O487" s="323">
        <v>1</v>
      </c>
      <c r="P487" s="151">
        <v>0</v>
      </c>
      <c r="Q487" s="151">
        <v>0</v>
      </c>
      <c r="R487" s="151">
        <v>0</v>
      </c>
      <c r="S487" s="151">
        <v>0</v>
      </c>
      <c r="T487" s="151">
        <v>0</v>
      </c>
      <c r="U487" s="151">
        <v>0</v>
      </c>
      <c r="V487" s="151">
        <v>0</v>
      </c>
      <c r="W487" s="151">
        <v>0</v>
      </c>
      <c r="X487" s="151">
        <v>0</v>
      </c>
      <c r="Y487" s="151">
        <v>0</v>
      </c>
      <c r="Z487" s="200">
        <v>0</v>
      </c>
      <c r="AA487" s="132">
        <f t="shared" si="22"/>
        <v>1</v>
      </c>
      <c r="AB487" s="160"/>
      <c r="AC487" s="161">
        <f t="shared" si="23"/>
        <v>1</v>
      </c>
      <c r="AD487" s="176">
        <v>44967</v>
      </c>
      <c r="AE487" s="177" t="s">
        <v>282</v>
      </c>
      <c r="AF487" s="254" t="s">
        <v>1398</v>
      </c>
      <c r="AG487" s="188"/>
      <c r="AH487" s="177"/>
      <c r="AI487" s="88"/>
      <c r="AJ487" s="89">
        <v>1</v>
      </c>
      <c r="AK487" s="189">
        <f t="shared" si="21"/>
        <v>0</v>
      </c>
      <c r="AL487" s="88" t="s">
        <v>1489</v>
      </c>
      <c r="AM487" s="83"/>
      <c r="AN487" s="90"/>
      <c r="AO487" s="190"/>
    </row>
    <row r="488" spans="1:41" s="288" customFormat="1" ht="30.75" customHeight="1">
      <c r="A488" s="233">
        <v>498</v>
      </c>
      <c r="B488" s="234">
        <v>44955</v>
      </c>
      <c r="C488" s="307" t="s">
        <v>254</v>
      </c>
      <c r="D488" s="217" t="s">
        <v>1256</v>
      </c>
      <c r="E488" s="217"/>
      <c r="F488" s="167" t="s">
        <v>1257</v>
      </c>
      <c r="G488" s="178" t="s">
        <v>1256</v>
      </c>
      <c r="H488" s="308" t="s">
        <v>1256</v>
      </c>
      <c r="I488" s="301" t="s">
        <v>227</v>
      </c>
      <c r="J488" s="84" t="s">
        <v>251</v>
      </c>
      <c r="K488" s="84" t="s">
        <v>252</v>
      </c>
      <c r="L488" s="84" t="s">
        <v>252</v>
      </c>
      <c r="M488" s="84" t="s">
        <v>1255</v>
      </c>
      <c r="N488" s="216" t="s">
        <v>703</v>
      </c>
      <c r="O488" s="323">
        <v>1</v>
      </c>
      <c r="P488" s="151">
        <v>0</v>
      </c>
      <c r="Q488" s="151">
        <v>0</v>
      </c>
      <c r="R488" s="151">
        <v>0</v>
      </c>
      <c r="S488" s="151">
        <v>0</v>
      </c>
      <c r="T488" s="151">
        <v>0</v>
      </c>
      <c r="U488" s="151">
        <v>0</v>
      </c>
      <c r="V488" s="151">
        <v>0</v>
      </c>
      <c r="W488" s="151">
        <v>0</v>
      </c>
      <c r="X488" s="151">
        <v>0</v>
      </c>
      <c r="Y488" s="151">
        <v>0</v>
      </c>
      <c r="Z488" s="200">
        <v>0</v>
      </c>
      <c r="AA488" s="174">
        <f t="shared" si="22"/>
        <v>1</v>
      </c>
      <c r="AB488" s="175"/>
      <c r="AC488" s="172">
        <f t="shared" si="23"/>
        <v>1</v>
      </c>
      <c r="AD488" s="176">
        <v>44967</v>
      </c>
      <c r="AE488" s="177" t="s">
        <v>282</v>
      </c>
      <c r="AF488" s="253" t="s">
        <v>1398</v>
      </c>
      <c r="AG488" s="178"/>
      <c r="AH488" s="177"/>
      <c r="AI488" s="85"/>
      <c r="AJ488" s="86">
        <v>1</v>
      </c>
      <c r="AK488" s="179">
        <f t="shared" si="21"/>
        <v>0</v>
      </c>
      <c r="AL488" s="85" t="s">
        <v>1489</v>
      </c>
      <c r="AM488" s="77"/>
      <c r="AN488" s="87"/>
      <c r="AO488" s="180"/>
    </row>
    <row r="489" spans="1:41" s="288" customFormat="1" ht="30.75" customHeight="1">
      <c r="A489" s="233">
        <v>499</v>
      </c>
      <c r="B489" s="234">
        <v>44955</v>
      </c>
      <c r="C489" s="307" t="s">
        <v>254</v>
      </c>
      <c r="D489" s="217" t="s">
        <v>697</v>
      </c>
      <c r="E489" s="217">
        <v>0</v>
      </c>
      <c r="F489" s="167" t="s">
        <v>698</v>
      </c>
      <c r="G489" s="178" t="s">
        <v>697</v>
      </c>
      <c r="H489" s="308" t="s">
        <v>697</v>
      </c>
      <c r="I489" s="301" t="s">
        <v>227</v>
      </c>
      <c r="J489" s="84" t="s">
        <v>251</v>
      </c>
      <c r="K489" s="84" t="s">
        <v>252</v>
      </c>
      <c r="L489" s="84" t="s">
        <v>252</v>
      </c>
      <c r="M489" s="84" t="s">
        <v>1258</v>
      </c>
      <c r="N489" s="216" t="s">
        <v>703</v>
      </c>
      <c r="O489" s="323">
        <v>0</v>
      </c>
      <c r="P489" s="151">
        <v>1</v>
      </c>
      <c r="Q489" s="151">
        <v>0</v>
      </c>
      <c r="R489" s="151">
        <v>0</v>
      </c>
      <c r="S489" s="151">
        <v>0</v>
      </c>
      <c r="T489" s="151">
        <v>0</v>
      </c>
      <c r="U489" s="151">
        <v>0</v>
      </c>
      <c r="V489" s="151">
        <v>0</v>
      </c>
      <c r="W489" s="151">
        <v>0</v>
      </c>
      <c r="X489" s="151">
        <v>0</v>
      </c>
      <c r="Y489" s="151">
        <v>0</v>
      </c>
      <c r="Z489" s="200">
        <v>0</v>
      </c>
      <c r="AA489" s="142">
        <f t="shared" si="22"/>
        <v>1</v>
      </c>
      <c r="AB489" s="123">
        <v>1</v>
      </c>
      <c r="AC489" s="154">
        <f t="shared" si="23"/>
        <v>0</v>
      </c>
      <c r="AD489" s="176"/>
      <c r="AE489" s="177" t="s">
        <v>282</v>
      </c>
      <c r="AF489" s="552" t="s">
        <v>292</v>
      </c>
      <c r="AG489" s="178"/>
      <c r="AH489" s="177"/>
      <c r="AI489" s="85"/>
      <c r="AJ489" s="86" t="s">
        <v>284</v>
      </c>
      <c r="AK489" s="179" t="e">
        <f t="shared" si="21"/>
        <v>#VALUE!</v>
      </c>
      <c r="AL489" s="85" t="s">
        <v>1319</v>
      </c>
      <c r="AM489" s="77"/>
      <c r="AN489" s="87"/>
      <c r="AO489" s="180"/>
    </row>
    <row r="490" spans="1:41" s="288" customFormat="1" ht="30.75" customHeight="1">
      <c r="A490" s="233">
        <v>500</v>
      </c>
      <c r="B490" s="234">
        <v>44955</v>
      </c>
      <c r="C490" s="307" t="s">
        <v>254</v>
      </c>
      <c r="D490" s="217" t="s">
        <v>697</v>
      </c>
      <c r="E490" s="217">
        <v>0</v>
      </c>
      <c r="F490" s="167" t="s">
        <v>698</v>
      </c>
      <c r="G490" s="178" t="s">
        <v>697</v>
      </c>
      <c r="H490" s="308" t="s">
        <v>697</v>
      </c>
      <c r="I490" s="301" t="s">
        <v>227</v>
      </c>
      <c r="J490" s="84" t="s">
        <v>251</v>
      </c>
      <c r="K490" s="84" t="s">
        <v>252</v>
      </c>
      <c r="L490" s="84" t="s">
        <v>252</v>
      </c>
      <c r="M490" s="84" t="s">
        <v>1259</v>
      </c>
      <c r="N490" s="216" t="s">
        <v>703</v>
      </c>
      <c r="O490" s="323">
        <v>0</v>
      </c>
      <c r="P490" s="151">
        <v>2</v>
      </c>
      <c r="Q490" s="151">
        <v>0</v>
      </c>
      <c r="R490" s="151">
        <v>0</v>
      </c>
      <c r="S490" s="151">
        <v>0</v>
      </c>
      <c r="T490" s="151">
        <v>0</v>
      </c>
      <c r="U490" s="151">
        <v>0</v>
      </c>
      <c r="V490" s="151">
        <v>0</v>
      </c>
      <c r="W490" s="151">
        <v>0</v>
      </c>
      <c r="X490" s="151">
        <v>0</v>
      </c>
      <c r="Y490" s="151">
        <v>0</v>
      </c>
      <c r="Z490" s="200">
        <v>0</v>
      </c>
      <c r="AA490" s="142">
        <f t="shared" si="22"/>
        <v>2</v>
      </c>
      <c r="AB490" s="123">
        <v>2</v>
      </c>
      <c r="AC490" s="154">
        <f t="shared" si="23"/>
        <v>0</v>
      </c>
      <c r="AD490" s="176"/>
      <c r="AE490" s="177" t="s">
        <v>282</v>
      </c>
      <c r="AF490" s="84" t="s">
        <v>292</v>
      </c>
      <c r="AG490" s="178"/>
      <c r="AH490" s="177"/>
      <c r="AI490" s="85"/>
      <c r="AJ490" s="86" t="s">
        <v>295</v>
      </c>
      <c r="AK490" s="179" t="e">
        <f t="shared" si="21"/>
        <v>#VALUE!</v>
      </c>
      <c r="AL490" s="85" t="s">
        <v>1319</v>
      </c>
      <c r="AM490" s="77"/>
      <c r="AN490" s="87"/>
      <c r="AO490" s="180"/>
    </row>
    <row r="491" spans="1:41" s="288" customFormat="1" ht="30.75" customHeight="1">
      <c r="A491" s="233">
        <v>501</v>
      </c>
      <c r="B491" s="234">
        <v>44955</v>
      </c>
      <c r="C491" s="307" t="s">
        <v>254</v>
      </c>
      <c r="D491" s="217" t="s">
        <v>757</v>
      </c>
      <c r="E491" s="217" t="s">
        <v>328</v>
      </c>
      <c r="F491" s="167" t="s">
        <v>1260</v>
      </c>
      <c r="G491" s="178">
        <v>530029</v>
      </c>
      <c r="H491" s="308">
        <v>530029</v>
      </c>
      <c r="I491" s="301" t="s">
        <v>329</v>
      </c>
      <c r="J491" s="84" t="s">
        <v>251</v>
      </c>
      <c r="K491" s="84" t="s">
        <v>252</v>
      </c>
      <c r="L491" s="84" t="s">
        <v>252</v>
      </c>
      <c r="M491" s="84" t="s">
        <v>1261</v>
      </c>
      <c r="N491" s="216" t="s">
        <v>703</v>
      </c>
      <c r="O491" s="323">
        <v>1</v>
      </c>
      <c r="P491" s="151">
        <v>0</v>
      </c>
      <c r="Q491" s="151">
        <v>4</v>
      </c>
      <c r="R491" s="151">
        <v>0</v>
      </c>
      <c r="S491" s="151">
        <v>0</v>
      </c>
      <c r="T491" s="151">
        <v>4</v>
      </c>
      <c r="U491" s="151">
        <v>4</v>
      </c>
      <c r="V491" s="151">
        <v>0</v>
      </c>
      <c r="W491" s="151">
        <v>0</v>
      </c>
      <c r="X491" s="151">
        <v>0</v>
      </c>
      <c r="Y491" s="151">
        <v>0</v>
      </c>
      <c r="Z491" s="200">
        <v>0</v>
      </c>
      <c r="AA491" s="174">
        <f t="shared" si="22"/>
        <v>13</v>
      </c>
      <c r="AB491" s="175"/>
      <c r="AC491" s="172">
        <f t="shared" si="23"/>
        <v>13</v>
      </c>
      <c r="AD491" s="176">
        <v>44965</v>
      </c>
      <c r="AE491" s="177" t="s">
        <v>282</v>
      </c>
      <c r="AF491" s="84" t="s">
        <v>1337</v>
      </c>
      <c r="AG491" s="178"/>
      <c r="AH491" s="176" t="s">
        <v>1499</v>
      </c>
      <c r="AI491" s="85"/>
      <c r="AJ491" s="86">
        <v>13</v>
      </c>
      <c r="AK491" s="179">
        <f t="shared" si="21"/>
        <v>0</v>
      </c>
      <c r="AL491" s="85" t="s">
        <v>1579</v>
      </c>
      <c r="AM491" s="77"/>
      <c r="AN491" s="87"/>
      <c r="AO491" s="180"/>
    </row>
    <row r="492" spans="1:41" s="288" customFormat="1" ht="30.75" customHeight="1">
      <c r="A492" s="233">
        <v>502</v>
      </c>
      <c r="B492" s="234">
        <v>44955</v>
      </c>
      <c r="C492" s="307" t="s">
        <v>254</v>
      </c>
      <c r="D492" s="308" t="s">
        <v>1277</v>
      </c>
      <c r="E492" s="217">
        <v>0</v>
      </c>
      <c r="F492" s="167" t="s">
        <v>1262</v>
      </c>
      <c r="G492" s="178" t="s">
        <v>1277</v>
      </c>
      <c r="H492" s="308" t="s">
        <v>1277</v>
      </c>
      <c r="I492" s="301" t="s">
        <v>523</v>
      </c>
      <c r="J492" s="84" t="s">
        <v>251</v>
      </c>
      <c r="K492" s="84" t="s">
        <v>252</v>
      </c>
      <c r="L492" s="84" t="s">
        <v>252</v>
      </c>
      <c r="M492" s="84" t="s">
        <v>1263</v>
      </c>
      <c r="N492" s="216" t="s">
        <v>703</v>
      </c>
      <c r="O492" s="323">
        <v>0</v>
      </c>
      <c r="P492" s="151">
        <v>0</v>
      </c>
      <c r="Q492" s="151">
        <v>2</v>
      </c>
      <c r="R492" s="151">
        <v>2</v>
      </c>
      <c r="S492" s="151">
        <v>4</v>
      </c>
      <c r="T492" s="151">
        <v>4</v>
      </c>
      <c r="U492" s="151">
        <v>8</v>
      </c>
      <c r="V492" s="151">
        <v>0</v>
      </c>
      <c r="W492" s="151">
        <v>0</v>
      </c>
      <c r="X492" s="151">
        <v>0</v>
      </c>
      <c r="Y492" s="151">
        <v>0</v>
      </c>
      <c r="Z492" s="200">
        <v>0</v>
      </c>
      <c r="AA492" s="142">
        <f t="shared" si="22"/>
        <v>20</v>
      </c>
      <c r="AB492" s="123"/>
      <c r="AC492" s="154">
        <f t="shared" si="23"/>
        <v>20</v>
      </c>
      <c r="AD492" s="176">
        <v>44953</v>
      </c>
      <c r="AE492" s="177" t="s">
        <v>529</v>
      </c>
      <c r="AF492" s="164" t="s">
        <v>1275</v>
      </c>
      <c r="AG492" s="178"/>
      <c r="AH492" s="177" t="s">
        <v>1276</v>
      </c>
      <c r="AI492" s="85"/>
      <c r="AJ492" s="86">
        <v>17</v>
      </c>
      <c r="AK492" s="179">
        <f t="shared" si="21"/>
        <v>3</v>
      </c>
      <c r="AL492" s="85" t="s">
        <v>1483</v>
      </c>
      <c r="AM492" s="77"/>
      <c r="AN492" s="87"/>
      <c r="AO492" s="180"/>
    </row>
    <row r="493" spans="1:41" s="288" customFormat="1" ht="30.75" customHeight="1">
      <c r="A493" s="233">
        <v>503</v>
      </c>
      <c r="B493" s="234">
        <v>44955</v>
      </c>
      <c r="C493" s="307" t="s">
        <v>254</v>
      </c>
      <c r="D493" s="217" t="s">
        <v>1264</v>
      </c>
      <c r="E493" s="217">
        <v>0</v>
      </c>
      <c r="F493" s="167" t="s">
        <v>1265</v>
      </c>
      <c r="G493" s="178" t="s">
        <v>1264</v>
      </c>
      <c r="H493" s="308" t="s">
        <v>1264</v>
      </c>
      <c r="I493" s="301" t="s">
        <v>227</v>
      </c>
      <c r="J493" s="84" t="s">
        <v>251</v>
      </c>
      <c r="K493" s="84" t="s">
        <v>252</v>
      </c>
      <c r="L493" s="84" t="s">
        <v>252</v>
      </c>
      <c r="M493" s="84" t="s">
        <v>1266</v>
      </c>
      <c r="N493" s="216" t="s">
        <v>703</v>
      </c>
      <c r="O493" s="323">
        <v>0</v>
      </c>
      <c r="P493" s="151">
        <v>0</v>
      </c>
      <c r="Q493" s="151">
        <v>0</v>
      </c>
      <c r="R493" s="151">
        <v>0</v>
      </c>
      <c r="S493" s="151">
        <v>2</v>
      </c>
      <c r="T493" s="151">
        <v>0</v>
      </c>
      <c r="U493" s="151">
        <v>0</v>
      </c>
      <c r="V493" s="151">
        <v>0</v>
      </c>
      <c r="W493" s="151">
        <v>0</v>
      </c>
      <c r="X493" s="151">
        <v>0</v>
      </c>
      <c r="Y493" s="151">
        <v>0</v>
      </c>
      <c r="Z493" s="200">
        <v>0</v>
      </c>
      <c r="AA493" s="174">
        <f t="shared" si="22"/>
        <v>2</v>
      </c>
      <c r="AB493" s="175"/>
      <c r="AC493" s="172">
        <f t="shared" si="23"/>
        <v>2</v>
      </c>
      <c r="AD493" s="176">
        <v>44967</v>
      </c>
      <c r="AE493" s="177" t="s">
        <v>282</v>
      </c>
      <c r="AF493" s="284" t="s">
        <v>1398</v>
      </c>
      <c r="AG493" s="178"/>
      <c r="AH493" s="177"/>
      <c r="AI493" s="85"/>
      <c r="AJ493" s="86">
        <v>2</v>
      </c>
      <c r="AK493" s="179">
        <f t="shared" si="21"/>
        <v>0</v>
      </c>
      <c r="AL493" s="85" t="s">
        <v>1489</v>
      </c>
      <c r="AM493" s="77"/>
      <c r="AN493" s="87"/>
      <c r="AO493" s="180"/>
    </row>
    <row r="494" spans="1:41" s="288" customFormat="1" ht="30.75" customHeight="1">
      <c r="A494" s="233">
        <v>504</v>
      </c>
      <c r="B494" s="234">
        <v>44955</v>
      </c>
      <c r="C494" s="307" t="s">
        <v>254</v>
      </c>
      <c r="D494" s="217" t="s">
        <v>1267</v>
      </c>
      <c r="E494" s="217">
        <v>0</v>
      </c>
      <c r="F494" s="167" t="s">
        <v>1268</v>
      </c>
      <c r="G494" s="178" t="s">
        <v>1267</v>
      </c>
      <c r="H494" s="308" t="s">
        <v>1267</v>
      </c>
      <c r="I494" s="301" t="s">
        <v>227</v>
      </c>
      <c r="J494" s="84" t="s">
        <v>251</v>
      </c>
      <c r="K494" s="84" t="s">
        <v>252</v>
      </c>
      <c r="L494" s="84" t="s">
        <v>252</v>
      </c>
      <c r="M494" s="84" t="s">
        <v>1269</v>
      </c>
      <c r="N494" s="216" t="s">
        <v>703</v>
      </c>
      <c r="O494" s="323">
        <v>0</v>
      </c>
      <c r="P494" s="151">
        <v>0</v>
      </c>
      <c r="Q494" s="151">
        <v>0</v>
      </c>
      <c r="R494" s="151">
        <v>0</v>
      </c>
      <c r="S494" s="151">
        <v>0</v>
      </c>
      <c r="T494" s="151">
        <v>0</v>
      </c>
      <c r="U494" s="151">
        <v>0</v>
      </c>
      <c r="V494" s="151">
        <v>0</v>
      </c>
      <c r="W494" s="151">
        <v>3</v>
      </c>
      <c r="X494" s="151">
        <v>0</v>
      </c>
      <c r="Y494" s="151">
        <v>0</v>
      </c>
      <c r="Z494" s="200">
        <v>0</v>
      </c>
      <c r="AA494" s="174">
        <f t="shared" si="22"/>
        <v>3</v>
      </c>
      <c r="AB494" s="175">
        <v>1</v>
      </c>
      <c r="AC494" s="172">
        <f t="shared" si="23"/>
        <v>2</v>
      </c>
      <c r="AD494" s="176">
        <v>44967</v>
      </c>
      <c r="AE494" s="177" t="s">
        <v>282</v>
      </c>
      <c r="AF494" s="253" t="s">
        <v>1398</v>
      </c>
      <c r="AG494" s="178"/>
      <c r="AH494" s="177"/>
      <c r="AI494" s="85"/>
      <c r="AJ494" s="86" t="s">
        <v>1492</v>
      </c>
      <c r="AK494" s="179" t="e">
        <f t="shared" si="21"/>
        <v>#VALUE!</v>
      </c>
      <c r="AL494" s="85" t="s">
        <v>1493</v>
      </c>
      <c r="AM494" s="77"/>
      <c r="AN494" s="87"/>
      <c r="AO494" s="180"/>
    </row>
    <row r="495" spans="1:41" s="288" customFormat="1" ht="30.75" customHeight="1">
      <c r="A495" s="233">
        <v>505</v>
      </c>
      <c r="B495" s="234">
        <v>44955</v>
      </c>
      <c r="C495" s="307" t="s">
        <v>254</v>
      </c>
      <c r="D495" s="217" t="s">
        <v>697</v>
      </c>
      <c r="E495" s="217">
        <v>0</v>
      </c>
      <c r="F495" s="167" t="s">
        <v>698</v>
      </c>
      <c r="G495" s="178" t="s">
        <v>697</v>
      </c>
      <c r="H495" s="308" t="s">
        <v>697</v>
      </c>
      <c r="I495" s="301" t="s">
        <v>227</v>
      </c>
      <c r="J495" s="84" t="s">
        <v>251</v>
      </c>
      <c r="K495" s="84" t="s">
        <v>252</v>
      </c>
      <c r="L495" s="84" t="s">
        <v>252</v>
      </c>
      <c r="M495" s="84" t="s">
        <v>1270</v>
      </c>
      <c r="N495" s="216" t="s">
        <v>703</v>
      </c>
      <c r="O495" s="323">
        <v>0</v>
      </c>
      <c r="P495" s="151">
        <v>0</v>
      </c>
      <c r="Q495" s="151">
        <v>0</v>
      </c>
      <c r="R495" s="151">
        <v>2</v>
      </c>
      <c r="S495" s="151">
        <v>0</v>
      </c>
      <c r="T495" s="151">
        <v>0</v>
      </c>
      <c r="U495" s="151">
        <v>0</v>
      </c>
      <c r="V495" s="151">
        <v>0</v>
      </c>
      <c r="W495" s="151">
        <v>0</v>
      </c>
      <c r="X495" s="151">
        <v>0</v>
      </c>
      <c r="Y495" s="151">
        <v>0</v>
      </c>
      <c r="Z495" s="200">
        <v>0</v>
      </c>
      <c r="AA495" s="142">
        <f t="shared" si="22"/>
        <v>2</v>
      </c>
      <c r="AB495" s="123">
        <v>2</v>
      </c>
      <c r="AC495" s="154">
        <f t="shared" si="23"/>
        <v>0</v>
      </c>
      <c r="AD495" s="176"/>
      <c r="AE495" s="177" t="s">
        <v>282</v>
      </c>
      <c r="AF495" s="552" t="s">
        <v>292</v>
      </c>
      <c r="AG495" s="178"/>
      <c r="AH495" s="177"/>
      <c r="AI495" s="85"/>
      <c r="AJ495" s="86" t="s">
        <v>295</v>
      </c>
      <c r="AK495" s="179" t="e">
        <f t="shared" si="21"/>
        <v>#VALUE!</v>
      </c>
      <c r="AL495" s="85" t="s">
        <v>1319</v>
      </c>
      <c r="AM495" s="77"/>
      <c r="AN495" s="87"/>
      <c r="AO495" s="180"/>
    </row>
    <row r="496" spans="1:41" s="288" customFormat="1" ht="30.75" customHeight="1">
      <c r="A496" s="233">
        <v>506</v>
      </c>
      <c r="B496" s="234">
        <v>44955</v>
      </c>
      <c r="C496" s="307" t="s">
        <v>254</v>
      </c>
      <c r="D496" s="217" t="s">
        <v>697</v>
      </c>
      <c r="E496" s="217">
        <v>0</v>
      </c>
      <c r="F496" s="167" t="s">
        <v>698</v>
      </c>
      <c r="G496" s="178" t="s">
        <v>697</v>
      </c>
      <c r="H496" s="308" t="s">
        <v>697</v>
      </c>
      <c r="I496" s="301" t="s">
        <v>227</v>
      </c>
      <c r="J496" s="84" t="s">
        <v>251</v>
      </c>
      <c r="K496" s="84" t="s">
        <v>252</v>
      </c>
      <c r="L496" s="84" t="s">
        <v>252</v>
      </c>
      <c r="M496" s="84" t="s">
        <v>1266</v>
      </c>
      <c r="N496" s="216" t="s">
        <v>703</v>
      </c>
      <c r="O496" s="323">
        <v>0</v>
      </c>
      <c r="P496" s="151">
        <v>0</v>
      </c>
      <c r="Q496" s="151">
        <v>0</v>
      </c>
      <c r="R496" s="151">
        <v>0</v>
      </c>
      <c r="S496" s="151">
        <v>2</v>
      </c>
      <c r="T496" s="151">
        <v>0</v>
      </c>
      <c r="U496" s="151">
        <v>0</v>
      </c>
      <c r="V496" s="151">
        <v>0</v>
      </c>
      <c r="W496" s="151">
        <v>0</v>
      </c>
      <c r="X496" s="151">
        <v>0</v>
      </c>
      <c r="Y496" s="151">
        <v>0</v>
      </c>
      <c r="Z496" s="200">
        <v>0</v>
      </c>
      <c r="AA496" s="142">
        <f t="shared" si="22"/>
        <v>2</v>
      </c>
      <c r="AB496" s="123">
        <v>2</v>
      </c>
      <c r="AC496" s="154">
        <f t="shared" si="23"/>
        <v>0</v>
      </c>
      <c r="AD496" s="176"/>
      <c r="AE496" s="177" t="s">
        <v>282</v>
      </c>
      <c r="AF496" s="84" t="s">
        <v>292</v>
      </c>
      <c r="AG496" s="178"/>
      <c r="AH496" s="177"/>
      <c r="AI496" s="85"/>
      <c r="AJ496" s="86" t="s">
        <v>295</v>
      </c>
      <c r="AK496" s="179" t="e">
        <f t="shared" si="21"/>
        <v>#VALUE!</v>
      </c>
      <c r="AL496" s="85" t="s">
        <v>1319</v>
      </c>
      <c r="AM496" s="77"/>
      <c r="AN496" s="87"/>
      <c r="AO496" s="180"/>
    </row>
    <row r="497" spans="1:41" s="288" customFormat="1" ht="30.75" customHeight="1">
      <c r="A497" s="233">
        <v>507</v>
      </c>
      <c r="B497" s="234">
        <v>44955</v>
      </c>
      <c r="C497" s="307" t="s">
        <v>254</v>
      </c>
      <c r="D497" s="217" t="s">
        <v>334</v>
      </c>
      <c r="E497" s="217" t="s">
        <v>328</v>
      </c>
      <c r="F497" s="167" t="s">
        <v>1260</v>
      </c>
      <c r="G497" s="178" t="s">
        <v>334</v>
      </c>
      <c r="H497" s="308">
        <v>530030</v>
      </c>
      <c r="I497" s="301" t="s">
        <v>329</v>
      </c>
      <c r="J497" s="84" t="s">
        <v>251</v>
      </c>
      <c r="K497" s="84" t="s">
        <v>252</v>
      </c>
      <c r="L497" s="84" t="s">
        <v>252</v>
      </c>
      <c r="M497" s="84" t="s">
        <v>1263</v>
      </c>
      <c r="N497" s="216" t="s">
        <v>703</v>
      </c>
      <c r="O497" s="323">
        <v>0</v>
      </c>
      <c r="P497" s="151">
        <v>0</v>
      </c>
      <c r="Q497" s="151">
        <v>0</v>
      </c>
      <c r="R497" s="151">
        <v>4</v>
      </c>
      <c r="S497" s="151">
        <v>4</v>
      </c>
      <c r="T497" s="151">
        <v>0</v>
      </c>
      <c r="U497" s="151">
        <v>0</v>
      </c>
      <c r="V497" s="151">
        <v>0</v>
      </c>
      <c r="W497" s="151">
        <v>0</v>
      </c>
      <c r="X497" s="151">
        <v>0</v>
      </c>
      <c r="Y497" s="151">
        <v>0</v>
      </c>
      <c r="Z497" s="200">
        <v>0</v>
      </c>
      <c r="AA497" s="142">
        <f t="shared" si="22"/>
        <v>8</v>
      </c>
      <c r="AB497" s="123">
        <v>8</v>
      </c>
      <c r="AC497" s="154">
        <f t="shared" si="23"/>
        <v>0</v>
      </c>
      <c r="AD497" s="176">
        <v>44952</v>
      </c>
      <c r="AE497" s="177" t="s">
        <v>529</v>
      </c>
      <c r="AF497" s="84" t="s">
        <v>44</v>
      </c>
      <c r="AG497" s="178"/>
      <c r="AH497" s="177"/>
      <c r="AI497" s="85"/>
      <c r="AJ497" s="86" t="s">
        <v>499</v>
      </c>
      <c r="AK497" s="179" t="e">
        <f t="shared" si="21"/>
        <v>#VALUE!</v>
      </c>
      <c r="AL497" s="85" t="s">
        <v>1252</v>
      </c>
      <c r="AM497" s="77"/>
      <c r="AN497" s="87"/>
      <c r="AO497" s="180"/>
    </row>
    <row r="498" spans="1:41" s="288" customFormat="1" ht="30.75" customHeight="1">
      <c r="A498" s="233">
        <v>508</v>
      </c>
      <c r="B498" s="234">
        <v>44955</v>
      </c>
      <c r="C498" s="307" t="s">
        <v>254</v>
      </c>
      <c r="D498" s="217" t="s">
        <v>1271</v>
      </c>
      <c r="E498" s="217">
        <v>0</v>
      </c>
      <c r="F498" s="167" t="s">
        <v>1272</v>
      </c>
      <c r="G498" s="178" t="s">
        <v>1271</v>
      </c>
      <c r="H498" s="308" t="s">
        <v>1271</v>
      </c>
      <c r="I498" s="301" t="s">
        <v>509</v>
      </c>
      <c r="J498" s="84" t="s">
        <v>251</v>
      </c>
      <c r="K498" s="84" t="s">
        <v>252</v>
      </c>
      <c r="L498" s="84" t="s">
        <v>252</v>
      </c>
      <c r="M498" s="84" t="s">
        <v>1273</v>
      </c>
      <c r="N498" s="216" t="s">
        <v>71</v>
      </c>
      <c r="O498" s="391">
        <v>0</v>
      </c>
      <c r="P498" s="77">
        <v>0</v>
      </c>
      <c r="Q498" s="77">
        <v>0</v>
      </c>
      <c r="R498" s="77">
        <v>0</v>
      </c>
      <c r="S498" s="77">
        <v>2</v>
      </c>
      <c r="T498" s="77">
        <v>0</v>
      </c>
      <c r="U498" s="77">
        <v>0</v>
      </c>
      <c r="V498" s="77">
        <v>0</v>
      </c>
      <c r="W498" s="77">
        <v>0</v>
      </c>
      <c r="X498" s="77">
        <v>0</v>
      </c>
      <c r="Y498" s="77">
        <v>0</v>
      </c>
      <c r="Z498" s="392">
        <v>0</v>
      </c>
      <c r="AA498" s="174">
        <f t="shared" si="22"/>
        <v>2</v>
      </c>
      <c r="AB498" s="175"/>
      <c r="AC498" s="172">
        <f t="shared" si="23"/>
        <v>2</v>
      </c>
      <c r="AD498" s="176" t="s">
        <v>1586</v>
      </c>
      <c r="AE498" s="177" t="s">
        <v>239</v>
      </c>
      <c r="AF498" s="84" t="s">
        <v>1587</v>
      </c>
      <c r="AG498" s="178"/>
      <c r="AH498" s="177"/>
      <c r="AI498" s="85" t="s">
        <v>1438</v>
      </c>
      <c r="AJ498" s="86"/>
      <c r="AK498" s="179">
        <f t="shared" si="21"/>
        <v>2</v>
      </c>
      <c r="AL498" s="85"/>
      <c r="AM498" s="77"/>
      <c r="AN498" s="87"/>
      <c r="AO498" s="180"/>
    </row>
    <row r="499" spans="1:41" s="289" customFormat="1" ht="30.75" customHeight="1">
      <c r="A499" s="233">
        <v>509</v>
      </c>
      <c r="B499" s="234">
        <v>44957</v>
      </c>
      <c r="C499" s="235" t="s">
        <v>454</v>
      </c>
      <c r="D499" s="214"/>
      <c r="E499" s="214"/>
      <c r="F499" s="222" t="s">
        <v>1300</v>
      </c>
      <c r="G499" s="171" t="s">
        <v>1301</v>
      </c>
      <c r="H499" s="171" t="s">
        <v>1302</v>
      </c>
      <c r="I499" s="232" t="s">
        <v>1175</v>
      </c>
      <c r="J499" s="171"/>
      <c r="K499" s="171"/>
      <c r="L499" s="171"/>
      <c r="M499" s="171"/>
      <c r="N499" s="216"/>
      <c r="O499" s="323">
        <v>0</v>
      </c>
      <c r="P499" s="151">
        <v>0</v>
      </c>
      <c r="Q499" s="151">
        <v>0</v>
      </c>
      <c r="R499" s="151">
        <v>0</v>
      </c>
      <c r="S499" s="151">
        <v>0</v>
      </c>
      <c r="T499" s="151">
        <v>0</v>
      </c>
      <c r="U499" s="151">
        <v>0</v>
      </c>
      <c r="V499" s="151">
        <v>0</v>
      </c>
      <c r="W499" s="151">
        <v>0</v>
      </c>
      <c r="X499" s="151">
        <v>0</v>
      </c>
      <c r="Y499" s="151">
        <v>0</v>
      </c>
      <c r="Z499" s="200">
        <v>0</v>
      </c>
      <c r="AA499" s="143">
        <f t="shared" si="22"/>
        <v>0</v>
      </c>
      <c r="AB499" s="168">
        <v>2</v>
      </c>
      <c r="AC499" s="169">
        <f t="shared" si="23"/>
        <v>-2</v>
      </c>
      <c r="AD499" s="170"/>
      <c r="AE499" s="187"/>
      <c r="AF499" s="171" t="s">
        <v>292</v>
      </c>
      <c r="AG499" s="188"/>
      <c r="AH499" s="187"/>
      <c r="AI499" s="88"/>
      <c r="AJ499" s="89" t="s">
        <v>499</v>
      </c>
      <c r="AK499" s="189" t="e">
        <f t="shared" si="21"/>
        <v>#VALUE!</v>
      </c>
      <c r="AL499" s="88"/>
      <c r="AM499" s="83"/>
      <c r="AN499" s="90"/>
      <c r="AO499" s="190"/>
    </row>
    <row r="500" spans="1:41" s="288" customFormat="1" ht="30.75" customHeight="1">
      <c r="A500" s="233">
        <v>510</v>
      </c>
      <c r="B500" s="234">
        <v>44957</v>
      </c>
      <c r="C500" s="235" t="s">
        <v>454</v>
      </c>
      <c r="D500" s="214"/>
      <c r="E500" s="214"/>
      <c r="F500" s="222" t="s">
        <v>1303</v>
      </c>
      <c r="G500" s="171" t="s">
        <v>1304</v>
      </c>
      <c r="H500" s="171" t="s">
        <v>1305</v>
      </c>
      <c r="I500" s="301" t="s">
        <v>1175</v>
      </c>
      <c r="J500" s="171"/>
      <c r="K500" s="171"/>
      <c r="L500" s="171"/>
      <c r="M500" s="171"/>
      <c r="N500" s="224"/>
      <c r="O500" s="323">
        <v>0</v>
      </c>
      <c r="P500" s="151">
        <v>0</v>
      </c>
      <c r="Q500" s="151">
        <v>0</v>
      </c>
      <c r="R500" s="151">
        <v>0</v>
      </c>
      <c r="S500" s="151">
        <v>0</v>
      </c>
      <c r="T500" s="151">
        <v>0</v>
      </c>
      <c r="U500" s="151">
        <v>0</v>
      </c>
      <c r="V500" s="151">
        <v>0</v>
      </c>
      <c r="W500" s="151">
        <v>0</v>
      </c>
      <c r="X500" s="151">
        <v>0</v>
      </c>
      <c r="Y500" s="151">
        <v>0</v>
      </c>
      <c r="Z500" s="200">
        <v>0</v>
      </c>
      <c r="AA500" s="143">
        <f t="shared" si="22"/>
        <v>0</v>
      </c>
      <c r="AB500" s="168">
        <v>2</v>
      </c>
      <c r="AC500" s="169">
        <f t="shared" si="23"/>
        <v>-2</v>
      </c>
      <c r="AD500" s="186"/>
      <c r="AE500" s="187"/>
      <c r="AF500" s="171" t="s">
        <v>292</v>
      </c>
      <c r="AG500" s="188"/>
      <c r="AH500" s="187"/>
      <c r="AI500" s="88"/>
      <c r="AJ500" s="89" t="s">
        <v>499</v>
      </c>
      <c r="AK500" s="189" t="e">
        <f t="shared" si="21"/>
        <v>#VALUE!</v>
      </c>
      <c r="AL500" s="88"/>
      <c r="AM500" s="83"/>
      <c r="AN500" s="90"/>
      <c r="AO500" s="190"/>
    </row>
    <row r="501" spans="1:41" s="288" customFormat="1" ht="30.75" customHeight="1">
      <c r="A501" s="233">
        <v>511</v>
      </c>
      <c r="B501" s="234">
        <v>44957</v>
      </c>
      <c r="C501" s="235" t="s">
        <v>454</v>
      </c>
      <c r="D501" s="214"/>
      <c r="E501" s="267"/>
      <c r="F501" s="222" t="s">
        <v>976</v>
      </c>
      <c r="G501" s="171" t="s">
        <v>1069</v>
      </c>
      <c r="H501" s="171" t="s">
        <v>1158</v>
      </c>
      <c r="I501" s="301" t="s">
        <v>1175</v>
      </c>
      <c r="J501" s="171"/>
      <c r="K501" s="171"/>
      <c r="L501" s="171"/>
      <c r="M501" s="171"/>
      <c r="N501" s="224"/>
      <c r="O501" s="391">
        <v>0</v>
      </c>
      <c r="P501" s="77">
        <v>0</v>
      </c>
      <c r="Q501" s="77">
        <v>0</v>
      </c>
      <c r="R501" s="77">
        <v>0</v>
      </c>
      <c r="S501" s="77">
        <v>0</v>
      </c>
      <c r="T501" s="77">
        <v>0</v>
      </c>
      <c r="U501" s="77">
        <v>0</v>
      </c>
      <c r="V501" s="77">
        <v>0</v>
      </c>
      <c r="W501" s="77">
        <v>0</v>
      </c>
      <c r="X501" s="77">
        <v>0</v>
      </c>
      <c r="Y501" s="77">
        <v>0</v>
      </c>
      <c r="Z501" s="392">
        <v>0</v>
      </c>
      <c r="AA501" s="132">
        <f t="shared" si="22"/>
        <v>0</v>
      </c>
      <c r="AB501" s="160"/>
      <c r="AC501" s="161">
        <f t="shared" si="23"/>
        <v>0</v>
      </c>
      <c r="AD501" s="186"/>
      <c r="AE501" s="187"/>
      <c r="AF501" s="533" t="s">
        <v>1613</v>
      </c>
      <c r="AG501" s="188"/>
      <c r="AH501" s="187"/>
      <c r="AI501" s="88"/>
      <c r="AJ501" s="89"/>
      <c r="AK501" s="189">
        <f t="shared" si="21"/>
        <v>0</v>
      </c>
      <c r="AL501" s="88"/>
      <c r="AM501" s="83"/>
      <c r="AN501" s="90"/>
      <c r="AO501" s="190"/>
    </row>
    <row r="502" spans="1:41" s="288" customFormat="1" ht="30.75" customHeight="1">
      <c r="A502" s="233">
        <v>512</v>
      </c>
      <c r="B502" s="234">
        <v>44957</v>
      </c>
      <c r="C502" s="235" t="s">
        <v>454</v>
      </c>
      <c r="D502" s="214"/>
      <c r="E502" s="214"/>
      <c r="F502" s="222" t="s">
        <v>1306</v>
      </c>
      <c r="G502" s="171" t="s">
        <v>1307</v>
      </c>
      <c r="H502" s="171" t="s">
        <v>1308</v>
      </c>
      <c r="I502" s="301" t="s">
        <v>1175</v>
      </c>
      <c r="J502" s="171"/>
      <c r="K502" s="171"/>
      <c r="L502" s="171"/>
      <c r="M502" s="171"/>
      <c r="N502" s="224"/>
      <c r="O502" s="323">
        <v>0</v>
      </c>
      <c r="P502" s="151">
        <v>0</v>
      </c>
      <c r="Q502" s="151">
        <v>0</v>
      </c>
      <c r="R502" s="151">
        <v>0</v>
      </c>
      <c r="S502" s="151">
        <v>0</v>
      </c>
      <c r="T502" s="151">
        <v>0</v>
      </c>
      <c r="U502" s="151">
        <v>0</v>
      </c>
      <c r="V502" s="151">
        <v>0</v>
      </c>
      <c r="W502" s="151">
        <v>0</v>
      </c>
      <c r="X502" s="151">
        <v>0</v>
      </c>
      <c r="Y502" s="151">
        <v>0</v>
      </c>
      <c r="Z502" s="200">
        <v>0</v>
      </c>
      <c r="AA502" s="143">
        <f t="shared" si="22"/>
        <v>0</v>
      </c>
      <c r="AB502" s="168">
        <v>2</v>
      </c>
      <c r="AC502" s="169">
        <f t="shared" si="23"/>
        <v>-2</v>
      </c>
      <c r="AD502" s="186"/>
      <c r="AE502" s="187"/>
      <c r="AF502" s="171" t="s">
        <v>292</v>
      </c>
      <c r="AG502" s="188"/>
      <c r="AH502" s="187"/>
      <c r="AI502" s="88"/>
      <c r="AJ502" s="89" t="s">
        <v>499</v>
      </c>
      <c r="AK502" s="189" t="e">
        <f t="shared" si="21"/>
        <v>#VALUE!</v>
      </c>
      <c r="AL502" s="88"/>
      <c r="AM502" s="83"/>
      <c r="AN502" s="90"/>
      <c r="AO502" s="190"/>
    </row>
    <row r="503" spans="1:41" s="288" customFormat="1" ht="30.75" customHeight="1">
      <c r="A503" s="233">
        <v>513</v>
      </c>
      <c r="B503" s="234">
        <v>44957</v>
      </c>
      <c r="C503" s="307" t="s">
        <v>454</v>
      </c>
      <c r="D503" s="217"/>
      <c r="E503" s="217"/>
      <c r="F503" s="222" t="s">
        <v>1309</v>
      </c>
      <c r="G503" s="171" t="s">
        <v>1310</v>
      </c>
      <c r="H503" s="171" t="s">
        <v>1311</v>
      </c>
      <c r="I503" s="301" t="s">
        <v>1175</v>
      </c>
      <c r="J503" s="84"/>
      <c r="K503" s="84"/>
      <c r="L503" s="84"/>
      <c r="M503" s="84"/>
      <c r="N503" s="216"/>
      <c r="O503" s="323">
        <v>0</v>
      </c>
      <c r="P503" s="151">
        <v>0</v>
      </c>
      <c r="Q503" s="151">
        <v>0</v>
      </c>
      <c r="R503" s="151">
        <v>0</v>
      </c>
      <c r="S503" s="151">
        <v>0</v>
      </c>
      <c r="T503" s="151">
        <v>0</v>
      </c>
      <c r="U503" s="151">
        <v>0</v>
      </c>
      <c r="V503" s="151">
        <v>0</v>
      </c>
      <c r="W503" s="151">
        <v>0</v>
      </c>
      <c r="X503" s="151">
        <v>0</v>
      </c>
      <c r="Y503" s="151">
        <v>0</v>
      </c>
      <c r="Z503" s="200">
        <v>0</v>
      </c>
      <c r="AA503" s="143">
        <f t="shared" si="22"/>
        <v>0</v>
      </c>
      <c r="AB503" s="123">
        <v>2</v>
      </c>
      <c r="AC503" s="154">
        <f t="shared" si="23"/>
        <v>-2</v>
      </c>
      <c r="AD503" s="176"/>
      <c r="AE503" s="177"/>
      <c r="AF503" s="84" t="s">
        <v>292</v>
      </c>
      <c r="AG503" s="178"/>
      <c r="AH503" s="177"/>
      <c r="AI503" s="85"/>
      <c r="AJ503" s="86" t="s">
        <v>499</v>
      </c>
      <c r="AK503" s="189" t="e">
        <f t="shared" si="21"/>
        <v>#VALUE!</v>
      </c>
      <c r="AL503" s="85"/>
      <c r="AM503" s="77"/>
      <c r="AN503" s="87"/>
      <c r="AO503" s="180"/>
    </row>
    <row r="504" spans="1:41" s="288" customFormat="1" ht="30.75" customHeight="1">
      <c r="A504" s="233">
        <v>514</v>
      </c>
      <c r="B504" s="234">
        <v>44957</v>
      </c>
      <c r="C504" s="307" t="s">
        <v>454</v>
      </c>
      <c r="D504" s="217"/>
      <c r="E504" s="377"/>
      <c r="F504" s="222" t="s">
        <v>973</v>
      </c>
      <c r="G504" s="171" t="s">
        <v>1066</v>
      </c>
      <c r="H504" s="171" t="s">
        <v>1155</v>
      </c>
      <c r="I504" s="301" t="s">
        <v>1175</v>
      </c>
      <c r="J504" s="84"/>
      <c r="K504" s="84"/>
      <c r="L504" s="84"/>
      <c r="M504" s="84"/>
      <c r="N504" s="216"/>
      <c r="O504" s="391">
        <v>0</v>
      </c>
      <c r="P504" s="77">
        <v>0</v>
      </c>
      <c r="Q504" s="77">
        <v>0</v>
      </c>
      <c r="R504" s="77">
        <v>0</v>
      </c>
      <c r="S504" s="77">
        <v>0</v>
      </c>
      <c r="T504" s="77">
        <v>0</v>
      </c>
      <c r="U504" s="77">
        <v>0</v>
      </c>
      <c r="V504" s="77">
        <v>0</v>
      </c>
      <c r="W504" s="77">
        <v>0</v>
      </c>
      <c r="X504" s="77">
        <v>0</v>
      </c>
      <c r="Y504" s="77">
        <v>0</v>
      </c>
      <c r="Z504" s="392">
        <v>0</v>
      </c>
      <c r="AA504" s="132">
        <f t="shared" si="22"/>
        <v>0</v>
      </c>
      <c r="AB504" s="175"/>
      <c r="AC504" s="172">
        <f t="shared" si="23"/>
        <v>0</v>
      </c>
      <c r="AD504" s="176"/>
      <c r="AE504" s="177"/>
      <c r="AF504" s="379" t="s">
        <v>1613</v>
      </c>
      <c r="AG504" s="178"/>
      <c r="AH504" s="177"/>
      <c r="AI504" s="85"/>
      <c r="AJ504" s="86"/>
      <c r="AK504" s="189">
        <f t="shared" si="21"/>
        <v>0</v>
      </c>
      <c r="AL504" s="85"/>
      <c r="AM504" s="77"/>
      <c r="AN504" s="87"/>
      <c r="AO504" s="180"/>
    </row>
    <row r="505" spans="1:41" s="288" customFormat="1" ht="30.75" customHeight="1">
      <c r="A505" s="233">
        <v>515</v>
      </c>
      <c r="B505" s="234">
        <v>44957</v>
      </c>
      <c r="C505" s="307" t="s">
        <v>454</v>
      </c>
      <c r="D505" s="217"/>
      <c r="E505" s="217"/>
      <c r="F505" s="222" t="s">
        <v>1312</v>
      </c>
      <c r="G505" s="222" t="s">
        <v>1313</v>
      </c>
      <c r="H505" s="222" t="s">
        <v>1313</v>
      </c>
      <c r="I505" s="301" t="s">
        <v>188</v>
      </c>
      <c r="J505" s="84"/>
      <c r="K505" s="84"/>
      <c r="L505" s="84"/>
      <c r="M505" s="84"/>
      <c r="N505" s="216"/>
      <c r="O505" s="323">
        <v>0</v>
      </c>
      <c r="P505" s="151">
        <v>0</v>
      </c>
      <c r="Q505" s="151">
        <v>0</v>
      </c>
      <c r="R505" s="151">
        <v>0</v>
      </c>
      <c r="S505" s="151">
        <v>0</v>
      </c>
      <c r="T505" s="151">
        <v>0</v>
      </c>
      <c r="U505" s="151">
        <v>0</v>
      </c>
      <c r="V505" s="151">
        <v>0</v>
      </c>
      <c r="W505" s="151">
        <v>0</v>
      </c>
      <c r="X505" s="151">
        <v>0</v>
      </c>
      <c r="Y505" s="151">
        <v>0</v>
      </c>
      <c r="Z505" s="200">
        <v>0</v>
      </c>
      <c r="AA505" s="143">
        <f t="shared" si="22"/>
        <v>0</v>
      </c>
      <c r="AB505" s="175"/>
      <c r="AC505" s="172">
        <f t="shared" si="23"/>
        <v>0</v>
      </c>
      <c r="AD505" s="176">
        <v>44960</v>
      </c>
      <c r="AE505" s="177" t="s">
        <v>282</v>
      </c>
      <c r="AF505" s="201" t="s">
        <v>1323</v>
      </c>
      <c r="AG505" s="178"/>
      <c r="AH505" s="177"/>
      <c r="AI505" s="85"/>
      <c r="AJ505" s="86">
        <v>2</v>
      </c>
      <c r="AK505" s="189">
        <f t="shared" si="21"/>
        <v>-2</v>
      </c>
      <c r="AL505" s="85" t="s">
        <v>1544</v>
      </c>
      <c r="AM505" s="77"/>
      <c r="AN505" s="87"/>
      <c r="AO505" s="180"/>
    </row>
    <row r="506" spans="1:41" s="288" customFormat="1" ht="30.75" customHeight="1">
      <c r="A506" s="233">
        <v>516</v>
      </c>
      <c r="B506" s="234">
        <v>44957</v>
      </c>
      <c r="C506" s="307" t="s">
        <v>454</v>
      </c>
      <c r="D506" s="217"/>
      <c r="E506" s="217"/>
      <c r="F506" s="222" t="s">
        <v>1018</v>
      </c>
      <c r="G506" s="222" t="s">
        <v>1115</v>
      </c>
      <c r="H506" s="222" t="s">
        <v>1115</v>
      </c>
      <c r="I506" s="301" t="s">
        <v>188</v>
      </c>
      <c r="J506" s="84"/>
      <c r="K506" s="84"/>
      <c r="L506" s="84"/>
      <c r="M506" s="84"/>
      <c r="N506" s="216"/>
      <c r="O506" s="323">
        <v>0</v>
      </c>
      <c r="P506" s="151">
        <v>0</v>
      </c>
      <c r="Q506" s="151">
        <v>0</v>
      </c>
      <c r="R506" s="151">
        <v>0</v>
      </c>
      <c r="S506" s="151">
        <v>0</v>
      </c>
      <c r="T506" s="151">
        <v>0</v>
      </c>
      <c r="U506" s="151">
        <v>0</v>
      </c>
      <c r="V506" s="151">
        <v>0</v>
      </c>
      <c r="W506" s="151">
        <v>0</v>
      </c>
      <c r="X506" s="151">
        <v>0</v>
      </c>
      <c r="Y506" s="151">
        <v>0</v>
      </c>
      <c r="Z506" s="200">
        <v>0</v>
      </c>
      <c r="AA506" s="143">
        <f t="shared" si="22"/>
        <v>0</v>
      </c>
      <c r="AB506" s="175"/>
      <c r="AC506" s="172">
        <f t="shared" si="23"/>
        <v>0</v>
      </c>
      <c r="AD506" s="176">
        <v>44960</v>
      </c>
      <c r="AE506" s="177" t="s">
        <v>282</v>
      </c>
      <c r="AF506" s="549" t="s">
        <v>1323</v>
      </c>
      <c r="AG506" s="178"/>
      <c r="AH506" s="177"/>
      <c r="AI506" s="85"/>
      <c r="AJ506" s="86">
        <v>2</v>
      </c>
      <c r="AK506" s="179">
        <f t="shared" si="21"/>
        <v>-2</v>
      </c>
      <c r="AL506" s="85" t="s">
        <v>1548</v>
      </c>
      <c r="AM506" s="77"/>
      <c r="AN506" s="87"/>
      <c r="AO506" s="180"/>
    </row>
    <row r="507" spans="1:41" s="288" customFormat="1" ht="30.75" customHeight="1">
      <c r="A507" s="233">
        <v>517</v>
      </c>
      <c r="B507" s="234">
        <v>44957</v>
      </c>
      <c r="C507" s="307" t="s">
        <v>454</v>
      </c>
      <c r="D507" s="217"/>
      <c r="E507" s="217"/>
      <c r="F507" s="222" t="s">
        <v>1019</v>
      </c>
      <c r="G507" s="222" t="s">
        <v>1116</v>
      </c>
      <c r="H507" s="222" t="s">
        <v>1116</v>
      </c>
      <c r="I507" s="301" t="s">
        <v>188</v>
      </c>
      <c r="J507" s="84"/>
      <c r="K507" s="84"/>
      <c r="L507" s="84"/>
      <c r="M507" s="84"/>
      <c r="N507" s="216"/>
      <c r="O507" s="323">
        <v>0</v>
      </c>
      <c r="P507" s="151">
        <v>0</v>
      </c>
      <c r="Q507" s="151">
        <v>0</v>
      </c>
      <c r="R507" s="151">
        <v>0</v>
      </c>
      <c r="S507" s="151">
        <v>0</v>
      </c>
      <c r="T507" s="151">
        <v>0</v>
      </c>
      <c r="U507" s="151">
        <v>0</v>
      </c>
      <c r="V507" s="151">
        <v>0</v>
      </c>
      <c r="W507" s="151">
        <v>0</v>
      </c>
      <c r="X507" s="151">
        <v>0</v>
      </c>
      <c r="Y507" s="151">
        <v>0</v>
      </c>
      <c r="Z507" s="200">
        <v>0</v>
      </c>
      <c r="AA507" s="143">
        <f t="shared" si="22"/>
        <v>0</v>
      </c>
      <c r="AB507" s="123">
        <v>2</v>
      </c>
      <c r="AC507" s="154">
        <f t="shared" si="23"/>
        <v>-2</v>
      </c>
      <c r="AD507" s="176"/>
      <c r="AE507" s="177" t="s">
        <v>282</v>
      </c>
      <c r="AF507" s="552" t="s">
        <v>292</v>
      </c>
      <c r="AG507" s="178"/>
      <c r="AH507" s="177"/>
      <c r="AI507" s="85"/>
      <c r="AJ507" s="86" t="s">
        <v>295</v>
      </c>
      <c r="AK507" s="179" t="e">
        <f t="shared" si="21"/>
        <v>#VALUE!</v>
      </c>
      <c r="AL507" s="85" t="s">
        <v>1316</v>
      </c>
      <c r="AM507" s="77"/>
      <c r="AN507" s="87"/>
      <c r="AO507" s="180"/>
    </row>
    <row r="508" spans="1:41" s="288" customFormat="1" ht="30.75" customHeight="1">
      <c r="A508" s="233">
        <v>518</v>
      </c>
      <c r="B508" s="234">
        <v>44964</v>
      </c>
      <c r="C508" s="307" t="s">
        <v>254</v>
      </c>
      <c r="D508" s="217" t="s">
        <v>1329</v>
      </c>
      <c r="E508" s="217" t="s">
        <v>328</v>
      </c>
      <c r="F508" s="222" t="s">
        <v>1330</v>
      </c>
      <c r="G508" s="214" t="s">
        <v>1329</v>
      </c>
      <c r="H508" s="309" t="s">
        <v>1329</v>
      </c>
      <c r="I508" s="301" t="s">
        <v>309</v>
      </c>
      <c r="J508" s="84" t="s">
        <v>251</v>
      </c>
      <c r="K508" s="84" t="s">
        <v>252</v>
      </c>
      <c r="L508" s="84" t="s">
        <v>252</v>
      </c>
      <c r="M508" s="84" t="s">
        <v>1331</v>
      </c>
      <c r="N508" s="216" t="s">
        <v>252</v>
      </c>
      <c r="O508" s="323">
        <v>0</v>
      </c>
      <c r="P508" s="151">
        <v>0</v>
      </c>
      <c r="Q508" s="151">
        <v>0</v>
      </c>
      <c r="R508" s="151">
        <v>0</v>
      </c>
      <c r="S508" s="151">
        <v>0</v>
      </c>
      <c r="T508" s="151">
        <v>0</v>
      </c>
      <c r="U508" s="151">
        <v>1</v>
      </c>
      <c r="V508" s="151">
        <v>0</v>
      </c>
      <c r="W508" s="151">
        <v>0</v>
      </c>
      <c r="X508" s="151">
        <v>0</v>
      </c>
      <c r="Y508" s="151">
        <v>0</v>
      </c>
      <c r="Z508" s="200">
        <v>0</v>
      </c>
      <c r="AA508" s="143">
        <f t="shared" si="22"/>
        <v>1</v>
      </c>
      <c r="AB508" s="123"/>
      <c r="AC508" s="154">
        <f t="shared" si="23"/>
        <v>1</v>
      </c>
      <c r="AD508" s="176">
        <v>44965</v>
      </c>
      <c r="AE508" s="177" t="s">
        <v>529</v>
      </c>
      <c r="AF508" s="284" t="s">
        <v>1335</v>
      </c>
      <c r="AG508" s="178"/>
      <c r="AH508" s="177" t="s">
        <v>1276</v>
      </c>
      <c r="AI508" s="85"/>
      <c r="AJ508" s="86">
        <v>1</v>
      </c>
      <c r="AK508" s="179">
        <f t="shared" si="21"/>
        <v>0</v>
      </c>
      <c r="AL508" s="85" t="s">
        <v>1424</v>
      </c>
      <c r="AM508" s="77"/>
      <c r="AN508" s="87"/>
      <c r="AO508" s="180"/>
    </row>
    <row r="509" spans="1:41" s="288" customFormat="1" ht="30.75" customHeight="1">
      <c r="A509" s="233">
        <v>519</v>
      </c>
      <c r="B509" s="234">
        <v>44964</v>
      </c>
      <c r="C509" s="235" t="s">
        <v>254</v>
      </c>
      <c r="D509" s="214" t="s">
        <v>1332</v>
      </c>
      <c r="E509" s="214" t="s">
        <v>322</v>
      </c>
      <c r="F509" s="222" t="s">
        <v>1333</v>
      </c>
      <c r="G509" s="214" t="s">
        <v>1332</v>
      </c>
      <c r="H509" s="214" t="s">
        <v>1332</v>
      </c>
      <c r="I509" s="301" t="s">
        <v>1334</v>
      </c>
      <c r="J509" s="171" t="s">
        <v>251</v>
      </c>
      <c r="K509" s="171" t="s">
        <v>252</v>
      </c>
      <c r="L509" s="171" t="s">
        <v>252</v>
      </c>
      <c r="M509" s="171" t="s">
        <v>1331</v>
      </c>
      <c r="N509" s="224" t="s">
        <v>252</v>
      </c>
      <c r="O509" s="323">
        <v>0</v>
      </c>
      <c r="P509" s="151">
        <v>0</v>
      </c>
      <c r="Q509" s="151">
        <v>0</v>
      </c>
      <c r="R509" s="151">
        <v>0</v>
      </c>
      <c r="S509" s="151">
        <v>0</v>
      </c>
      <c r="T509" s="151">
        <v>0</v>
      </c>
      <c r="U509" s="151">
        <v>1</v>
      </c>
      <c r="V509" s="151">
        <v>0</v>
      </c>
      <c r="W509" s="151">
        <v>0</v>
      </c>
      <c r="X509" s="151">
        <v>0</v>
      </c>
      <c r="Y509" s="151">
        <v>0</v>
      </c>
      <c r="Z509" s="200">
        <v>0</v>
      </c>
      <c r="AA509" s="143">
        <f t="shared" si="22"/>
        <v>1</v>
      </c>
      <c r="AB509" s="160"/>
      <c r="AC509" s="161">
        <f t="shared" si="23"/>
        <v>1</v>
      </c>
      <c r="AD509" s="186"/>
      <c r="AE509" s="187" t="s">
        <v>282</v>
      </c>
      <c r="AF509" s="552" t="s">
        <v>292</v>
      </c>
      <c r="AG509" s="188"/>
      <c r="AH509" s="187"/>
      <c r="AI509" s="88"/>
      <c r="AJ509" s="89" t="s">
        <v>499</v>
      </c>
      <c r="AK509" s="189" t="e">
        <f t="shared" ref="AK509:AK536" si="24">AC509-AJ509</f>
        <v>#VALUE!</v>
      </c>
      <c r="AL509" s="88"/>
      <c r="AM509" s="83"/>
      <c r="AN509" s="90"/>
      <c r="AO509" s="190"/>
    </row>
    <row r="510" spans="1:41" s="288" customFormat="1" ht="30.75" customHeight="1">
      <c r="A510" s="233">
        <v>520</v>
      </c>
      <c r="B510" s="465">
        <v>44971</v>
      </c>
      <c r="C510" s="466" t="s">
        <v>254</v>
      </c>
      <c r="D510" s="214" t="s">
        <v>343</v>
      </c>
      <c r="E510" s="214" t="s">
        <v>322</v>
      </c>
      <c r="F510" s="222" t="s">
        <v>519</v>
      </c>
      <c r="G510" s="214" t="s">
        <v>343</v>
      </c>
      <c r="H510" s="214" t="s">
        <v>343</v>
      </c>
      <c r="I510" s="301" t="s">
        <v>227</v>
      </c>
      <c r="J510" s="171" t="s">
        <v>251</v>
      </c>
      <c r="K510" s="171" t="s">
        <v>252</v>
      </c>
      <c r="L510" s="171" t="s">
        <v>252</v>
      </c>
      <c r="M510" s="171" t="s">
        <v>1414</v>
      </c>
      <c r="N510" s="224" t="s">
        <v>252</v>
      </c>
      <c r="O510" s="391">
        <v>0</v>
      </c>
      <c r="P510" s="77">
        <v>0</v>
      </c>
      <c r="Q510" s="77">
        <v>0</v>
      </c>
      <c r="R510" s="77">
        <v>6</v>
      </c>
      <c r="S510" s="77">
        <v>0</v>
      </c>
      <c r="T510" s="77">
        <v>0</v>
      </c>
      <c r="U510" s="77">
        <v>0</v>
      </c>
      <c r="V510" s="77">
        <v>0</v>
      </c>
      <c r="W510" s="77">
        <v>0</v>
      </c>
      <c r="X510" s="77">
        <v>0</v>
      </c>
      <c r="Y510" s="77">
        <v>0</v>
      </c>
      <c r="Z510" s="392">
        <v>0</v>
      </c>
      <c r="AA510" s="132">
        <f t="shared" si="22"/>
        <v>6</v>
      </c>
      <c r="AB510" s="540"/>
      <c r="AC510" s="545">
        <f t="shared" si="23"/>
        <v>6</v>
      </c>
      <c r="AD510" s="186"/>
      <c r="AE510" s="187" t="s">
        <v>529</v>
      </c>
      <c r="AF510" s="171" t="s">
        <v>1503</v>
      </c>
      <c r="AG510" s="188"/>
      <c r="AH510" s="187"/>
      <c r="AI510" s="88" t="s">
        <v>1438</v>
      </c>
      <c r="AJ510" s="478">
        <v>6</v>
      </c>
      <c r="AK510" s="189">
        <f t="shared" si="24"/>
        <v>0</v>
      </c>
      <c r="AL510" s="88" t="s">
        <v>1489</v>
      </c>
      <c r="AM510" s="374"/>
      <c r="AN510" s="375"/>
      <c r="AO510" s="190"/>
    </row>
    <row r="511" spans="1:41" s="376" customFormat="1" ht="28.15" customHeight="1">
      <c r="A511" s="233">
        <v>521</v>
      </c>
      <c r="B511" s="499">
        <v>44971</v>
      </c>
      <c r="C511" s="372" t="s">
        <v>254</v>
      </c>
      <c r="D511" s="217" t="s">
        <v>1406</v>
      </c>
      <c r="E511" s="217">
        <v>0</v>
      </c>
      <c r="F511" s="167" t="s">
        <v>1407</v>
      </c>
      <c r="G511" s="217" t="s">
        <v>1406</v>
      </c>
      <c r="H511" s="217" t="s">
        <v>1406</v>
      </c>
      <c r="I511" s="301" t="s">
        <v>1408</v>
      </c>
      <c r="J511" s="84" t="s">
        <v>251</v>
      </c>
      <c r="K511" s="84" t="s">
        <v>252</v>
      </c>
      <c r="L511" s="84" t="s">
        <v>252</v>
      </c>
      <c r="M511" s="84" t="s">
        <v>1414</v>
      </c>
      <c r="N511" s="216" t="s">
        <v>252</v>
      </c>
      <c r="O511" s="391">
        <v>0</v>
      </c>
      <c r="P511" s="77">
        <v>0</v>
      </c>
      <c r="Q511" s="77">
        <v>0</v>
      </c>
      <c r="R511" s="77">
        <v>1</v>
      </c>
      <c r="S511" s="77">
        <v>0</v>
      </c>
      <c r="T511" s="77">
        <v>0</v>
      </c>
      <c r="U511" s="77">
        <v>0</v>
      </c>
      <c r="V511" s="77">
        <v>0</v>
      </c>
      <c r="W511" s="77">
        <v>0</v>
      </c>
      <c r="X511" s="77">
        <v>0</v>
      </c>
      <c r="Y511" s="77">
        <v>0</v>
      </c>
      <c r="Z511" s="392">
        <v>0</v>
      </c>
      <c r="AA511" s="132">
        <f t="shared" si="22"/>
        <v>1</v>
      </c>
      <c r="AB511" s="395"/>
      <c r="AC511" s="396">
        <f t="shared" si="23"/>
        <v>1</v>
      </c>
      <c r="AD511" s="176"/>
      <c r="AE511" s="177" t="s">
        <v>239</v>
      </c>
      <c r="AF511" s="84" t="s">
        <v>1437</v>
      </c>
      <c r="AG511" s="178"/>
      <c r="AH511" s="177"/>
      <c r="AI511" s="373"/>
      <c r="AJ511" s="398">
        <v>1</v>
      </c>
      <c r="AK511" s="179">
        <f t="shared" si="24"/>
        <v>0</v>
      </c>
      <c r="AL511" s="85" t="s">
        <v>1464</v>
      </c>
      <c r="AM511" s="399"/>
      <c r="AN511" s="400"/>
      <c r="AO511" s="180"/>
    </row>
    <row r="512" spans="1:41" s="376" customFormat="1" ht="28.15" customHeight="1">
      <c r="A512" s="233">
        <v>522</v>
      </c>
      <c r="B512" s="499">
        <v>44971</v>
      </c>
      <c r="C512" s="372" t="s">
        <v>254</v>
      </c>
      <c r="D512" s="217" t="s">
        <v>1409</v>
      </c>
      <c r="E512" s="217">
        <v>0</v>
      </c>
      <c r="F512" s="167" t="s">
        <v>1410</v>
      </c>
      <c r="G512" s="217" t="s">
        <v>1409</v>
      </c>
      <c r="H512" s="308">
        <v>270.77199999999999</v>
      </c>
      <c r="I512" s="301" t="s">
        <v>1412</v>
      </c>
      <c r="J512" s="84" t="s">
        <v>251</v>
      </c>
      <c r="K512" s="84" t="s">
        <v>252</v>
      </c>
      <c r="L512" s="84" t="s">
        <v>252</v>
      </c>
      <c r="M512" s="84" t="s">
        <v>1414</v>
      </c>
      <c r="N512" s="216" t="s">
        <v>71</v>
      </c>
      <c r="O512" s="391">
        <v>0</v>
      </c>
      <c r="P512" s="77">
        <v>0</v>
      </c>
      <c r="Q512" s="77">
        <v>0</v>
      </c>
      <c r="R512" s="77">
        <v>6</v>
      </c>
      <c r="S512" s="77">
        <v>0</v>
      </c>
      <c r="T512" s="77">
        <v>0</v>
      </c>
      <c r="U512" s="77">
        <v>0</v>
      </c>
      <c r="V512" s="77">
        <v>0</v>
      </c>
      <c r="W512" s="77">
        <v>0</v>
      </c>
      <c r="X512" s="77">
        <v>0</v>
      </c>
      <c r="Y512" s="77">
        <v>0</v>
      </c>
      <c r="Z512" s="392">
        <v>0</v>
      </c>
      <c r="AA512" s="132">
        <f t="shared" si="22"/>
        <v>6</v>
      </c>
      <c r="AB512" s="395">
        <v>-4</v>
      </c>
      <c r="AC512" s="396">
        <f t="shared" si="23"/>
        <v>10</v>
      </c>
      <c r="AD512" s="176">
        <v>44976</v>
      </c>
      <c r="AE512" s="177" t="s">
        <v>239</v>
      </c>
      <c r="AF512" s="284" t="s">
        <v>1436</v>
      </c>
      <c r="AG512" s="178"/>
      <c r="AH512" s="177"/>
      <c r="AI512" s="397"/>
      <c r="AJ512" s="398">
        <v>10</v>
      </c>
      <c r="AK512" s="179">
        <f t="shared" si="24"/>
        <v>0</v>
      </c>
      <c r="AL512" s="85" t="s">
        <v>1474</v>
      </c>
      <c r="AM512" s="399"/>
      <c r="AN512" s="400"/>
      <c r="AO512" s="180"/>
    </row>
    <row r="513" spans="1:41" s="376" customFormat="1" ht="28.15" customHeight="1">
      <c r="A513" s="233">
        <v>523</v>
      </c>
      <c r="B513" s="499">
        <v>44971</v>
      </c>
      <c r="C513" s="372" t="s">
        <v>254</v>
      </c>
      <c r="D513" s="217" t="s">
        <v>1411</v>
      </c>
      <c r="E513" s="217">
        <v>0</v>
      </c>
      <c r="F513" s="167" t="s">
        <v>790</v>
      </c>
      <c r="G513" s="217" t="s">
        <v>1411</v>
      </c>
      <c r="H513" s="308" t="s">
        <v>1411</v>
      </c>
      <c r="I513" s="301" t="s">
        <v>1412</v>
      </c>
      <c r="J513" s="84" t="s">
        <v>251</v>
      </c>
      <c r="K513" s="84" t="s">
        <v>252</v>
      </c>
      <c r="L513" s="84" t="s">
        <v>252</v>
      </c>
      <c r="M513" s="84" t="s">
        <v>1414</v>
      </c>
      <c r="N513" s="216" t="s">
        <v>71</v>
      </c>
      <c r="O513" s="391">
        <v>0</v>
      </c>
      <c r="P513" s="77">
        <v>0</v>
      </c>
      <c r="Q513" s="77">
        <v>0</v>
      </c>
      <c r="R513" s="77">
        <v>6</v>
      </c>
      <c r="S513" s="77">
        <v>0</v>
      </c>
      <c r="T513" s="77">
        <v>0</v>
      </c>
      <c r="U513" s="77">
        <v>0</v>
      </c>
      <c r="V513" s="77">
        <v>0</v>
      </c>
      <c r="W513" s="77">
        <v>0</v>
      </c>
      <c r="X513" s="77">
        <v>0</v>
      </c>
      <c r="Y513" s="77">
        <v>0</v>
      </c>
      <c r="Z513" s="392">
        <v>0</v>
      </c>
      <c r="AA513" s="132">
        <f t="shared" si="22"/>
        <v>6</v>
      </c>
      <c r="AB513" s="395">
        <v>-4</v>
      </c>
      <c r="AC513" s="396">
        <f t="shared" si="23"/>
        <v>10</v>
      </c>
      <c r="AD513" s="186">
        <v>44976</v>
      </c>
      <c r="AE513" s="187" t="s">
        <v>239</v>
      </c>
      <c r="AF513" s="253" t="s">
        <v>1436</v>
      </c>
      <c r="AG513" s="178"/>
      <c r="AH513" s="177"/>
      <c r="AI513" s="397"/>
      <c r="AJ513" s="398">
        <v>10</v>
      </c>
      <c r="AK513" s="179">
        <f t="shared" si="24"/>
        <v>0</v>
      </c>
      <c r="AL513" s="85" t="s">
        <v>1474</v>
      </c>
      <c r="AM513" s="399"/>
      <c r="AN513" s="400"/>
      <c r="AO513" s="180"/>
    </row>
    <row r="514" spans="1:41" s="376" customFormat="1" ht="28.15" customHeight="1">
      <c r="A514" s="233">
        <v>524</v>
      </c>
      <c r="B514" s="499">
        <v>44971</v>
      </c>
      <c r="C514" s="372" t="s">
        <v>254</v>
      </c>
      <c r="D514" s="217" t="s">
        <v>327</v>
      </c>
      <c r="E514" s="377" t="s">
        <v>328</v>
      </c>
      <c r="F514" s="167" t="s">
        <v>763</v>
      </c>
      <c r="G514" s="217" t="s">
        <v>327</v>
      </c>
      <c r="H514" s="308">
        <v>530029</v>
      </c>
      <c r="I514" s="301" t="s">
        <v>329</v>
      </c>
      <c r="J514" s="84" t="s">
        <v>251</v>
      </c>
      <c r="K514" s="84" t="s">
        <v>252</v>
      </c>
      <c r="L514" s="84" t="s">
        <v>252</v>
      </c>
      <c r="M514" s="84" t="s">
        <v>1414</v>
      </c>
      <c r="N514" s="216" t="s">
        <v>71</v>
      </c>
      <c r="O514" s="391">
        <v>0</v>
      </c>
      <c r="P514" s="77">
        <v>0</v>
      </c>
      <c r="Q514" s="77">
        <v>0</v>
      </c>
      <c r="R514" s="77">
        <v>2</v>
      </c>
      <c r="S514" s="77">
        <v>0</v>
      </c>
      <c r="T514" s="77">
        <v>0</v>
      </c>
      <c r="U514" s="77">
        <v>0</v>
      </c>
      <c r="V514" s="77">
        <v>0</v>
      </c>
      <c r="W514" s="77">
        <v>0</v>
      </c>
      <c r="X514" s="77">
        <v>0</v>
      </c>
      <c r="Y514" s="77">
        <v>0</v>
      </c>
      <c r="Z514" s="392">
        <v>0</v>
      </c>
      <c r="AA514" s="132">
        <f t="shared" si="22"/>
        <v>2</v>
      </c>
      <c r="AB514" s="395"/>
      <c r="AC514" s="396">
        <f t="shared" si="23"/>
        <v>2</v>
      </c>
      <c r="AD514" s="186">
        <v>44965</v>
      </c>
      <c r="AE514" s="187" t="s">
        <v>282</v>
      </c>
      <c r="AF514" s="130" t="s">
        <v>1337</v>
      </c>
      <c r="AG514" s="178"/>
      <c r="AH514" s="177" t="s">
        <v>1499</v>
      </c>
      <c r="AI514" s="85"/>
      <c r="AJ514" s="398">
        <v>2</v>
      </c>
      <c r="AK514" s="179">
        <f t="shared" si="24"/>
        <v>0</v>
      </c>
      <c r="AL514" s="85" t="s">
        <v>1579</v>
      </c>
      <c r="AM514" s="399"/>
      <c r="AN514" s="400"/>
      <c r="AO514" s="180"/>
    </row>
    <row r="515" spans="1:41" s="401" customFormat="1" ht="28.15" customHeight="1">
      <c r="A515" s="233">
        <v>525</v>
      </c>
      <c r="B515" s="499">
        <v>44971</v>
      </c>
      <c r="C515" s="372" t="s">
        <v>254</v>
      </c>
      <c r="D515" s="217" t="s">
        <v>378</v>
      </c>
      <c r="E515" s="217" t="s">
        <v>328</v>
      </c>
      <c r="F515" s="167" t="s">
        <v>564</v>
      </c>
      <c r="G515" s="217" t="s">
        <v>378</v>
      </c>
      <c r="H515" s="308">
        <v>197577</v>
      </c>
      <c r="I515" s="301" t="s">
        <v>329</v>
      </c>
      <c r="J515" s="84" t="s">
        <v>251</v>
      </c>
      <c r="K515" s="84" t="s">
        <v>252</v>
      </c>
      <c r="L515" s="84" t="s">
        <v>252</v>
      </c>
      <c r="M515" s="84" t="s">
        <v>1414</v>
      </c>
      <c r="N515" s="216" t="s">
        <v>252</v>
      </c>
      <c r="O515" s="323">
        <v>0</v>
      </c>
      <c r="P515" s="151">
        <v>0</v>
      </c>
      <c r="Q515" s="151">
        <v>0</v>
      </c>
      <c r="R515" s="151">
        <v>4</v>
      </c>
      <c r="S515" s="151">
        <v>0</v>
      </c>
      <c r="T515" s="151">
        <v>0</v>
      </c>
      <c r="U515" s="151">
        <v>0</v>
      </c>
      <c r="V515" s="151">
        <v>0</v>
      </c>
      <c r="W515" s="151">
        <v>0</v>
      </c>
      <c r="X515" s="151">
        <v>0</v>
      </c>
      <c r="Y515" s="151">
        <v>0</v>
      </c>
      <c r="Z515" s="200">
        <v>0</v>
      </c>
      <c r="AA515" s="132">
        <f t="shared" si="22"/>
        <v>4</v>
      </c>
      <c r="AB515" s="395">
        <v>4</v>
      </c>
      <c r="AC515" s="396">
        <f t="shared" si="23"/>
        <v>0</v>
      </c>
      <c r="AD515" s="176"/>
      <c r="AE515" s="177" t="s">
        <v>529</v>
      </c>
      <c r="AF515" s="171" t="s">
        <v>44</v>
      </c>
      <c r="AG515" s="178"/>
      <c r="AH515" s="177"/>
      <c r="AI515" s="373"/>
      <c r="AJ515" s="86" t="s">
        <v>499</v>
      </c>
      <c r="AK515" s="179" t="e">
        <f t="shared" si="24"/>
        <v>#VALUE!</v>
      </c>
      <c r="AL515" s="85" t="s">
        <v>1424</v>
      </c>
      <c r="AM515" s="399"/>
      <c r="AN515" s="400"/>
      <c r="AO515" s="180"/>
    </row>
    <row r="516" spans="1:41" s="376" customFormat="1" ht="28.15" customHeight="1">
      <c r="A516" s="233">
        <v>526</v>
      </c>
      <c r="B516" s="499">
        <v>44971</v>
      </c>
      <c r="C516" s="372" t="s">
        <v>254</v>
      </c>
      <c r="D516" s="214" t="s">
        <v>1413</v>
      </c>
      <c r="E516" s="214" t="s">
        <v>328</v>
      </c>
      <c r="F516" s="222" t="s">
        <v>516</v>
      </c>
      <c r="G516" s="214" t="s">
        <v>1413</v>
      </c>
      <c r="H516" s="214" t="s">
        <v>1413</v>
      </c>
      <c r="I516" s="301" t="s">
        <v>517</v>
      </c>
      <c r="J516" s="171" t="s">
        <v>251</v>
      </c>
      <c r="K516" s="171" t="s">
        <v>252</v>
      </c>
      <c r="L516" s="171" t="s">
        <v>252</v>
      </c>
      <c r="M516" s="84" t="s">
        <v>1414</v>
      </c>
      <c r="N516" s="216" t="s">
        <v>252</v>
      </c>
      <c r="O516" s="323">
        <v>0</v>
      </c>
      <c r="P516" s="151">
        <v>0</v>
      </c>
      <c r="Q516" s="151">
        <v>0</v>
      </c>
      <c r="R516" s="151">
        <v>4</v>
      </c>
      <c r="S516" s="151">
        <v>0</v>
      </c>
      <c r="T516" s="151">
        <v>0</v>
      </c>
      <c r="U516" s="151">
        <v>0</v>
      </c>
      <c r="V516" s="151">
        <v>0</v>
      </c>
      <c r="W516" s="151">
        <v>0</v>
      </c>
      <c r="X516" s="151">
        <v>0</v>
      </c>
      <c r="Y516" s="151">
        <v>0</v>
      </c>
      <c r="Z516" s="200">
        <v>0</v>
      </c>
      <c r="AA516" s="132">
        <f t="shared" si="22"/>
        <v>4</v>
      </c>
      <c r="AB516" s="540"/>
      <c r="AC516" s="545">
        <f t="shared" si="23"/>
        <v>4</v>
      </c>
      <c r="AD516" s="186"/>
      <c r="AE516" s="187" t="s">
        <v>529</v>
      </c>
      <c r="AF516" s="171" t="s">
        <v>44</v>
      </c>
      <c r="AG516" s="188"/>
      <c r="AH516" s="187"/>
      <c r="AI516" s="373"/>
      <c r="AJ516" s="89" t="s">
        <v>499</v>
      </c>
      <c r="AK516" s="189" t="e">
        <f t="shared" si="24"/>
        <v>#VALUE!</v>
      </c>
      <c r="AL516" s="373"/>
      <c r="AM516" s="374"/>
      <c r="AN516" s="375"/>
      <c r="AO516" s="190"/>
    </row>
    <row r="517" spans="1:41" s="376" customFormat="1" ht="28.15" customHeight="1">
      <c r="A517" s="233">
        <v>527</v>
      </c>
      <c r="B517" s="500">
        <v>44981</v>
      </c>
      <c r="C517" s="503" t="s">
        <v>254</v>
      </c>
      <c r="D517" s="267" t="s">
        <v>1461</v>
      </c>
      <c r="E517" s="267"/>
      <c r="F517" s="509" t="s">
        <v>1463</v>
      </c>
      <c r="G517" s="267" t="s">
        <v>1461</v>
      </c>
      <c r="H517" s="267" t="s">
        <v>1461</v>
      </c>
      <c r="I517" s="528" t="s">
        <v>1462</v>
      </c>
      <c r="J517" s="533"/>
      <c r="K517" s="533"/>
      <c r="L517" s="533"/>
      <c r="M517" s="379"/>
      <c r="N517" s="380"/>
      <c r="O517" s="323">
        <v>0</v>
      </c>
      <c r="P517" s="151">
        <v>0</v>
      </c>
      <c r="Q517" s="151">
        <v>0</v>
      </c>
      <c r="R517" s="151">
        <v>0</v>
      </c>
      <c r="S517" s="151">
        <v>0</v>
      </c>
      <c r="T517" s="151">
        <v>0</v>
      </c>
      <c r="U517" s="151">
        <v>0</v>
      </c>
      <c r="V517" s="151">
        <v>1</v>
      </c>
      <c r="W517" s="151">
        <v>0</v>
      </c>
      <c r="X517" s="151">
        <v>0</v>
      </c>
      <c r="Y517" s="151">
        <v>0</v>
      </c>
      <c r="Z517" s="200">
        <v>0</v>
      </c>
      <c r="AA517" s="143">
        <f t="shared" si="22"/>
        <v>1</v>
      </c>
      <c r="AB517" s="544"/>
      <c r="AC517" s="547">
        <f t="shared" si="23"/>
        <v>1</v>
      </c>
      <c r="AD517" s="548"/>
      <c r="AE517" s="474"/>
      <c r="AF517" s="533" t="s">
        <v>1613</v>
      </c>
      <c r="AG517" s="556"/>
      <c r="AH517" s="474"/>
      <c r="AI517" s="476"/>
      <c r="AJ517" s="477"/>
      <c r="AK517" s="185">
        <f t="shared" si="24"/>
        <v>1</v>
      </c>
      <c r="AL517" s="476"/>
      <c r="AM517" s="479"/>
      <c r="AN517" s="480"/>
      <c r="AO517" s="481"/>
    </row>
    <row r="518" spans="1:41" ht="28.15" customHeight="1">
      <c r="A518" s="233">
        <v>528</v>
      </c>
      <c r="B518" s="497">
        <v>44984</v>
      </c>
      <c r="C518" s="307" t="s">
        <v>1465</v>
      </c>
      <c r="D518" s="217" t="s">
        <v>392</v>
      </c>
      <c r="E518" s="217"/>
      <c r="F518" s="217" t="s">
        <v>393</v>
      </c>
      <c r="G518" s="217" t="s">
        <v>392</v>
      </c>
      <c r="H518" s="217" t="s">
        <v>392</v>
      </c>
      <c r="I518" s="298" t="s">
        <v>250</v>
      </c>
      <c r="J518" s="84"/>
      <c r="K518" s="84"/>
      <c r="L518" s="84"/>
      <c r="M518" s="84"/>
      <c r="N518" s="216" t="s">
        <v>1469</v>
      </c>
      <c r="O518" s="391">
        <v>0</v>
      </c>
      <c r="P518" s="77">
        <v>0</v>
      </c>
      <c r="Q518" s="77">
        <v>0</v>
      </c>
      <c r="R518" s="77">
        <v>0</v>
      </c>
      <c r="S518" s="77">
        <v>0</v>
      </c>
      <c r="T518" s="77">
        <v>0</v>
      </c>
      <c r="U518" s="77">
        <v>0</v>
      </c>
      <c r="V518" s="77">
        <v>0</v>
      </c>
      <c r="W518" s="77">
        <v>0</v>
      </c>
      <c r="X518" s="489">
        <v>2</v>
      </c>
      <c r="Y518" s="77">
        <v>0</v>
      </c>
      <c r="Z518" s="392">
        <v>0</v>
      </c>
      <c r="AA518" s="132">
        <f t="shared" ref="AA518:AA529" si="25">SUM(O518:Z518)</f>
        <v>2</v>
      </c>
      <c r="AB518" s="438"/>
      <c r="AC518" s="439">
        <f t="shared" ref="AC518:AC536" si="26">AA518-AB518</f>
        <v>2</v>
      </c>
      <c r="AD518" s="176"/>
      <c r="AE518" s="177" t="s">
        <v>529</v>
      </c>
      <c r="AF518" s="84" t="s">
        <v>44</v>
      </c>
      <c r="AG518" s="178"/>
      <c r="AH518" s="177"/>
      <c r="AI518" s="440"/>
      <c r="AJ518" s="441"/>
      <c r="AK518" s="179">
        <f t="shared" si="24"/>
        <v>2</v>
      </c>
      <c r="AL518" s="440"/>
      <c r="AM518" s="442"/>
      <c r="AN518" s="443"/>
      <c r="AO518" s="180"/>
    </row>
    <row r="519" spans="1:41" ht="28.15" customHeight="1">
      <c r="A519" s="233">
        <v>529</v>
      </c>
      <c r="B519" s="497">
        <v>44984</v>
      </c>
      <c r="C519" s="307" t="s">
        <v>1465</v>
      </c>
      <c r="D519" s="214" t="s">
        <v>394</v>
      </c>
      <c r="E519" s="214"/>
      <c r="F519" s="214" t="s">
        <v>395</v>
      </c>
      <c r="G519" s="214" t="s">
        <v>394</v>
      </c>
      <c r="H519" s="214" t="s">
        <v>394</v>
      </c>
      <c r="I519" s="214" t="s">
        <v>250</v>
      </c>
      <c r="J519" s="84"/>
      <c r="K519" s="84"/>
      <c r="L519" s="84"/>
      <c r="M519" s="84"/>
      <c r="N519" s="216" t="s">
        <v>1469</v>
      </c>
      <c r="O519" s="391">
        <v>0</v>
      </c>
      <c r="P519" s="77">
        <v>0</v>
      </c>
      <c r="Q519" s="77">
        <v>0</v>
      </c>
      <c r="R519" s="77">
        <v>0</v>
      </c>
      <c r="S519" s="77">
        <v>0</v>
      </c>
      <c r="T519" s="77">
        <v>0</v>
      </c>
      <c r="U519" s="77">
        <v>0</v>
      </c>
      <c r="V519" s="77">
        <v>0</v>
      </c>
      <c r="W519" s="77">
        <v>0</v>
      </c>
      <c r="X519" s="537">
        <v>1</v>
      </c>
      <c r="Y519" s="77">
        <v>0</v>
      </c>
      <c r="Z519" s="392">
        <v>0</v>
      </c>
      <c r="AA519" s="132">
        <f t="shared" si="25"/>
        <v>1</v>
      </c>
      <c r="AB519" s="438"/>
      <c r="AC519" s="439">
        <f t="shared" si="26"/>
        <v>1</v>
      </c>
      <c r="AD519" s="176"/>
      <c r="AE519" s="177" t="s">
        <v>529</v>
      </c>
      <c r="AF519" s="84" t="s">
        <v>44</v>
      </c>
      <c r="AG519" s="178"/>
      <c r="AH519" s="177"/>
      <c r="AI519" s="440"/>
      <c r="AJ519" s="441"/>
      <c r="AK519" s="179">
        <f t="shared" si="24"/>
        <v>1</v>
      </c>
      <c r="AL519" s="440"/>
      <c r="AM519" s="442"/>
      <c r="AN519" s="443"/>
      <c r="AO519" s="180"/>
    </row>
    <row r="520" spans="1:41" ht="28.15" customHeight="1">
      <c r="A520" s="233">
        <v>530</v>
      </c>
      <c r="B520" s="497">
        <v>44984</v>
      </c>
      <c r="C520" s="307" t="s">
        <v>1465</v>
      </c>
      <c r="D520" s="214">
        <v>9304702</v>
      </c>
      <c r="E520" s="214"/>
      <c r="F520" s="214" t="s">
        <v>1467</v>
      </c>
      <c r="G520" s="214">
        <v>9304702</v>
      </c>
      <c r="H520" s="214">
        <v>9304702</v>
      </c>
      <c r="I520" s="214" t="s">
        <v>250</v>
      </c>
      <c r="J520" s="84"/>
      <c r="K520" s="84"/>
      <c r="L520" s="84"/>
      <c r="M520" s="84"/>
      <c r="N520" s="216" t="s">
        <v>1469</v>
      </c>
      <c r="O520" s="391">
        <v>0</v>
      </c>
      <c r="P520" s="77">
        <v>0</v>
      </c>
      <c r="Q520" s="77">
        <v>0</v>
      </c>
      <c r="R520" s="77">
        <v>0</v>
      </c>
      <c r="S520" s="77">
        <v>0</v>
      </c>
      <c r="T520" s="77">
        <v>0</v>
      </c>
      <c r="U520" s="77">
        <v>0</v>
      </c>
      <c r="V520" s="77">
        <v>0</v>
      </c>
      <c r="W520" s="77">
        <v>0</v>
      </c>
      <c r="X520" s="537">
        <v>1</v>
      </c>
      <c r="Y520" s="77">
        <v>0</v>
      </c>
      <c r="Z520" s="392">
        <v>0</v>
      </c>
      <c r="AA520" s="132">
        <f t="shared" si="25"/>
        <v>1</v>
      </c>
      <c r="AB520" s="438"/>
      <c r="AC520" s="439">
        <f t="shared" si="26"/>
        <v>1</v>
      </c>
      <c r="AD520" s="176"/>
      <c r="AE520" s="177" t="s">
        <v>529</v>
      </c>
      <c r="AF520" s="84" t="s">
        <v>44</v>
      </c>
      <c r="AG520" s="178"/>
      <c r="AH520" s="177"/>
      <c r="AI520" s="440"/>
      <c r="AJ520" s="441"/>
      <c r="AK520" s="179">
        <f t="shared" si="24"/>
        <v>1</v>
      </c>
      <c r="AL520" s="440"/>
      <c r="AM520" s="442"/>
      <c r="AN520" s="443"/>
      <c r="AO520" s="180"/>
    </row>
    <row r="521" spans="1:41" ht="28.15" customHeight="1">
      <c r="A521" s="496">
        <v>531</v>
      </c>
      <c r="B521" s="498">
        <v>44984</v>
      </c>
      <c r="C521" s="417" t="s">
        <v>1465</v>
      </c>
      <c r="D521" s="505" t="s">
        <v>786</v>
      </c>
      <c r="E521" s="505"/>
      <c r="F521" s="505" t="s">
        <v>787</v>
      </c>
      <c r="G521" s="505" t="s">
        <v>786</v>
      </c>
      <c r="H521" s="505" t="s">
        <v>786</v>
      </c>
      <c r="I521" s="505" t="s">
        <v>369</v>
      </c>
      <c r="J521" s="129"/>
      <c r="K521" s="129"/>
      <c r="L521" s="129"/>
      <c r="M521" s="129"/>
      <c r="N521" s="221" t="s">
        <v>1469</v>
      </c>
      <c r="O521" s="323">
        <v>0</v>
      </c>
      <c r="P521" s="151">
        <v>0</v>
      </c>
      <c r="Q521" s="151">
        <v>0</v>
      </c>
      <c r="R521" s="151">
        <v>0</v>
      </c>
      <c r="S521" s="151">
        <v>0</v>
      </c>
      <c r="T521" s="151">
        <v>0</v>
      </c>
      <c r="U521" s="151">
        <v>0</v>
      </c>
      <c r="V521" s="151">
        <v>0</v>
      </c>
      <c r="W521" s="151">
        <v>0</v>
      </c>
      <c r="X521" s="538">
        <v>1</v>
      </c>
      <c r="Y521" s="151">
        <v>0</v>
      </c>
      <c r="Z521" s="200">
        <v>0</v>
      </c>
      <c r="AA521" s="143">
        <f t="shared" si="25"/>
        <v>1</v>
      </c>
      <c r="AB521" s="382"/>
      <c r="AC521" s="383">
        <f t="shared" si="26"/>
        <v>1</v>
      </c>
      <c r="AD521" s="384"/>
      <c r="AE521" s="385" t="s">
        <v>529</v>
      </c>
      <c r="AF521" s="379" t="s">
        <v>44</v>
      </c>
      <c r="AG521" s="378"/>
      <c r="AH521" s="385"/>
      <c r="AI521" s="386"/>
      <c r="AJ521" s="387"/>
      <c r="AK521" s="388">
        <f t="shared" si="24"/>
        <v>1</v>
      </c>
      <c r="AL521" s="386"/>
      <c r="AM521" s="381"/>
      <c r="AN521" s="389"/>
      <c r="AO521" s="390"/>
    </row>
    <row r="522" spans="1:41" ht="28.15" customHeight="1">
      <c r="A522" s="233">
        <v>532</v>
      </c>
      <c r="B522" s="497">
        <v>44984</v>
      </c>
      <c r="C522" s="307" t="s">
        <v>1465</v>
      </c>
      <c r="D522" s="214">
        <v>91046</v>
      </c>
      <c r="E522" s="214"/>
      <c r="F522" s="214" t="s">
        <v>367</v>
      </c>
      <c r="G522" s="214">
        <v>91046</v>
      </c>
      <c r="H522" s="214">
        <v>91046</v>
      </c>
      <c r="I522" s="214" t="s">
        <v>250</v>
      </c>
      <c r="J522" s="84"/>
      <c r="K522" s="84"/>
      <c r="L522" s="84"/>
      <c r="M522" s="84"/>
      <c r="N522" s="216" t="s">
        <v>1469</v>
      </c>
      <c r="O522" s="391">
        <v>0</v>
      </c>
      <c r="P522" s="77">
        <v>0</v>
      </c>
      <c r="Q522" s="77">
        <v>0</v>
      </c>
      <c r="R522" s="77">
        <v>0</v>
      </c>
      <c r="S522" s="77">
        <v>0</v>
      </c>
      <c r="T522" s="77">
        <v>0</v>
      </c>
      <c r="U522" s="77">
        <v>0</v>
      </c>
      <c r="V522" s="77">
        <v>0</v>
      </c>
      <c r="W522" s="77">
        <v>0</v>
      </c>
      <c r="X522" s="537">
        <v>6</v>
      </c>
      <c r="Y522" s="77">
        <v>0</v>
      </c>
      <c r="Z522" s="392">
        <v>0</v>
      </c>
      <c r="AA522" s="132">
        <f t="shared" si="25"/>
        <v>6</v>
      </c>
      <c r="AB522" s="438"/>
      <c r="AC522" s="439">
        <f t="shared" si="26"/>
        <v>6</v>
      </c>
      <c r="AD522" s="176"/>
      <c r="AE522" s="177" t="s">
        <v>529</v>
      </c>
      <c r="AF522" s="84" t="s">
        <v>44</v>
      </c>
      <c r="AG522" s="178"/>
      <c r="AH522" s="177"/>
      <c r="AI522" s="440"/>
      <c r="AJ522" s="441"/>
      <c r="AK522" s="179">
        <f t="shared" si="24"/>
        <v>6</v>
      </c>
      <c r="AL522" s="440"/>
      <c r="AM522" s="442"/>
      <c r="AN522" s="443"/>
      <c r="AO522" s="180"/>
    </row>
    <row r="523" spans="1:41" ht="28.15" customHeight="1">
      <c r="A523" s="233">
        <v>533</v>
      </c>
      <c r="B523" s="497">
        <v>44984</v>
      </c>
      <c r="C523" s="307" t="s">
        <v>1465</v>
      </c>
      <c r="D523" s="214">
        <v>9304702</v>
      </c>
      <c r="E523" s="214"/>
      <c r="F523" s="214" t="s">
        <v>1467</v>
      </c>
      <c r="G523" s="214">
        <v>9304702</v>
      </c>
      <c r="H523" s="214">
        <v>9304702</v>
      </c>
      <c r="I523" s="214" t="s">
        <v>250</v>
      </c>
      <c r="J523" s="84"/>
      <c r="K523" s="84"/>
      <c r="L523" s="84"/>
      <c r="M523" s="84"/>
      <c r="N523" s="216" t="s">
        <v>1469</v>
      </c>
      <c r="O523" s="391">
        <v>0</v>
      </c>
      <c r="P523" s="77">
        <v>0</v>
      </c>
      <c r="Q523" s="77">
        <v>0</v>
      </c>
      <c r="R523" s="77">
        <v>0</v>
      </c>
      <c r="S523" s="77">
        <v>0</v>
      </c>
      <c r="T523" s="77">
        <v>0</v>
      </c>
      <c r="U523" s="77">
        <v>0</v>
      </c>
      <c r="V523" s="77">
        <v>0</v>
      </c>
      <c r="W523" s="77">
        <v>0</v>
      </c>
      <c r="X523" s="537">
        <v>1</v>
      </c>
      <c r="Y523" s="77">
        <v>0</v>
      </c>
      <c r="Z523" s="392">
        <v>0</v>
      </c>
      <c r="AA523" s="132">
        <f t="shared" si="25"/>
        <v>1</v>
      </c>
      <c r="AB523" s="438"/>
      <c r="AC523" s="439">
        <f t="shared" si="26"/>
        <v>1</v>
      </c>
      <c r="AD523" s="176"/>
      <c r="AE523" s="177" t="s">
        <v>529</v>
      </c>
      <c r="AF523" s="84" t="s">
        <v>44</v>
      </c>
      <c r="AG523" s="178"/>
      <c r="AH523" s="177"/>
      <c r="AI523" s="440"/>
      <c r="AJ523" s="441"/>
      <c r="AK523" s="179">
        <f t="shared" si="24"/>
        <v>1</v>
      </c>
      <c r="AL523" s="440"/>
      <c r="AM523" s="442"/>
      <c r="AN523" s="443"/>
      <c r="AO523" s="180"/>
    </row>
    <row r="524" spans="1:41" ht="28.15" customHeight="1">
      <c r="A524" s="233">
        <v>534</v>
      </c>
      <c r="B524" s="497">
        <v>44984</v>
      </c>
      <c r="C524" s="307" t="s">
        <v>1465</v>
      </c>
      <c r="D524" s="214">
        <v>92001</v>
      </c>
      <c r="E524" s="214"/>
      <c r="F524" s="214" t="s">
        <v>364</v>
      </c>
      <c r="G524" s="214">
        <v>92001</v>
      </c>
      <c r="H524" s="214">
        <v>92001</v>
      </c>
      <c r="I524" s="214" t="s">
        <v>250</v>
      </c>
      <c r="J524" s="84"/>
      <c r="K524" s="84"/>
      <c r="L524" s="84"/>
      <c r="M524" s="84"/>
      <c r="N524" s="216" t="s">
        <v>1469</v>
      </c>
      <c r="O524" s="391">
        <v>0</v>
      </c>
      <c r="P524" s="77">
        <v>0</v>
      </c>
      <c r="Q524" s="77">
        <v>0</v>
      </c>
      <c r="R524" s="77">
        <v>0</v>
      </c>
      <c r="S524" s="77">
        <v>0</v>
      </c>
      <c r="T524" s="77">
        <v>0</v>
      </c>
      <c r="U524" s="77">
        <v>0</v>
      </c>
      <c r="V524" s="77">
        <v>0</v>
      </c>
      <c r="W524" s="77">
        <v>0</v>
      </c>
      <c r="X524" s="537">
        <v>2</v>
      </c>
      <c r="Y524" s="77">
        <v>0</v>
      </c>
      <c r="Z524" s="392">
        <v>0</v>
      </c>
      <c r="AA524" s="132">
        <f t="shared" si="25"/>
        <v>2</v>
      </c>
      <c r="AB524" s="438"/>
      <c r="AC524" s="439">
        <f t="shared" si="26"/>
        <v>2</v>
      </c>
      <c r="AD524" s="176"/>
      <c r="AE524" s="177" t="s">
        <v>529</v>
      </c>
      <c r="AF524" s="84" t="s">
        <v>44</v>
      </c>
      <c r="AG524" s="178"/>
      <c r="AH524" s="177"/>
      <c r="AI524" s="440"/>
      <c r="AJ524" s="441"/>
      <c r="AK524" s="179">
        <f t="shared" si="24"/>
        <v>2</v>
      </c>
      <c r="AL524" s="440"/>
      <c r="AM524" s="442"/>
      <c r="AN524" s="443"/>
      <c r="AO524" s="180"/>
    </row>
    <row r="525" spans="1:41" ht="28.15" customHeight="1">
      <c r="A525" s="233">
        <v>535</v>
      </c>
      <c r="B525" s="497">
        <v>44984</v>
      </c>
      <c r="C525" s="307" t="s">
        <v>1465</v>
      </c>
      <c r="D525" s="214" t="s">
        <v>365</v>
      </c>
      <c r="E525" s="214"/>
      <c r="F525" s="214" t="s">
        <v>366</v>
      </c>
      <c r="G525" s="214" t="s">
        <v>365</v>
      </c>
      <c r="H525" s="214" t="s">
        <v>365</v>
      </c>
      <c r="I525" s="214" t="s">
        <v>250</v>
      </c>
      <c r="J525" s="84"/>
      <c r="K525" s="84"/>
      <c r="L525" s="84"/>
      <c r="M525" s="84"/>
      <c r="N525" s="216" t="s">
        <v>1469</v>
      </c>
      <c r="O525" s="391">
        <v>0</v>
      </c>
      <c r="P525" s="77">
        <v>0</v>
      </c>
      <c r="Q525" s="77">
        <v>0</v>
      </c>
      <c r="R525" s="77">
        <v>0</v>
      </c>
      <c r="S525" s="77">
        <v>0</v>
      </c>
      <c r="T525" s="77">
        <v>0</v>
      </c>
      <c r="U525" s="77">
        <v>0</v>
      </c>
      <c r="V525" s="77">
        <v>0</v>
      </c>
      <c r="W525" s="77">
        <v>0</v>
      </c>
      <c r="X525" s="537">
        <v>7</v>
      </c>
      <c r="Y525" s="77">
        <v>0</v>
      </c>
      <c r="Z525" s="392">
        <v>0</v>
      </c>
      <c r="AA525" s="132">
        <f t="shared" si="25"/>
        <v>7</v>
      </c>
      <c r="AB525" s="438"/>
      <c r="AC525" s="439">
        <f t="shared" si="26"/>
        <v>7</v>
      </c>
      <c r="AD525" s="176"/>
      <c r="AE525" s="177" t="s">
        <v>529</v>
      </c>
      <c r="AF525" s="84" t="s">
        <v>44</v>
      </c>
      <c r="AG525" s="178"/>
      <c r="AH525" s="177"/>
      <c r="AI525" s="440"/>
      <c r="AJ525" s="441"/>
      <c r="AK525" s="179">
        <f t="shared" si="24"/>
        <v>7</v>
      </c>
      <c r="AL525" s="440"/>
      <c r="AM525" s="442"/>
      <c r="AN525" s="443"/>
      <c r="AO525" s="180"/>
    </row>
    <row r="526" spans="1:41" ht="28.15" customHeight="1">
      <c r="A526" s="233">
        <v>536</v>
      </c>
      <c r="B526" s="497">
        <v>44984</v>
      </c>
      <c r="C526" s="307" t="s">
        <v>1465</v>
      </c>
      <c r="D526" s="214" t="s">
        <v>800</v>
      </c>
      <c r="E526" s="214"/>
      <c r="F526" s="214" t="s">
        <v>1468</v>
      </c>
      <c r="G526" s="214" t="s">
        <v>800</v>
      </c>
      <c r="H526" s="214" t="s">
        <v>800</v>
      </c>
      <c r="I526" s="214" t="s">
        <v>250</v>
      </c>
      <c r="J526" s="84"/>
      <c r="K526" s="84"/>
      <c r="L526" s="84"/>
      <c r="M526" s="84"/>
      <c r="N526" s="216" t="s">
        <v>1469</v>
      </c>
      <c r="O526" s="391">
        <v>0</v>
      </c>
      <c r="P526" s="77">
        <v>0</v>
      </c>
      <c r="Q526" s="77">
        <v>0</v>
      </c>
      <c r="R526" s="77">
        <v>0</v>
      </c>
      <c r="S526" s="77">
        <v>0</v>
      </c>
      <c r="T526" s="77">
        <v>0</v>
      </c>
      <c r="U526" s="77">
        <v>0</v>
      </c>
      <c r="V526" s="77">
        <v>0</v>
      </c>
      <c r="W526" s="77">
        <v>0</v>
      </c>
      <c r="X526" s="537">
        <v>1</v>
      </c>
      <c r="Y526" s="77">
        <v>0</v>
      </c>
      <c r="Z526" s="392">
        <v>0</v>
      </c>
      <c r="AA526" s="132">
        <f t="shared" si="25"/>
        <v>1</v>
      </c>
      <c r="AB526" s="438"/>
      <c r="AC526" s="439">
        <f t="shared" si="26"/>
        <v>1</v>
      </c>
      <c r="AD526" s="176"/>
      <c r="AE526" s="177" t="s">
        <v>529</v>
      </c>
      <c r="AF526" s="84" t="s">
        <v>44</v>
      </c>
      <c r="AG526" s="178"/>
      <c r="AH526" s="177"/>
      <c r="AI526" s="440"/>
      <c r="AJ526" s="441"/>
      <c r="AK526" s="179">
        <f t="shared" si="24"/>
        <v>1</v>
      </c>
      <c r="AL526" s="440"/>
      <c r="AM526" s="442"/>
      <c r="AN526" s="443"/>
      <c r="AO526" s="180"/>
    </row>
    <row r="527" spans="1:41" s="376" customFormat="1" ht="28.15" customHeight="1">
      <c r="A527" s="233">
        <v>537</v>
      </c>
      <c r="B527" s="497">
        <v>44984</v>
      </c>
      <c r="C527" s="307" t="s">
        <v>1465</v>
      </c>
      <c r="D527" s="214" t="s">
        <v>574</v>
      </c>
      <c r="E527" s="214"/>
      <c r="F527" s="214" t="s">
        <v>575</v>
      </c>
      <c r="G527" s="214" t="s">
        <v>574</v>
      </c>
      <c r="H527" s="214" t="s">
        <v>574</v>
      </c>
      <c r="I527" s="214" t="s">
        <v>250</v>
      </c>
      <c r="J527" s="84"/>
      <c r="K527" s="84"/>
      <c r="L527" s="84"/>
      <c r="M527" s="84"/>
      <c r="N527" s="216" t="s">
        <v>1469</v>
      </c>
      <c r="O527" s="391">
        <v>0</v>
      </c>
      <c r="P527" s="77">
        <v>0</v>
      </c>
      <c r="Q527" s="77">
        <v>0</v>
      </c>
      <c r="R527" s="77">
        <v>0</v>
      </c>
      <c r="S527" s="77">
        <v>0</v>
      </c>
      <c r="T527" s="77">
        <v>0</v>
      </c>
      <c r="U527" s="77">
        <v>0</v>
      </c>
      <c r="V527" s="77">
        <v>0</v>
      </c>
      <c r="W527" s="77">
        <v>0</v>
      </c>
      <c r="X527" s="537">
        <v>5</v>
      </c>
      <c r="Y527" s="77">
        <v>0</v>
      </c>
      <c r="Z527" s="392">
        <v>0</v>
      </c>
      <c r="AA527" s="132">
        <f t="shared" si="25"/>
        <v>5</v>
      </c>
      <c r="AB527" s="438"/>
      <c r="AC527" s="439">
        <f t="shared" si="26"/>
        <v>5</v>
      </c>
      <c r="AD527" s="176"/>
      <c r="AE527" s="177" t="s">
        <v>529</v>
      </c>
      <c r="AF527" s="84" t="s">
        <v>44</v>
      </c>
      <c r="AG527" s="178"/>
      <c r="AH527" s="177"/>
      <c r="AI527" s="440"/>
      <c r="AJ527" s="441"/>
      <c r="AK527" s="179">
        <f t="shared" si="24"/>
        <v>5</v>
      </c>
      <c r="AL527" s="440"/>
      <c r="AM527" s="442"/>
      <c r="AN527" s="443"/>
      <c r="AO527" s="180"/>
    </row>
    <row r="528" spans="1:41" s="376" customFormat="1" ht="28.15" customHeight="1">
      <c r="A528" s="233">
        <v>538</v>
      </c>
      <c r="B528" s="497">
        <v>44984</v>
      </c>
      <c r="C528" s="307" t="s">
        <v>1465</v>
      </c>
      <c r="D528" s="214" t="s">
        <v>253</v>
      </c>
      <c r="E528" s="214"/>
      <c r="F528" s="214" t="s">
        <v>249</v>
      </c>
      <c r="G528" s="214" t="s">
        <v>253</v>
      </c>
      <c r="H528" s="214" t="s">
        <v>253</v>
      </c>
      <c r="I528" s="214" t="s">
        <v>250</v>
      </c>
      <c r="J528" s="84"/>
      <c r="K528" s="84"/>
      <c r="L528" s="84"/>
      <c r="M528" s="84"/>
      <c r="N528" s="216" t="s">
        <v>1469</v>
      </c>
      <c r="O528" s="391">
        <v>0</v>
      </c>
      <c r="P528" s="77">
        <v>0</v>
      </c>
      <c r="Q528" s="77">
        <v>0</v>
      </c>
      <c r="R528" s="77">
        <v>0</v>
      </c>
      <c r="S528" s="77">
        <v>0</v>
      </c>
      <c r="T528" s="77">
        <v>0</v>
      </c>
      <c r="U528" s="77">
        <v>0</v>
      </c>
      <c r="V528" s="77">
        <v>0</v>
      </c>
      <c r="W528" s="77">
        <v>0</v>
      </c>
      <c r="X528" s="537">
        <v>6</v>
      </c>
      <c r="Y528" s="77">
        <v>0</v>
      </c>
      <c r="Z528" s="392">
        <v>0</v>
      </c>
      <c r="AA528" s="132">
        <f t="shared" si="25"/>
        <v>6</v>
      </c>
      <c r="AB528" s="438"/>
      <c r="AC528" s="439">
        <f t="shared" si="26"/>
        <v>6</v>
      </c>
      <c r="AD528" s="176"/>
      <c r="AE528" s="177" t="s">
        <v>529</v>
      </c>
      <c r="AF528" s="84" t="s">
        <v>44</v>
      </c>
      <c r="AG528" s="178"/>
      <c r="AH528" s="177"/>
      <c r="AI528" s="440"/>
      <c r="AJ528" s="441"/>
      <c r="AK528" s="179">
        <f t="shared" si="24"/>
        <v>6</v>
      </c>
      <c r="AL528" s="440"/>
      <c r="AM528" s="442"/>
      <c r="AN528" s="443"/>
      <c r="AO528" s="180"/>
    </row>
    <row r="529" spans="1:41" s="376" customFormat="1" ht="28.15" customHeight="1">
      <c r="A529" s="233">
        <v>539</v>
      </c>
      <c r="B529" s="497">
        <v>44988</v>
      </c>
      <c r="C529" s="307" t="s">
        <v>306</v>
      </c>
      <c r="D529" s="214"/>
      <c r="E529" s="214"/>
      <c r="F529" s="222" t="s">
        <v>308</v>
      </c>
      <c r="G529" s="188" t="s">
        <v>307</v>
      </c>
      <c r="H529" s="309" t="s">
        <v>307</v>
      </c>
      <c r="I529" s="309" t="s">
        <v>309</v>
      </c>
      <c r="J529" s="84"/>
      <c r="K529" s="84"/>
      <c r="L529" s="84"/>
      <c r="M529" s="84"/>
      <c r="N529" s="216"/>
      <c r="O529" s="391">
        <v>0</v>
      </c>
      <c r="P529" s="77">
        <v>0</v>
      </c>
      <c r="Q529" s="77">
        <v>0</v>
      </c>
      <c r="R529" s="77">
        <v>0</v>
      </c>
      <c r="S529" s="77">
        <v>0</v>
      </c>
      <c r="T529" s="77">
        <v>0</v>
      </c>
      <c r="U529" s="77">
        <v>0</v>
      </c>
      <c r="V529" s="77">
        <v>0</v>
      </c>
      <c r="W529" s="77">
        <v>0</v>
      </c>
      <c r="X529" s="472">
        <v>0</v>
      </c>
      <c r="Y529" s="77">
        <v>0</v>
      </c>
      <c r="Z529" s="392">
        <v>80</v>
      </c>
      <c r="AA529" s="132">
        <f t="shared" si="25"/>
        <v>80</v>
      </c>
      <c r="AB529" s="438"/>
      <c r="AC529" s="439">
        <f t="shared" si="26"/>
        <v>80</v>
      </c>
      <c r="AD529" s="176">
        <v>44988</v>
      </c>
      <c r="AE529" s="177" t="s">
        <v>282</v>
      </c>
      <c r="AF529" s="284" t="s">
        <v>1484</v>
      </c>
      <c r="AG529" s="178"/>
      <c r="AH529" s="177"/>
      <c r="AI529" s="440"/>
      <c r="AJ529" s="86" t="s">
        <v>1608</v>
      </c>
      <c r="AK529" s="179" t="e">
        <f t="shared" si="24"/>
        <v>#VALUE!</v>
      </c>
      <c r="AL529" s="85" t="s">
        <v>1609</v>
      </c>
      <c r="AM529" s="442"/>
      <c r="AN529" s="443"/>
      <c r="AO529" s="180"/>
    </row>
    <row r="530" spans="1:41" s="376" customFormat="1" ht="28.15" customHeight="1">
      <c r="A530" s="233">
        <v>540</v>
      </c>
      <c r="B530" s="497">
        <v>45000</v>
      </c>
      <c r="C530" s="307" t="s">
        <v>454</v>
      </c>
      <c r="D530" s="217"/>
      <c r="E530" s="217"/>
      <c r="F530" s="167" t="s">
        <v>1516</v>
      </c>
      <c r="G530" s="178" t="s">
        <v>1517</v>
      </c>
      <c r="H530" s="308">
        <v>280232</v>
      </c>
      <c r="I530" s="301" t="s">
        <v>1182</v>
      </c>
      <c r="J530" s="84"/>
      <c r="K530" s="84"/>
      <c r="L530" s="84"/>
      <c r="M530" s="84"/>
      <c r="N530" s="216"/>
      <c r="O530" s="391">
        <v>0</v>
      </c>
      <c r="P530" s="77">
        <v>0</v>
      </c>
      <c r="Q530" s="77">
        <v>0</v>
      </c>
      <c r="R530" s="77">
        <v>0</v>
      </c>
      <c r="S530" s="77">
        <v>0</v>
      </c>
      <c r="T530" s="77">
        <v>0</v>
      </c>
      <c r="U530" s="77">
        <v>0</v>
      </c>
      <c r="V530" s="77">
        <v>0</v>
      </c>
      <c r="W530" s="77">
        <v>0</v>
      </c>
      <c r="X530" s="77">
        <v>0</v>
      </c>
      <c r="Y530" s="77">
        <v>0</v>
      </c>
      <c r="Z530" s="392">
        <v>0</v>
      </c>
      <c r="AA530" s="132">
        <v>1</v>
      </c>
      <c r="AB530" s="438"/>
      <c r="AC530" s="439">
        <f t="shared" si="26"/>
        <v>1</v>
      </c>
      <c r="AD530" s="176">
        <v>45001</v>
      </c>
      <c r="AE530" s="177" t="s">
        <v>282</v>
      </c>
      <c r="AF530" s="84" t="s">
        <v>1531</v>
      </c>
      <c r="AG530" s="178"/>
      <c r="AH530" s="177"/>
      <c r="AI530" s="85" t="s">
        <v>1518</v>
      </c>
      <c r="AJ530" s="441">
        <v>1</v>
      </c>
      <c r="AK530" s="179">
        <f t="shared" si="24"/>
        <v>0</v>
      </c>
      <c r="AL530" s="85" t="s">
        <v>1538</v>
      </c>
      <c r="AM530" s="442"/>
      <c r="AN530" s="443"/>
      <c r="AO530" s="180"/>
    </row>
    <row r="531" spans="1:41" s="376" customFormat="1" ht="28.15" customHeight="1">
      <c r="A531" s="233">
        <v>541</v>
      </c>
      <c r="B531" s="497">
        <v>45000</v>
      </c>
      <c r="C531" s="307" t="s">
        <v>454</v>
      </c>
      <c r="D531" s="217"/>
      <c r="E531" s="217"/>
      <c r="F531" s="167" t="s">
        <v>1519</v>
      </c>
      <c r="G531" s="178" t="s">
        <v>1520</v>
      </c>
      <c r="H531" s="308">
        <v>279569</v>
      </c>
      <c r="I531" s="301" t="s">
        <v>1182</v>
      </c>
      <c r="J531" s="84"/>
      <c r="K531" s="84"/>
      <c r="L531" s="84"/>
      <c r="M531" s="84"/>
      <c r="N531" s="216"/>
      <c r="O531" s="391">
        <v>0</v>
      </c>
      <c r="P531" s="77">
        <v>0</v>
      </c>
      <c r="Q531" s="77">
        <v>0</v>
      </c>
      <c r="R531" s="77">
        <v>0</v>
      </c>
      <c r="S531" s="77">
        <v>0</v>
      </c>
      <c r="T531" s="77">
        <v>0</v>
      </c>
      <c r="U531" s="77">
        <v>0</v>
      </c>
      <c r="V531" s="77">
        <v>0</v>
      </c>
      <c r="W531" s="77">
        <v>0</v>
      </c>
      <c r="X531" s="77">
        <v>0</v>
      </c>
      <c r="Y531" s="77">
        <v>0</v>
      </c>
      <c r="Z531" s="392">
        <v>0</v>
      </c>
      <c r="AA531" s="132">
        <v>1</v>
      </c>
      <c r="AB531" s="438"/>
      <c r="AC531" s="439">
        <f t="shared" si="26"/>
        <v>1</v>
      </c>
      <c r="AD531" s="176">
        <v>45001</v>
      </c>
      <c r="AE531" s="177" t="s">
        <v>282</v>
      </c>
      <c r="AF531" s="84" t="s">
        <v>1531</v>
      </c>
      <c r="AG531" s="178"/>
      <c r="AH531" s="177"/>
      <c r="AI531" s="85" t="s">
        <v>1518</v>
      </c>
      <c r="AJ531" s="441">
        <v>1</v>
      </c>
      <c r="AK531" s="179">
        <f t="shared" si="24"/>
        <v>0</v>
      </c>
      <c r="AL531" s="85" t="s">
        <v>1541</v>
      </c>
      <c r="AM531" s="442"/>
      <c r="AN531" s="443"/>
      <c r="AO531" s="180"/>
    </row>
    <row r="532" spans="1:41" s="376" customFormat="1" ht="28.15" customHeight="1">
      <c r="A532" s="233">
        <v>542</v>
      </c>
      <c r="B532" s="497">
        <v>45000</v>
      </c>
      <c r="C532" s="307" t="s">
        <v>454</v>
      </c>
      <c r="D532" s="217"/>
      <c r="E532" s="217"/>
      <c r="F532" s="167" t="s">
        <v>1521</v>
      </c>
      <c r="G532" s="178" t="s">
        <v>1523</v>
      </c>
      <c r="H532" s="308">
        <v>269280</v>
      </c>
      <c r="I532" s="301" t="s">
        <v>1182</v>
      </c>
      <c r="J532" s="84"/>
      <c r="K532" s="84"/>
      <c r="L532" s="84"/>
      <c r="M532" s="84"/>
      <c r="N532" s="216"/>
      <c r="O532" s="391">
        <v>0</v>
      </c>
      <c r="P532" s="77">
        <v>0</v>
      </c>
      <c r="Q532" s="77">
        <v>0</v>
      </c>
      <c r="R532" s="77">
        <v>0</v>
      </c>
      <c r="S532" s="77">
        <v>0</v>
      </c>
      <c r="T532" s="77">
        <v>0</v>
      </c>
      <c r="U532" s="77">
        <v>0</v>
      </c>
      <c r="V532" s="77">
        <v>0</v>
      </c>
      <c r="W532" s="77">
        <v>0</v>
      </c>
      <c r="X532" s="77">
        <v>0</v>
      </c>
      <c r="Y532" s="77">
        <v>0</v>
      </c>
      <c r="Z532" s="392">
        <v>0</v>
      </c>
      <c r="AA532" s="132">
        <v>5</v>
      </c>
      <c r="AB532" s="438">
        <v>4</v>
      </c>
      <c r="AC532" s="439">
        <f t="shared" si="26"/>
        <v>1</v>
      </c>
      <c r="AD532" s="176">
        <v>45001</v>
      </c>
      <c r="AE532" s="177" t="s">
        <v>282</v>
      </c>
      <c r="AF532" s="84" t="s">
        <v>1531</v>
      </c>
      <c r="AG532" s="178"/>
      <c r="AH532" s="177"/>
      <c r="AI532" s="85" t="s">
        <v>1518</v>
      </c>
      <c r="AJ532" s="86" t="s">
        <v>1542</v>
      </c>
      <c r="AK532" s="179" t="e">
        <f t="shared" si="24"/>
        <v>#VALUE!</v>
      </c>
      <c r="AL532" s="85" t="s">
        <v>1543</v>
      </c>
      <c r="AM532" s="442"/>
      <c r="AN532" s="443"/>
      <c r="AO532" s="180"/>
    </row>
    <row r="533" spans="1:41" s="376" customFormat="1" ht="28.15" customHeight="1">
      <c r="A533" s="233">
        <v>543</v>
      </c>
      <c r="B533" s="497">
        <v>45000</v>
      </c>
      <c r="C533" s="307" t="s">
        <v>454</v>
      </c>
      <c r="D533" s="217"/>
      <c r="E533" s="377"/>
      <c r="F533" s="167" t="s">
        <v>1522</v>
      </c>
      <c r="G533" s="178" t="s">
        <v>1524</v>
      </c>
      <c r="H533" s="308">
        <v>269283</v>
      </c>
      <c r="I533" s="301" t="s">
        <v>1182</v>
      </c>
      <c r="J533" s="84"/>
      <c r="K533" s="84"/>
      <c r="L533" s="84"/>
      <c r="M533" s="84"/>
      <c r="N533" s="216"/>
      <c r="O533" s="391">
        <v>0</v>
      </c>
      <c r="P533" s="77">
        <v>0</v>
      </c>
      <c r="Q533" s="77">
        <v>0</v>
      </c>
      <c r="R533" s="77">
        <v>0</v>
      </c>
      <c r="S533" s="77">
        <v>0</v>
      </c>
      <c r="T533" s="77">
        <v>0</v>
      </c>
      <c r="U533" s="77">
        <v>0</v>
      </c>
      <c r="V533" s="77">
        <v>0</v>
      </c>
      <c r="W533" s="77">
        <v>0</v>
      </c>
      <c r="X533" s="77">
        <v>0</v>
      </c>
      <c r="Y533" s="77">
        <v>0</v>
      </c>
      <c r="Z533" s="392">
        <v>0</v>
      </c>
      <c r="AA533" s="132">
        <v>2</v>
      </c>
      <c r="AB533" s="438"/>
      <c r="AC533" s="439">
        <f t="shared" si="26"/>
        <v>2</v>
      </c>
      <c r="AD533" s="176">
        <v>45001</v>
      </c>
      <c r="AE533" s="177" t="s">
        <v>282</v>
      </c>
      <c r="AF533" s="84" t="s">
        <v>1531</v>
      </c>
      <c r="AG533" s="378"/>
      <c r="AH533" s="385"/>
      <c r="AI533" s="85" t="s">
        <v>1518</v>
      </c>
      <c r="AJ533" s="441">
        <v>2</v>
      </c>
      <c r="AK533" s="179">
        <f t="shared" si="24"/>
        <v>0</v>
      </c>
      <c r="AL533" s="85" t="s">
        <v>1562</v>
      </c>
      <c r="AM533" s="442"/>
      <c r="AN533" s="443"/>
      <c r="AO533" s="180"/>
    </row>
    <row r="534" spans="1:41" s="376" customFormat="1" ht="28.15" customHeight="1">
      <c r="A534" s="233">
        <v>544</v>
      </c>
      <c r="B534" s="497">
        <v>45000</v>
      </c>
      <c r="C534" s="307" t="s">
        <v>454</v>
      </c>
      <c r="D534" s="217"/>
      <c r="E534" s="217"/>
      <c r="F534" s="167" t="s">
        <v>1527</v>
      </c>
      <c r="G534" s="178" t="s">
        <v>1525</v>
      </c>
      <c r="H534" s="308">
        <v>263086</v>
      </c>
      <c r="I534" s="301" t="s">
        <v>1182</v>
      </c>
      <c r="J534" s="84"/>
      <c r="K534" s="84"/>
      <c r="L534" s="84"/>
      <c r="M534" s="84"/>
      <c r="N534" s="216"/>
      <c r="O534" s="391">
        <v>0</v>
      </c>
      <c r="P534" s="77">
        <v>0</v>
      </c>
      <c r="Q534" s="77">
        <v>0</v>
      </c>
      <c r="R534" s="77">
        <v>0</v>
      </c>
      <c r="S534" s="77">
        <v>0</v>
      </c>
      <c r="T534" s="77">
        <v>0</v>
      </c>
      <c r="U534" s="77">
        <v>0</v>
      </c>
      <c r="V534" s="77">
        <v>0</v>
      </c>
      <c r="W534" s="77">
        <v>0</v>
      </c>
      <c r="X534" s="77">
        <v>0</v>
      </c>
      <c r="Y534" s="77">
        <v>0</v>
      </c>
      <c r="Z534" s="392">
        <v>0</v>
      </c>
      <c r="AA534" s="132">
        <v>6</v>
      </c>
      <c r="AB534" s="438"/>
      <c r="AC534" s="439">
        <f t="shared" si="26"/>
        <v>6</v>
      </c>
      <c r="AD534" s="176">
        <v>45001</v>
      </c>
      <c r="AE534" s="177" t="s">
        <v>282</v>
      </c>
      <c r="AF534" s="84" t="s">
        <v>1531</v>
      </c>
      <c r="AG534" s="178"/>
      <c r="AH534" s="177"/>
      <c r="AI534" s="85" t="s">
        <v>1518</v>
      </c>
      <c r="AJ534" s="441">
        <v>6</v>
      </c>
      <c r="AK534" s="179">
        <f t="shared" si="24"/>
        <v>0</v>
      </c>
      <c r="AL534" s="85" t="s">
        <v>1538</v>
      </c>
      <c r="AM534" s="442"/>
      <c r="AN534" s="443"/>
      <c r="AO534" s="180"/>
    </row>
    <row r="535" spans="1:41" s="376" customFormat="1" ht="28.15" customHeight="1">
      <c r="A535" s="233">
        <v>545</v>
      </c>
      <c r="B535" s="497">
        <v>45000</v>
      </c>
      <c r="C535" s="307" t="s">
        <v>454</v>
      </c>
      <c r="D535" s="217"/>
      <c r="E535" s="217"/>
      <c r="F535" s="167" t="s">
        <v>1527</v>
      </c>
      <c r="G535" s="178" t="s">
        <v>1526</v>
      </c>
      <c r="H535" s="308">
        <v>263090</v>
      </c>
      <c r="I535" s="301" t="s">
        <v>1182</v>
      </c>
      <c r="J535" s="84"/>
      <c r="K535" s="84"/>
      <c r="L535" s="84"/>
      <c r="M535" s="84"/>
      <c r="N535" s="216"/>
      <c r="O535" s="391">
        <v>0</v>
      </c>
      <c r="P535" s="77">
        <v>0</v>
      </c>
      <c r="Q535" s="77">
        <v>0</v>
      </c>
      <c r="R535" s="77">
        <v>0</v>
      </c>
      <c r="S535" s="77">
        <v>0</v>
      </c>
      <c r="T535" s="77">
        <v>0</v>
      </c>
      <c r="U535" s="77">
        <v>0</v>
      </c>
      <c r="V535" s="77">
        <v>0</v>
      </c>
      <c r="W535" s="77">
        <v>0</v>
      </c>
      <c r="X535" s="77">
        <v>0</v>
      </c>
      <c r="Y535" s="77">
        <v>0</v>
      </c>
      <c r="Z535" s="392">
        <v>0</v>
      </c>
      <c r="AA535" s="132">
        <v>1</v>
      </c>
      <c r="AB535" s="438"/>
      <c r="AC535" s="439">
        <f t="shared" si="26"/>
        <v>1</v>
      </c>
      <c r="AD535" s="176">
        <v>45001</v>
      </c>
      <c r="AE535" s="177" t="s">
        <v>282</v>
      </c>
      <c r="AF535" s="84" t="s">
        <v>1531</v>
      </c>
      <c r="AG535" s="178"/>
      <c r="AH535" s="177"/>
      <c r="AI535" s="85" t="s">
        <v>1518</v>
      </c>
      <c r="AJ535" s="441">
        <v>1</v>
      </c>
      <c r="AK535" s="179">
        <f t="shared" si="24"/>
        <v>0</v>
      </c>
      <c r="AL535" s="85" t="s">
        <v>1538</v>
      </c>
      <c r="AM535" s="442"/>
      <c r="AN535" s="443"/>
      <c r="AO535" s="180"/>
    </row>
    <row r="536" spans="1:41" s="376" customFormat="1" ht="28.15" customHeight="1">
      <c r="A536" s="233">
        <v>546</v>
      </c>
      <c r="B536" s="502">
        <v>44945</v>
      </c>
      <c r="C536" s="467" t="s">
        <v>856</v>
      </c>
      <c r="D536" s="333" t="s">
        <v>915</v>
      </c>
      <c r="E536" s="217">
        <v>0</v>
      </c>
      <c r="F536" s="512" t="s">
        <v>916</v>
      </c>
      <c r="G536" s="334" t="s">
        <v>915</v>
      </c>
      <c r="H536" s="334" t="s">
        <v>915</v>
      </c>
      <c r="I536" s="471" t="s">
        <v>917</v>
      </c>
      <c r="J536" s="84" t="s">
        <v>251</v>
      </c>
      <c r="K536" s="84" t="s">
        <v>252</v>
      </c>
      <c r="L536" s="84" t="s">
        <v>252</v>
      </c>
      <c r="M536" s="84" t="s">
        <v>938</v>
      </c>
      <c r="N536" s="216" t="s">
        <v>1297</v>
      </c>
      <c r="O536" s="323">
        <v>0</v>
      </c>
      <c r="P536" s="151">
        <v>2</v>
      </c>
      <c r="Q536" s="151">
        <v>0</v>
      </c>
      <c r="R536" s="151">
        <v>0</v>
      </c>
      <c r="S536" s="151">
        <v>0</v>
      </c>
      <c r="T536" s="151">
        <v>0</v>
      </c>
      <c r="U536" s="151">
        <v>0</v>
      </c>
      <c r="V536" s="151">
        <f>0</f>
        <v>0</v>
      </c>
      <c r="W536" s="151">
        <v>0</v>
      </c>
      <c r="X536" s="151">
        <f>0</f>
        <v>0</v>
      </c>
      <c r="Y536" s="151">
        <f>0</f>
        <v>0</v>
      </c>
      <c r="Z536" s="200">
        <f>0</f>
        <v>0</v>
      </c>
      <c r="AA536" s="473">
        <f>SUM(O536:Z536)</f>
        <v>2</v>
      </c>
      <c r="AB536" s="335"/>
      <c r="AC536" s="336">
        <f t="shared" si="26"/>
        <v>2</v>
      </c>
      <c r="AD536" s="337">
        <v>44950</v>
      </c>
      <c r="AE536" s="338" t="s">
        <v>529</v>
      </c>
      <c r="AF536" s="334" t="s">
        <v>1397</v>
      </c>
      <c r="AG536" s="339"/>
      <c r="AH536" s="338" t="s">
        <v>1239</v>
      </c>
      <c r="AI536" s="340"/>
      <c r="AJ536" s="341"/>
      <c r="AK536" s="563">
        <f t="shared" si="24"/>
        <v>2</v>
      </c>
      <c r="AL536" s="340"/>
      <c r="AM536" s="342"/>
      <c r="AN536" s="343"/>
      <c r="AO536" s="344"/>
    </row>
    <row r="537" spans="1:41" ht="28.15" customHeight="1">
      <c r="G537" s="78"/>
      <c r="H537" s="78"/>
      <c r="I537" s="78"/>
    </row>
    <row r="538" spans="1:41" ht="28.15" customHeight="1">
      <c r="G538" s="78"/>
      <c r="H538" s="78"/>
      <c r="I538" s="78"/>
    </row>
    <row r="539" spans="1:41" ht="28.15" customHeight="1">
      <c r="G539" s="78"/>
      <c r="H539" s="78"/>
      <c r="I539" s="78"/>
    </row>
    <row r="540" spans="1:41" ht="28.15" customHeight="1">
      <c r="G540" s="78"/>
      <c r="H540" s="78"/>
      <c r="I540" s="78"/>
    </row>
    <row r="541" spans="1:41" ht="28.15" customHeight="1">
      <c r="G541" s="78"/>
      <c r="H541" s="78"/>
      <c r="I541" s="78"/>
    </row>
    <row r="542" spans="1:41" ht="28.15" customHeight="1">
      <c r="G542" s="78"/>
      <c r="H542" s="78"/>
      <c r="I542" s="78"/>
    </row>
  </sheetData>
  <sheetProtection formatCells="0" formatColumns="0" formatRows="0" insertColumns="0" insertRows="0" insertHyperlinks="0" deleteColumns="0" deleteRows="0" sort="0" autoFilter="0" pivotTables="0"/>
  <mergeCells count="6">
    <mergeCell ref="A2:Z3"/>
    <mergeCell ref="AA2:AC3"/>
    <mergeCell ref="AO2:AO3"/>
    <mergeCell ref="AD2:AI3"/>
    <mergeCell ref="AJ2:AL3"/>
    <mergeCell ref="AM2:AN3"/>
  </mergeCells>
  <phoneticPr fontId="3" type="noConversion"/>
  <conditionalFormatting sqref="O6:Z536">
    <cfRule type="cellIs" dxfId="71" priority="116" stopIfTrue="1" operator="equal">
      <formula>0</formula>
    </cfRule>
    <cfRule type="cellIs" dxfId="70" priority="142" stopIfTrue="1" operator="greaterThan">
      <formula>0</formula>
    </cfRule>
  </conditionalFormatting>
  <conditionalFormatting sqref="AB6:AB200">
    <cfRule type="cellIs" dxfId="69" priority="115" stopIfTrue="1" operator="equal">
      <formula>0</formula>
    </cfRule>
  </conditionalFormatting>
  <conditionalFormatting sqref="AK79:AK87 AK95:AK118 AK90:AK92 AK210:AK212 AK120:AK197 AK6:AK76">
    <cfRule type="cellIs" dxfId="68" priority="113" stopIfTrue="1" operator="greaterThan">
      <formula>0</formula>
    </cfRule>
    <cfRule type="cellIs" dxfId="67" priority="114" stopIfTrue="1" operator="equal">
      <formula>0</formula>
    </cfRule>
  </conditionalFormatting>
  <conditionalFormatting sqref="O6:Z536">
    <cfRule type="cellIs" dxfId="66" priority="4" stopIfTrue="1" operator="greaterThan">
      <formula>0</formula>
    </cfRule>
  </conditionalFormatting>
  <hyperlinks>
    <hyperlink ref="H167" r:id="rId1"/>
  </hyperlinks>
  <printOptions horizontalCentered="1" verticalCentered="1"/>
  <pageMargins left="0.25" right="0.25" top="0.75" bottom="0.75" header="0.3" footer="0.3"/>
  <pageSetup paperSize="8" scale="36" orientation="portrait" useFirstPageNumber="1" horizontalDpi="300" verticalDpi="300" r:id="rId2"/>
  <headerFooter alignWithMargins="0">
    <oddFooter>&amp;CStrona &amp;P z &amp;N</oddFooter>
  </headerFooter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/>
  <dimension ref="A1:S603"/>
  <sheetViews>
    <sheetView topLeftCell="M8" workbookViewId="0">
      <selection activeCell="S140" sqref="S140"/>
    </sheetView>
  </sheetViews>
  <sheetFormatPr defaultColWidth="15.7265625" defaultRowHeight="12.5"/>
  <cols>
    <col min="1" max="1" width="5.7265625" customWidth="1"/>
    <col min="5" max="5" width="25.26953125" customWidth="1"/>
    <col min="7" max="7" width="16.26953125" customWidth="1"/>
    <col min="8" max="8" width="19.7265625" customWidth="1"/>
    <col min="9" max="9" width="0" hidden="1" customWidth="1"/>
    <col min="10" max="10" width="15.7265625" hidden="1" customWidth="1"/>
    <col min="11" max="11" width="9.7265625" customWidth="1"/>
    <col min="12" max="12" width="15.453125" customWidth="1"/>
    <col min="14" max="14" width="34.453125" customWidth="1"/>
    <col min="15" max="15" width="17.1796875" bestFit="1" customWidth="1"/>
    <col min="17" max="17" width="52.81640625" customWidth="1"/>
    <col min="18" max="18" width="23.81640625" customWidth="1"/>
    <col min="19" max="19" width="52.26953125" customWidth="1"/>
  </cols>
  <sheetData>
    <row r="1" spans="1:19" ht="15.5">
      <c r="A1" s="597" t="s">
        <v>54</v>
      </c>
      <c r="B1" s="597"/>
      <c r="C1" s="597"/>
      <c r="D1" s="597"/>
      <c r="E1" s="597"/>
      <c r="F1" s="597"/>
      <c r="G1" s="597"/>
      <c r="H1" s="597"/>
      <c r="I1" s="597"/>
      <c r="J1" s="597"/>
      <c r="K1" s="597"/>
      <c r="L1" s="597"/>
      <c r="M1" s="597"/>
      <c r="N1" s="597"/>
      <c r="O1" s="598" t="s">
        <v>55</v>
      </c>
      <c r="P1" s="598"/>
      <c r="Q1" s="598"/>
      <c r="R1" s="598"/>
      <c r="S1" s="598"/>
    </row>
    <row r="2" spans="1:19" ht="26">
      <c r="A2" s="51" t="s">
        <v>14</v>
      </c>
      <c r="B2" s="51" t="s">
        <v>56</v>
      </c>
      <c r="C2" s="51" t="s">
        <v>22</v>
      </c>
      <c r="D2" s="51" t="s">
        <v>39</v>
      </c>
      <c r="E2" s="51" t="s">
        <v>64</v>
      </c>
      <c r="F2" s="51" t="s">
        <v>62</v>
      </c>
      <c r="G2" s="51" t="s">
        <v>67</v>
      </c>
      <c r="H2" s="51" t="s">
        <v>63</v>
      </c>
      <c r="I2" s="51" t="s">
        <v>61</v>
      </c>
      <c r="J2" s="51" t="s">
        <v>65</v>
      </c>
      <c r="K2" s="51" t="s">
        <v>40</v>
      </c>
      <c r="L2" s="51" t="s">
        <v>66</v>
      </c>
      <c r="M2" s="51" t="s">
        <v>57</v>
      </c>
      <c r="N2" s="51" t="s">
        <v>58</v>
      </c>
      <c r="O2" s="52" t="s">
        <v>18</v>
      </c>
      <c r="P2" s="52" t="s">
        <v>16</v>
      </c>
      <c r="Q2" s="52" t="s">
        <v>17</v>
      </c>
      <c r="R2" s="52" t="s">
        <v>59</v>
      </c>
      <c r="S2" s="52" t="s">
        <v>20</v>
      </c>
    </row>
    <row r="3" spans="1:19" ht="17">
      <c r="A3" s="53"/>
      <c r="B3" s="53"/>
      <c r="C3" s="53"/>
      <c r="D3" s="54"/>
      <c r="E3" s="54"/>
      <c r="F3" s="55"/>
      <c r="G3" s="55"/>
      <c r="H3" s="56"/>
      <c r="I3" s="56"/>
      <c r="J3" s="57"/>
      <c r="K3" s="57"/>
      <c r="L3" s="57"/>
      <c r="M3" s="56"/>
      <c r="N3" s="58"/>
      <c r="O3" s="59"/>
      <c r="P3" s="60"/>
      <c r="Q3" s="60"/>
      <c r="R3" s="60"/>
      <c r="S3" s="61"/>
    </row>
    <row r="4" spans="1:19">
      <c r="A4" s="62">
        <v>1</v>
      </c>
      <c r="B4" s="80"/>
      <c r="C4" s="79"/>
      <c r="D4" s="126"/>
      <c r="E4" s="126"/>
      <c r="F4" s="81"/>
      <c r="G4" s="81"/>
      <c r="H4" s="127"/>
      <c r="I4" s="81"/>
      <c r="J4" s="80"/>
      <c r="K4" s="80"/>
      <c r="L4" s="80"/>
      <c r="M4" s="81"/>
      <c r="N4" s="82"/>
      <c r="O4" s="128"/>
      <c r="P4" s="66"/>
      <c r="Q4" s="66"/>
      <c r="R4" s="65"/>
      <c r="S4" s="64"/>
    </row>
    <row r="5" spans="1:19" s="325" customFormat="1" ht="14.5">
      <c r="A5" s="351">
        <v>2</v>
      </c>
      <c r="B5" s="352">
        <v>44903</v>
      </c>
      <c r="C5" s="352" t="s">
        <v>372</v>
      </c>
      <c r="D5" s="353" t="s">
        <v>371</v>
      </c>
      <c r="E5" s="353">
        <v>0</v>
      </c>
      <c r="F5" s="353">
        <v>400</v>
      </c>
      <c r="G5" s="353" t="s">
        <v>368</v>
      </c>
      <c r="H5" s="353" t="s">
        <v>368</v>
      </c>
      <c r="I5" s="353" t="s">
        <v>369</v>
      </c>
      <c r="J5" s="354"/>
      <c r="K5" s="354"/>
      <c r="L5" s="354"/>
      <c r="M5" s="353">
        <v>1</v>
      </c>
      <c r="N5" s="355" t="s">
        <v>373</v>
      </c>
      <c r="O5" s="347">
        <v>44966</v>
      </c>
      <c r="P5" s="348" t="s">
        <v>239</v>
      </c>
      <c r="Q5" s="346" t="s">
        <v>1405</v>
      </c>
      <c r="R5" s="349"/>
      <c r="S5" s="350" t="s">
        <v>1477</v>
      </c>
    </row>
    <row r="6" spans="1:19" s="325" customFormat="1" ht="14.5">
      <c r="A6" s="351">
        <v>3</v>
      </c>
      <c r="B6" s="352">
        <v>44903</v>
      </c>
      <c r="C6" s="352" t="s">
        <v>372</v>
      </c>
      <c r="D6" s="353" t="s">
        <v>388</v>
      </c>
      <c r="E6" s="353"/>
      <c r="F6" s="353">
        <v>507</v>
      </c>
      <c r="G6" s="353"/>
      <c r="H6" s="353" t="s">
        <v>389</v>
      </c>
      <c r="I6" s="353" t="s">
        <v>369</v>
      </c>
      <c r="J6" s="354"/>
      <c r="K6" s="354"/>
      <c r="L6" s="354"/>
      <c r="M6" s="353">
        <v>2</v>
      </c>
      <c r="N6" s="355" t="s">
        <v>373</v>
      </c>
      <c r="O6" s="347">
        <v>44966</v>
      </c>
      <c r="P6" s="348" t="s">
        <v>239</v>
      </c>
      <c r="Q6" s="346" t="s">
        <v>1405</v>
      </c>
      <c r="R6" s="349"/>
      <c r="S6" s="324"/>
    </row>
    <row r="7" spans="1:19" s="325" customFormat="1" ht="14.5">
      <c r="A7" s="351">
        <v>4</v>
      </c>
      <c r="B7" s="352">
        <v>44903</v>
      </c>
      <c r="C7" s="352" t="s">
        <v>372</v>
      </c>
      <c r="D7" s="353" t="s">
        <v>388</v>
      </c>
      <c r="E7" s="353"/>
      <c r="F7" s="353">
        <v>470</v>
      </c>
      <c r="G7" s="353"/>
      <c r="H7" s="353" t="s">
        <v>389</v>
      </c>
      <c r="I7" s="353" t="s">
        <v>369</v>
      </c>
      <c r="J7" s="354"/>
      <c r="K7" s="354"/>
      <c r="L7" s="354"/>
      <c r="M7" s="353">
        <v>1</v>
      </c>
      <c r="N7" s="355" t="s">
        <v>373</v>
      </c>
      <c r="O7" s="347">
        <v>44966</v>
      </c>
      <c r="P7" s="348" t="s">
        <v>239</v>
      </c>
      <c r="Q7" s="346" t="s">
        <v>1405</v>
      </c>
      <c r="R7" s="349"/>
      <c r="S7" s="324"/>
    </row>
    <row r="8" spans="1:19" s="325" customFormat="1" ht="14.5">
      <c r="A8" s="351">
        <v>5</v>
      </c>
      <c r="B8" s="352">
        <v>44903</v>
      </c>
      <c r="C8" s="352" t="s">
        <v>372</v>
      </c>
      <c r="D8" s="353" t="s">
        <v>388</v>
      </c>
      <c r="E8" s="353"/>
      <c r="F8" s="353">
        <v>630</v>
      </c>
      <c r="G8" s="353"/>
      <c r="H8" s="353" t="s">
        <v>389</v>
      </c>
      <c r="I8" s="353" t="s">
        <v>369</v>
      </c>
      <c r="J8" s="354"/>
      <c r="K8" s="354"/>
      <c r="L8" s="354"/>
      <c r="M8" s="353">
        <v>2</v>
      </c>
      <c r="N8" s="355" t="s">
        <v>373</v>
      </c>
      <c r="O8" s="347">
        <v>44966</v>
      </c>
      <c r="P8" s="348" t="s">
        <v>239</v>
      </c>
      <c r="Q8" s="346" t="s">
        <v>1405</v>
      </c>
      <c r="R8" s="349"/>
      <c r="S8" s="324"/>
    </row>
    <row r="9" spans="1:19" s="325" customFormat="1" ht="14.5">
      <c r="A9" s="351">
        <v>6</v>
      </c>
      <c r="B9" s="352">
        <v>44903</v>
      </c>
      <c r="C9" s="352" t="s">
        <v>372</v>
      </c>
      <c r="D9" s="353" t="s">
        <v>388</v>
      </c>
      <c r="E9" s="353"/>
      <c r="F9" s="353">
        <v>400</v>
      </c>
      <c r="G9" s="353"/>
      <c r="H9" s="353" t="s">
        <v>389</v>
      </c>
      <c r="I9" s="353" t="s">
        <v>369</v>
      </c>
      <c r="J9" s="354"/>
      <c r="K9" s="354"/>
      <c r="L9" s="354"/>
      <c r="M9" s="353">
        <v>3</v>
      </c>
      <c r="N9" s="355" t="s">
        <v>373</v>
      </c>
      <c r="O9" s="347">
        <v>44966</v>
      </c>
      <c r="P9" s="348" t="s">
        <v>239</v>
      </c>
      <c r="Q9" s="346" t="s">
        <v>1405</v>
      </c>
      <c r="R9" s="349"/>
      <c r="S9" s="324"/>
    </row>
    <row r="10" spans="1:19" s="325" customFormat="1" ht="14.5">
      <c r="A10" s="351">
        <v>7</v>
      </c>
      <c r="B10" s="352">
        <v>44903</v>
      </c>
      <c r="C10" s="352" t="s">
        <v>372</v>
      </c>
      <c r="D10" s="353" t="s">
        <v>388</v>
      </c>
      <c r="E10" s="353"/>
      <c r="F10" s="353">
        <v>510</v>
      </c>
      <c r="G10" s="353"/>
      <c r="H10" s="353" t="s">
        <v>389</v>
      </c>
      <c r="I10" s="353" t="s">
        <v>369</v>
      </c>
      <c r="J10" s="354"/>
      <c r="K10" s="354"/>
      <c r="L10" s="354"/>
      <c r="M10" s="353">
        <v>2</v>
      </c>
      <c r="N10" s="355" t="s">
        <v>373</v>
      </c>
      <c r="O10" s="347">
        <v>44966</v>
      </c>
      <c r="P10" s="348" t="s">
        <v>239</v>
      </c>
      <c r="Q10" s="346" t="s">
        <v>1405</v>
      </c>
      <c r="R10" s="349"/>
      <c r="S10" s="324"/>
    </row>
    <row r="11" spans="1:19" s="325" customFormat="1" ht="14.5">
      <c r="A11" s="351">
        <v>8</v>
      </c>
      <c r="B11" s="352">
        <v>44903</v>
      </c>
      <c r="C11" s="352" t="s">
        <v>372</v>
      </c>
      <c r="D11" s="353" t="s">
        <v>388</v>
      </c>
      <c r="E11" s="353"/>
      <c r="F11" s="353">
        <v>400</v>
      </c>
      <c r="G11" s="353"/>
      <c r="H11" s="353" t="s">
        <v>389</v>
      </c>
      <c r="I11" s="353" t="s">
        <v>369</v>
      </c>
      <c r="J11" s="354"/>
      <c r="K11" s="354"/>
      <c r="L11" s="354"/>
      <c r="M11" s="353">
        <v>6</v>
      </c>
      <c r="N11" s="355" t="s">
        <v>373</v>
      </c>
      <c r="O11" s="347">
        <v>44966</v>
      </c>
      <c r="P11" s="348" t="s">
        <v>239</v>
      </c>
      <c r="Q11" s="346" t="s">
        <v>1405</v>
      </c>
      <c r="R11" s="349"/>
      <c r="S11" s="324"/>
    </row>
    <row r="12" spans="1:19" s="325" customFormat="1" ht="14.5">
      <c r="A12" s="351">
        <v>9</v>
      </c>
      <c r="B12" s="352">
        <v>44903</v>
      </c>
      <c r="C12" s="352" t="s">
        <v>372</v>
      </c>
      <c r="D12" s="353" t="s">
        <v>388</v>
      </c>
      <c r="E12" s="353"/>
      <c r="F12" s="353">
        <v>630</v>
      </c>
      <c r="G12" s="353"/>
      <c r="H12" s="353" t="s">
        <v>389</v>
      </c>
      <c r="I12" s="353" t="s">
        <v>369</v>
      </c>
      <c r="J12" s="354"/>
      <c r="K12" s="354"/>
      <c r="L12" s="354"/>
      <c r="M12" s="353">
        <v>6</v>
      </c>
      <c r="N12" s="355" t="s">
        <v>373</v>
      </c>
      <c r="O12" s="347">
        <v>44966</v>
      </c>
      <c r="P12" s="348" t="s">
        <v>239</v>
      </c>
      <c r="Q12" s="346" t="s">
        <v>1405</v>
      </c>
      <c r="R12" s="349"/>
      <c r="S12" s="324"/>
    </row>
    <row r="13" spans="1:19" s="325" customFormat="1" ht="14.5">
      <c r="A13" s="351">
        <v>10</v>
      </c>
      <c r="B13" s="352">
        <v>44903</v>
      </c>
      <c r="C13" s="352" t="s">
        <v>372</v>
      </c>
      <c r="D13" s="353" t="s">
        <v>388</v>
      </c>
      <c r="E13" s="353"/>
      <c r="F13" s="353">
        <v>520</v>
      </c>
      <c r="G13" s="353"/>
      <c r="H13" s="353" t="s">
        <v>389</v>
      </c>
      <c r="I13" s="353" t="s">
        <v>369</v>
      </c>
      <c r="J13" s="354"/>
      <c r="K13" s="354"/>
      <c r="L13" s="354"/>
      <c r="M13" s="353">
        <v>4</v>
      </c>
      <c r="N13" s="355" t="s">
        <v>373</v>
      </c>
      <c r="O13" s="347">
        <v>44966</v>
      </c>
      <c r="P13" s="348" t="s">
        <v>239</v>
      </c>
      <c r="Q13" s="346" t="s">
        <v>1405</v>
      </c>
      <c r="R13" s="356"/>
      <c r="S13" s="326"/>
    </row>
    <row r="14" spans="1:19" s="325" customFormat="1" ht="14.5">
      <c r="A14" s="351">
        <v>11</v>
      </c>
      <c r="B14" s="352">
        <v>44909</v>
      </c>
      <c r="C14" s="352" t="s">
        <v>372</v>
      </c>
      <c r="D14" s="353" t="s">
        <v>526</v>
      </c>
      <c r="E14" s="353"/>
      <c r="F14" s="353">
        <v>120</v>
      </c>
      <c r="G14" s="353"/>
      <c r="H14" s="353" t="s">
        <v>527</v>
      </c>
      <c r="I14" s="353" t="s">
        <v>369</v>
      </c>
      <c r="J14" s="354"/>
      <c r="K14" s="354"/>
      <c r="L14" s="354"/>
      <c r="M14" s="353">
        <v>2</v>
      </c>
      <c r="N14" s="355" t="s">
        <v>525</v>
      </c>
      <c r="O14" s="347">
        <v>44966</v>
      </c>
      <c r="P14" s="348" t="s">
        <v>239</v>
      </c>
      <c r="Q14" s="346" t="s">
        <v>1405</v>
      </c>
      <c r="R14" s="356"/>
      <c r="S14" s="326"/>
    </row>
    <row r="15" spans="1:19" s="325" customFormat="1" ht="14.5">
      <c r="A15" s="351">
        <v>12</v>
      </c>
      <c r="B15" s="352">
        <v>44916</v>
      </c>
      <c r="C15" s="352" t="s">
        <v>306</v>
      </c>
      <c r="D15" s="353" t="s">
        <v>602</v>
      </c>
      <c r="E15" s="353"/>
      <c r="F15" s="353">
        <v>420</v>
      </c>
      <c r="G15" s="353"/>
      <c r="H15" s="353">
        <v>3842501574</v>
      </c>
      <c r="I15" s="353" t="s">
        <v>255</v>
      </c>
      <c r="J15" s="354"/>
      <c r="K15" s="354"/>
      <c r="L15" s="354"/>
      <c r="M15" s="353">
        <v>2</v>
      </c>
      <c r="N15" s="355" t="s">
        <v>603</v>
      </c>
      <c r="O15" s="347">
        <v>44966</v>
      </c>
      <c r="P15" s="348" t="s">
        <v>239</v>
      </c>
      <c r="Q15" s="346" t="s">
        <v>1405</v>
      </c>
      <c r="R15" s="356"/>
      <c r="S15" s="326"/>
    </row>
    <row r="16" spans="1:19" s="325" customFormat="1" ht="14.5">
      <c r="A16" s="351">
        <v>13</v>
      </c>
      <c r="B16" s="352">
        <v>44916</v>
      </c>
      <c r="C16" s="352" t="s">
        <v>306</v>
      </c>
      <c r="D16" s="353" t="s">
        <v>602</v>
      </c>
      <c r="E16" s="353"/>
      <c r="F16" s="353">
        <v>546</v>
      </c>
      <c r="G16" s="353"/>
      <c r="H16" s="353">
        <v>3842501574</v>
      </c>
      <c r="I16" s="353" t="s">
        <v>255</v>
      </c>
      <c r="J16" s="354"/>
      <c r="K16" s="354"/>
      <c r="L16" s="354"/>
      <c r="M16" s="353">
        <v>2</v>
      </c>
      <c r="N16" s="355" t="s">
        <v>603</v>
      </c>
      <c r="O16" s="347">
        <v>44966</v>
      </c>
      <c r="P16" s="348" t="s">
        <v>239</v>
      </c>
      <c r="Q16" s="346" t="s">
        <v>1405</v>
      </c>
      <c r="R16" s="356"/>
      <c r="S16" s="326"/>
    </row>
    <row r="17" spans="1:19" s="325" customFormat="1" ht="14.5">
      <c r="A17" s="351">
        <v>14</v>
      </c>
      <c r="B17" s="352">
        <v>44916</v>
      </c>
      <c r="C17" s="352" t="s">
        <v>306</v>
      </c>
      <c r="D17" s="353" t="s">
        <v>602</v>
      </c>
      <c r="E17" s="353"/>
      <c r="F17" s="353">
        <v>650</v>
      </c>
      <c r="G17" s="353"/>
      <c r="H17" s="353">
        <v>3842501574</v>
      </c>
      <c r="I17" s="353" t="s">
        <v>255</v>
      </c>
      <c r="J17" s="354"/>
      <c r="K17" s="354"/>
      <c r="L17" s="354"/>
      <c r="M17" s="353">
        <v>2</v>
      </c>
      <c r="N17" s="355" t="s">
        <v>603</v>
      </c>
      <c r="O17" s="347">
        <v>44966</v>
      </c>
      <c r="P17" s="348" t="s">
        <v>239</v>
      </c>
      <c r="Q17" s="346" t="s">
        <v>1405</v>
      </c>
      <c r="R17" s="356"/>
      <c r="S17" s="326"/>
    </row>
    <row r="18" spans="1:19" s="325" customFormat="1" ht="14.5">
      <c r="A18" s="351">
        <v>15</v>
      </c>
      <c r="B18" s="352">
        <v>44916</v>
      </c>
      <c r="C18" s="352" t="s">
        <v>306</v>
      </c>
      <c r="D18" s="353" t="s">
        <v>602</v>
      </c>
      <c r="E18" s="353"/>
      <c r="F18" s="353">
        <v>986</v>
      </c>
      <c r="G18" s="353"/>
      <c r="H18" s="353">
        <v>3842501574</v>
      </c>
      <c r="I18" s="353" t="s">
        <v>255</v>
      </c>
      <c r="J18" s="354"/>
      <c r="K18" s="354"/>
      <c r="L18" s="354"/>
      <c r="M18" s="353">
        <v>2</v>
      </c>
      <c r="N18" s="355" t="s">
        <v>603</v>
      </c>
      <c r="O18" s="347">
        <v>44966</v>
      </c>
      <c r="P18" s="348" t="s">
        <v>239</v>
      </c>
      <c r="Q18" s="346" t="s">
        <v>1405</v>
      </c>
      <c r="R18" s="356"/>
      <c r="S18" s="326"/>
    </row>
    <row r="19" spans="1:19" s="325" customFormat="1" ht="14.5">
      <c r="A19" s="351">
        <v>16</v>
      </c>
      <c r="B19" s="352">
        <v>44916</v>
      </c>
      <c r="C19" s="352" t="s">
        <v>306</v>
      </c>
      <c r="D19" s="353" t="s">
        <v>388</v>
      </c>
      <c r="E19" s="353"/>
      <c r="F19" s="353">
        <v>720</v>
      </c>
      <c r="G19" s="353"/>
      <c r="H19" s="353" t="s">
        <v>389</v>
      </c>
      <c r="I19" s="353" t="s">
        <v>255</v>
      </c>
      <c r="J19" s="354"/>
      <c r="K19" s="354"/>
      <c r="L19" s="354"/>
      <c r="M19" s="353">
        <v>4</v>
      </c>
      <c r="N19" s="355" t="s">
        <v>603</v>
      </c>
      <c r="O19" s="347">
        <v>44966</v>
      </c>
      <c r="P19" s="348" t="s">
        <v>239</v>
      </c>
      <c r="Q19" s="346" t="s">
        <v>1405</v>
      </c>
      <c r="R19" s="356"/>
      <c r="S19" s="326"/>
    </row>
    <row r="20" spans="1:19" s="325" customFormat="1" ht="14.5">
      <c r="A20" s="351">
        <v>17</v>
      </c>
      <c r="B20" s="352">
        <v>44916</v>
      </c>
      <c r="C20" s="352" t="s">
        <v>306</v>
      </c>
      <c r="D20" s="353" t="s">
        <v>388</v>
      </c>
      <c r="E20" s="353"/>
      <c r="F20" s="353">
        <v>109</v>
      </c>
      <c r="G20" s="353"/>
      <c r="H20" s="353" t="s">
        <v>389</v>
      </c>
      <c r="I20" s="353" t="s">
        <v>255</v>
      </c>
      <c r="J20" s="354"/>
      <c r="K20" s="354"/>
      <c r="L20" s="354"/>
      <c r="M20" s="353">
        <v>2</v>
      </c>
      <c r="N20" s="355" t="s">
        <v>603</v>
      </c>
      <c r="O20" s="347">
        <v>44966</v>
      </c>
      <c r="P20" s="348" t="s">
        <v>239</v>
      </c>
      <c r="Q20" s="346" t="s">
        <v>1405</v>
      </c>
      <c r="R20" s="356"/>
      <c r="S20" s="326"/>
    </row>
    <row r="21" spans="1:19" s="325" customFormat="1" ht="14.5">
      <c r="A21" s="351">
        <v>18</v>
      </c>
      <c r="B21" s="352">
        <v>44916</v>
      </c>
      <c r="C21" s="352" t="s">
        <v>306</v>
      </c>
      <c r="D21" s="353" t="s">
        <v>388</v>
      </c>
      <c r="E21" s="353"/>
      <c r="F21" s="353">
        <v>1416</v>
      </c>
      <c r="G21" s="353"/>
      <c r="H21" s="353" t="s">
        <v>389</v>
      </c>
      <c r="I21" s="353" t="s">
        <v>255</v>
      </c>
      <c r="J21" s="354"/>
      <c r="K21" s="354"/>
      <c r="L21" s="354"/>
      <c r="M21" s="353">
        <v>4</v>
      </c>
      <c r="N21" s="355" t="s">
        <v>603</v>
      </c>
      <c r="O21" s="347">
        <v>44966</v>
      </c>
      <c r="P21" s="348" t="s">
        <v>239</v>
      </c>
      <c r="Q21" s="346" t="s">
        <v>1405</v>
      </c>
      <c r="R21" s="356"/>
      <c r="S21" s="326"/>
    </row>
    <row r="22" spans="1:19" s="325" customFormat="1" ht="14.5">
      <c r="A22" s="351">
        <v>19</v>
      </c>
      <c r="B22" s="352">
        <v>44916</v>
      </c>
      <c r="C22" s="352" t="s">
        <v>306</v>
      </c>
      <c r="D22" s="353" t="s">
        <v>388</v>
      </c>
      <c r="E22" s="353"/>
      <c r="F22" s="353">
        <v>350</v>
      </c>
      <c r="G22" s="353"/>
      <c r="H22" s="353" t="s">
        <v>389</v>
      </c>
      <c r="I22" s="353" t="s">
        <v>255</v>
      </c>
      <c r="J22" s="354"/>
      <c r="K22" s="354"/>
      <c r="L22" s="354"/>
      <c r="M22" s="353">
        <v>4</v>
      </c>
      <c r="N22" s="355" t="s">
        <v>603</v>
      </c>
      <c r="O22" s="347">
        <v>44966</v>
      </c>
      <c r="P22" s="348" t="s">
        <v>239</v>
      </c>
      <c r="Q22" s="346" t="s">
        <v>1405</v>
      </c>
      <c r="R22" s="356"/>
      <c r="S22" s="326"/>
    </row>
    <row r="23" spans="1:19" s="325" customFormat="1" ht="14.5">
      <c r="A23" s="351">
        <v>20</v>
      </c>
      <c r="B23" s="352">
        <v>44924</v>
      </c>
      <c r="C23" s="352" t="s">
        <v>614</v>
      </c>
      <c r="D23" s="357" t="s">
        <v>526</v>
      </c>
      <c r="E23" s="357"/>
      <c r="F23" s="357">
        <v>423</v>
      </c>
      <c r="G23" s="357"/>
      <c r="H23" s="357" t="s">
        <v>652</v>
      </c>
      <c r="I23" s="353" t="s">
        <v>255</v>
      </c>
      <c r="J23" s="357"/>
      <c r="K23" s="357"/>
      <c r="L23" s="357"/>
      <c r="M23" s="357">
        <v>6</v>
      </c>
      <c r="N23" s="355" t="s">
        <v>653</v>
      </c>
      <c r="O23" s="347">
        <v>44966</v>
      </c>
      <c r="P23" s="348" t="s">
        <v>239</v>
      </c>
      <c r="Q23" s="346" t="s">
        <v>1405</v>
      </c>
      <c r="R23" s="356"/>
      <c r="S23" s="326"/>
    </row>
    <row r="24" spans="1:19" s="325" customFormat="1" ht="14.5">
      <c r="A24" s="351">
        <v>21</v>
      </c>
      <c r="B24" s="352">
        <v>44924</v>
      </c>
      <c r="C24" s="352" t="s">
        <v>614</v>
      </c>
      <c r="D24" s="357" t="s">
        <v>526</v>
      </c>
      <c r="E24" s="357"/>
      <c r="F24" s="357">
        <v>1320</v>
      </c>
      <c r="G24" s="357"/>
      <c r="H24" s="357" t="s">
        <v>652</v>
      </c>
      <c r="I24" s="353" t="s">
        <v>255</v>
      </c>
      <c r="J24" s="357"/>
      <c r="K24" s="357"/>
      <c r="L24" s="357"/>
      <c r="M24" s="357">
        <v>4</v>
      </c>
      <c r="N24" s="355" t="s">
        <v>653</v>
      </c>
      <c r="O24" s="347">
        <v>44966</v>
      </c>
      <c r="P24" s="348" t="s">
        <v>239</v>
      </c>
      <c r="Q24" s="346" t="s">
        <v>1405</v>
      </c>
      <c r="R24" s="356"/>
      <c r="S24" s="326"/>
    </row>
    <row r="25" spans="1:19" s="325" customFormat="1" ht="17">
      <c r="A25" s="351">
        <v>22</v>
      </c>
      <c r="B25" s="352">
        <v>44924</v>
      </c>
      <c r="C25" s="352" t="s">
        <v>614</v>
      </c>
      <c r="D25" s="357" t="s">
        <v>526</v>
      </c>
      <c r="E25" s="482" t="s">
        <v>1581</v>
      </c>
      <c r="F25" s="357">
        <v>423</v>
      </c>
      <c r="G25" s="358"/>
      <c r="H25" s="357" t="s">
        <v>652</v>
      </c>
      <c r="I25" s="353" t="s">
        <v>255</v>
      </c>
      <c r="J25" s="357"/>
      <c r="K25" s="357"/>
      <c r="L25" s="357"/>
      <c r="M25" s="357">
        <v>3</v>
      </c>
      <c r="N25" s="355" t="s">
        <v>654</v>
      </c>
      <c r="O25" s="347">
        <v>44966</v>
      </c>
      <c r="P25" s="348" t="s">
        <v>239</v>
      </c>
      <c r="Q25" s="346" t="s">
        <v>1405</v>
      </c>
      <c r="R25" s="356"/>
      <c r="S25" s="326"/>
    </row>
    <row r="26" spans="1:19" s="325" customFormat="1" ht="14.5">
      <c r="A26" s="351">
        <v>23</v>
      </c>
      <c r="B26" s="352">
        <v>44924</v>
      </c>
      <c r="C26" s="352" t="s">
        <v>614</v>
      </c>
      <c r="D26" s="357" t="s">
        <v>526</v>
      </c>
      <c r="E26" s="357"/>
      <c r="F26" s="357">
        <v>1320</v>
      </c>
      <c r="G26" s="357"/>
      <c r="H26" s="357" t="s">
        <v>652</v>
      </c>
      <c r="I26" s="353" t="s">
        <v>255</v>
      </c>
      <c r="J26" s="357"/>
      <c r="K26" s="357"/>
      <c r="L26" s="357"/>
      <c r="M26" s="357">
        <v>2</v>
      </c>
      <c r="N26" s="355" t="s">
        <v>654</v>
      </c>
      <c r="O26" s="347">
        <v>44966</v>
      </c>
      <c r="P26" s="348" t="s">
        <v>239</v>
      </c>
      <c r="Q26" s="346" t="s">
        <v>1405</v>
      </c>
      <c r="R26" s="356"/>
      <c r="S26" s="326"/>
    </row>
    <row r="27" spans="1:19" s="325" customFormat="1" ht="14.5">
      <c r="A27" s="351">
        <v>24</v>
      </c>
      <c r="B27" s="352">
        <v>44924</v>
      </c>
      <c r="C27" s="352" t="s">
        <v>614</v>
      </c>
      <c r="D27" s="357" t="s">
        <v>388</v>
      </c>
      <c r="E27" s="357" t="s">
        <v>1582</v>
      </c>
      <c r="F27" s="357">
        <v>280</v>
      </c>
      <c r="G27" s="357" t="s">
        <v>389</v>
      </c>
      <c r="H27" s="353" t="s">
        <v>389</v>
      </c>
      <c r="I27" s="357" t="s">
        <v>255</v>
      </c>
      <c r="J27" s="357"/>
      <c r="K27" s="357"/>
      <c r="L27" s="357"/>
      <c r="M27" s="357">
        <v>4</v>
      </c>
      <c r="N27" s="355" t="s">
        <v>660</v>
      </c>
      <c r="O27" s="347">
        <v>44966</v>
      </c>
      <c r="P27" s="348" t="s">
        <v>239</v>
      </c>
      <c r="Q27" s="346" t="s">
        <v>1405</v>
      </c>
      <c r="R27" s="356"/>
      <c r="S27" s="326"/>
    </row>
    <row r="28" spans="1:19" s="325" customFormat="1" ht="14.5">
      <c r="A28" s="351">
        <v>25</v>
      </c>
      <c r="B28" s="359">
        <v>44924</v>
      </c>
      <c r="C28" s="359" t="s">
        <v>614</v>
      </c>
      <c r="D28" s="357" t="s">
        <v>388</v>
      </c>
      <c r="E28" s="357"/>
      <c r="F28" s="357">
        <v>620</v>
      </c>
      <c r="G28" s="357" t="s">
        <v>389</v>
      </c>
      <c r="H28" s="353" t="s">
        <v>389</v>
      </c>
      <c r="I28" s="357" t="s">
        <v>255</v>
      </c>
      <c r="J28" s="357"/>
      <c r="K28" s="357"/>
      <c r="L28" s="357"/>
      <c r="M28" s="357">
        <v>2</v>
      </c>
      <c r="N28" s="360" t="s">
        <v>660</v>
      </c>
      <c r="O28" s="347">
        <v>44966</v>
      </c>
      <c r="P28" s="348" t="s">
        <v>239</v>
      </c>
      <c r="Q28" s="346" t="s">
        <v>1405</v>
      </c>
      <c r="R28" s="356"/>
      <c r="S28" s="326"/>
    </row>
    <row r="29" spans="1:19" s="325" customFormat="1" ht="17">
      <c r="A29" s="351">
        <v>26</v>
      </c>
      <c r="B29" s="359">
        <v>44924</v>
      </c>
      <c r="C29" s="359" t="s">
        <v>614</v>
      </c>
      <c r="D29" s="361" t="s">
        <v>388</v>
      </c>
      <c r="E29" s="357" t="s">
        <v>1582</v>
      </c>
      <c r="F29" s="357">
        <v>880</v>
      </c>
      <c r="G29" s="358"/>
      <c r="H29" s="357" t="s">
        <v>389</v>
      </c>
      <c r="I29" s="357" t="s">
        <v>255</v>
      </c>
      <c r="J29" s="357"/>
      <c r="K29" s="357"/>
      <c r="L29" s="357"/>
      <c r="M29" s="357">
        <v>4</v>
      </c>
      <c r="N29" s="355" t="s">
        <v>660</v>
      </c>
      <c r="O29" s="347">
        <v>44966</v>
      </c>
      <c r="P29" s="348" t="s">
        <v>239</v>
      </c>
      <c r="Q29" s="346" t="s">
        <v>1405</v>
      </c>
      <c r="R29" s="356"/>
      <c r="S29" s="326"/>
    </row>
    <row r="30" spans="1:19" s="325" customFormat="1" ht="17">
      <c r="A30" s="351">
        <v>27</v>
      </c>
      <c r="B30" s="359">
        <v>44924</v>
      </c>
      <c r="C30" s="359" t="s">
        <v>614</v>
      </c>
      <c r="D30" s="361" t="s">
        <v>388</v>
      </c>
      <c r="E30" s="357"/>
      <c r="F30" s="357">
        <v>620</v>
      </c>
      <c r="G30" s="358"/>
      <c r="H30" s="357" t="s">
        <v>389</v>
      </c>
      <c r="I30" s="357" t="s">
        <v>255</v>
      </c>
      <c r="J30" s="357"/>
      <c r="K30" s="357"/>
      <c r="L30" s="357"/>
      <c r="M30" s="357">
        <v>6</v>
      </c>
      <c r="N30" s="355" t="s">
        <v>660</v>
      </c>
      <c r="O30" s="347">
        <v>44966</v>
      </c>
      <c r="P30" s="348" t="s">
        <v>239</v>
      </c>
      <c r="Q30" s="346" t="s">
        <v>1405</v>
      </c>
      <c r="R30" s="356"/>
      <c r="S30" s="326"/>
    </row>
    <row r="31" spans="1:19" s="325" customFormat="1" ht="17">
      <c r="A31" s="351">
        <v>28</v>
      </c>
      <c r="B31" s="359">
        <v>44924</v>
      </c>
      <c r="C31" s="359" t="s">
        <v>614</v>
      </c>
      <c r="D31" s="361" t="s">
        <v>388</v>
      </c>
      <c r="E31" s="357"/>
      <c r="F31" s="357">
        <v>680</v>
      </c>
      <c r="G31" s="358"/>
      <c r="H31" s="357" t="s">
        <v>389</v>
      </c>
      <c r="I31" s="357" t="s">
        <v>255</v>
      </c>
      <c r="J31" s="357"/>
      <c r="K31" s="357"/>
      <c r="L31" s="357"/>
      <c r="M31" s="357">
        <v>8</v>
      </c>
      <c r="N31" s="355" t="s">
        <v>660</v>
      </c>
      <c r="O31" s="347">
        <v>44966</v>
      </c>
      <c r="P31" s="348" t="s">
        <v>239</v>
      </c>
      <c r="Q31" s="346" t="s">
        <v>1405</v>
      </c>
      <c r="R31" s="356"/>
      <c r="S31" s="326"/>
    </row>
    <row r="32" spans="1:19" s="325" customFormat="1" ht="17">
      <c r="A32" s="351">
        <v>29</v>
      </c>
      <c r="B32" s="359">
        <v>44924</v>
      </c>
      <c r="C32" s="359" t="s">
        <v>614</v>
      </c>
      <c r="D32" s="361" t="s">
        <v>388</v>
      </c>
      <c r="E32" s="357"/>
      <c r="F32" s="357">
        <v>1500</v>
      </c>
      <c r="G32" s="358"/>
      <c r="H32" s="357" t="s">
        <v>389</v>
      </c>
      <c r="I32" s="357" t="s">
        <v>255</v>
      </c>
      <c r="J32" s="357"/>
      <c r="K32" s="357"/>
      <c r="L32" s="357"/>
      <c r="M32" s="357">
        <v>4</v>
      </c>
      <c r="N32" s="355" t="s">
        <v>660</v>
      </c>
      <c r="O32" s="347">
        <v>44966</v>
      </c>
      <c r="P32" s="348" t="s">
        <v>239</v>
      </c>
      <c r="Q32" s="346" t="s">
        <v>1405</v>
      </c>
      <c r="R32" s="356"/>
      <c r="S32" s="326"/>
    </row>
    <row r="33" spans="1:19" s="325" customFormat="1" ht="14.5">
      <c r="A33" s="351">
        <v>30</v>
      </c>
      <c r="B33" s="359">
        <v>44924</v>
      </c>
      <c r="C33" s="359" t="s">
        <v>614</v>
      </c>
      <c r="D33" s="361" t="s">
        <v>388</v>
      </c>
      <c r="E33" s="362" t="s">
        <v>1582</v>
      </c>
      <c r="F33" s="353">
        <v>804</v>
      </c>
      <c r="G33" s="353"/>
      <c r="H33" s="357" t="s">
        <v>389</v>
      </c>
      <c r="I33" s="357" t="s">
        <v>255</v>
      </c>
      <c r="J33" s="354"/>
      <c r="K33" s="354"/>
      <c r="L33" s="354"/>
      <c r="M33" s="353">
        <v>4</v>
      </c>
      <c r="N33" s="355" t="s">
        <v>660</v>
      </c>
      <c r="O33" s="347">
        <v>44966</v>
      </c>
      <c r="P33" s="348" t="s">
        <v>239</v>
      </c>
      <c r="Q33" s="346" t="s">
        <v>1405</v>
      </c>
      <c r="R33" s="356"/>
      <c r="S33" s="326" t="s">
        <v>661</v>
      </c>
    </row>
    <row r="34" spans="1:19" s="325" customFormat="1" ht="14.5">
      <c r="A34" s="351">
        <v>31</v>
      </c>
      <c r="B34" s="359">
        <v>44924</v>
      </c>
      <c r="C34" s="359" t="s">
        <v>614</v>
      </c>
      <c r="D34" s="361" t="s">
        <v>388</v>
      </c>
      <c r="E34" s="362" t="s">
        <v>1582</v>
      </c>
      <c r="F34" s="353">
        <v>562</v>
      </c>
      <c r="G34" s="353"/>
      <c r="H34" s="357" t="s">
        <v>389</v>
      </c>
      <c r="I34" s="357" t="s">
        <v>255</v>
      </c>
      <c r="J34" s="354"/>
      <c r="K34" s="354"/>
      <c r="L34" s="354"/>
      <c r="M34" s="353">
        <v>4</v>
      </c>
      <c r="N34" s="355" t="s">
        <v>660</v>
      </c>
      <c r="O34" s="347">
        <v>44966</v>
      </c>
      <c r="P34" s="348" t="s">
        <v>239</v>
      </c>
      <c r="Q34" s="346" t="s">
        <v>1405</v>
      </c>
      <c r="R34" s="356"/>
      <c r="S34" s="326"/>
    </row>
    <row r="35" spans="1:19" s="325" customFormat="1" ht="14.5">
      <c r="A35" s="351">
        <v>32</v>
      </c>
      <c r="B35" s="352">
        <v>44924</v>
      </c>
      <c r="C35" s="352" t="s">
        <v>614</v>
      </c>
      <c r="D35" s="361" t="s">
        <v>388</v>
      </c>
      <c r="E35" s="362" t="s">
        <v>1582</v>
      </c>
      <c r="F35" s="353">
        <v>600</v>
      </c>
      <c r="G35" s="353"/>
      <c r="H35" s="357" t="s">
        <v>389</v>
      </c>
      <c r="I35" s="357" t="s">
        <v>255</v>
      </c>
      <c r="J35" s="354"/>
      <c r="K35" s="354"/>
      <c r="L35" s="354"/>
      <c r="M35" s="353">
        <v>4</v>
      </c>
      <c r="N35" s="355" t="s">
        <v>660</v>
      </c>
      <c r="O35" s="347">
        <v>44966</v>
      </c>
      <c r="P35" s="348" t="s">
        <v>239</v>
      </c>
      <c r="Q35" s="346" t="s">
        <v>1405</v>
      </c>
      <c r="R35" s="356"/>
      <c r="S35" s="326"/>
    </row>
    <row r="36" spans="1:19" s="325" customFormat="1" ht="17">
      <c r="A36" s="351">
        <v>33</v>
      </c>
      <c r="B36" s="352">
        <v>44924</v>
      </c>
      <c r="C36" s="352" t="s">
        <v>614</v>
      </c>
      <c r="D36" s="361" t="s">
        <v>388</v>
      </c>
      <c r="E36" s="357"/>
      <c r="F36" s="357">
        <v>80</v>
      </c>
      <c r="G36" s="358"/>
      <c r="H36" s="357" t="s">
        <v>389</v>
      </c>
      <c r="I36" s="357" t="s">
        <v>255</v>
      </c>
      <c r="J36" s="357"/>
      <c r="K36" s="357"/>
      <c r="L36" s="357"/>
      <c r="M36" s="357">
        <v>4</v>
      </c>
      <c r="N36" s="355" t="s">
        <v>660</v>
      </c>
      <c r="O36" s="347">
        <v>44966</v>
      </c>
      <c r="P36" s="348" t="s">
        <v>239</v>
      </c>
      <c r="Q36" s="346" t="s">
        <v>1405</v>
      </c>
      <c r="R36" s="356"/>
      <c r="S36" s="326"/>
    </row>
    <row r="37" spans="1:19" s="325" customFormat="1" ht="17">
      <c r="A37" s="351">
        <v>34</v>
      </c>
      <c r="B37" s="352">
        <v>44924</v>
      </c>
      <c r="C37" s="352" t="s">
        <v>614</v>
      </c>
      <c r="D37" s="361" t="s">
        <v>388</v>
      </c>
      <c r="E37" s="357"/>
      <c r="F37" s="357">
        <v>620</v>
      </c>
      <c r="G37" s="358"/>
      <c r="H37" s="357" t="s">
        <v>389</v>
      </c>
      <c r="I37" s="357" t="s">
        <v>255</v>
      </c>
      <c r="J37" s="357"/>
      <c r="K37" s="357"/>
      <c r="L37" s="357"/>
      <c r="M37" s="357">
        <v>2</v>
      </c>
      <c r="N37" s="355" t="s">
        <v>660</v>
      </c>
      <c r="O37" s="347">
        <v>44966</v>
      </c>
      <c r="P37" s="348" t="s">
        <v>239</v>
      </c>
      <c r="Q37" s="346" t="s">
        <v>1405</v>
      </c>
      <c r="R37" s="356"/>
      <c r="S37" s="326"/>
    </row>
    <row r="38" spans="1:19" s="325" customFormat="1" ht="17">
      <c r="A38" s="351">
        <v>35</v>
      </c>
      <c r="B38" s="352">
        <v>44928</v>
      </c>
      <c r="C38" s="352" t="s">
        <v>614</v>
      </c>
      <c r="D38" s="361" t="s">
        <v>388</v>
      </c>
      <c r="E38" s="357"/>
      <c r="F38" s="357">
        <v>473</v>
      </c>
      <c r="G38" s="358"/>
      <c r="H38" s="357" t="s">
        <v>389</v>
      </c>
      <c r="I38" s="357" t="s">
        <v>255</v>
      </c>
      <c r="J38" s="357"/>
      <c r="K38" s="357"/>
      <c r="L38" s="357"/>
      <c r="M38" s="357">
        <v>1</v>
      </c>
      <c r="N38" s="355" t="s">
        <v>706</v>
      </c>
      <c r="O38" s="347">
        <v>44966</v>
      </c>
      <c r="P38" s="348" t="s">
        <v>239</v>
      </c>
      <c r="Q38" s="346" t="s">
        <v>1405</v>
      </c>
      <c r="R38" s="356"/>
      <c r="S38" s="327"/>
    </row>
    <row r="39" spans="1:19" s="325" customFormat="1" ht="17">
      <c r="A39" s="351">
        <v>36</v>
      </c>
      <c r="B39" s="352">
        <v>44928</v>
      </c>
      <c r="C39" s="352" t="s">
        <v>614</v>
      </c>
      <c r="D39" s="361" t="s">
        <v>388</v>
      </c>
      <c r="E39" s="357" t="s">
        <v>1581</v>
      </c>
      <c r="F39" s="357">
        <v>473</v>
      </c>
      <c r="G39" s="358"/>
      <c r="H39" s="357" t="s">
        <v>389</v>
      </c>
      <c r="I39" s="357" t="s">
        <v>255</v>
      </c>
      <c r="J39" s="357"/>
      <c r="K39" s="357"/>
      <c r="L39" s="357"/>
      <c r="M39" s="357">
        <v>3</v>
      </c>
      <c r="N39" s="355" t="s">
        <v>706</v>
      </c>
      <c r="O39" s="347">
        <v>44966</v>
      </c>
      <c r="P39" s="348" t="s">
        <v>239</v>
      </c>
      <c r="Q39" s="346" t="s">
        <v>1405</v>
      </c>
      <c r="R39" s="356"/>
      <c r="S39" s="326" t="s">
        <v>707</v>
      </c>
    </row>
    <row r="40" spans="1:19" s="325" customFormat="1" ht="17">
      <c r="A40" s="351">
        <v>37</v>
      </c>
      <c r="B40" s="352">
        <v>44928</v>
      </c>
      <c r="C40" s="352" t="s">
        <v>614</v>
      </c>
      <c r="D40" s="361" t="s">
        <v>388</v>
      </c>
      <c r="E40" s="357" t="s">
        <v>1580</v>
      </c>
      <c r="F40" s="357">
        <v>833</v>
      </c>
      <c r="G40" s="358"/>
      <c r="H40" s="357" t="s">
        <v>389</v>
      </c>
      <c r="I40" s="357" t="s">
        <v>255</v>
      </c>
      <c r="J40" s="357"/>
      <c r="K40" s="357"/>
      <c r="L40" s="357"/>
      <c r="M40" s="357">
        <v>2</v>
      </c>
      <c r="N40" s="355" t="s">
        <v>706</v>
      </c>
      <c r="O40" s="347">
        <v>44966</v>
      </c>
      <c r="P40" s="348" t="s">
        <v>239</v>
      </c>
      <c r="Q40" s="346" t="s">
        <v>1405</v>
      </c>
      <c r="R40" s="356"/>
      <c r="S40" s="326"/>
    </row>
    <row r="41" spans="1:19" s="325" customFormat="1" ht="17">
      <c r="A41" s="351">
        <v>38</v>
      </c>
      <c r="B41" s="352">
        <v>44928</v>
      </c>
      <c r="C41" s="352" t="s">
        <v>614</v>
      </c>
      <c r="D41" s="361" t="s">
        <v>388</v>
      </c>
      <c r="E41" s="357"/>
      <c r="F41" s="357">
        <v>1310</v>
      </c>
      <c r="G41" s="358"/>
      <c r="H41" s="357" t="s">
        <v>389</v>
      </c>
      <c r="I41" s="357" t="s">
        <v>255</v>
      </c>
      <c r="J41" s="357"/>
      <c r="K41" s="357"/>
      <c r="L41" s="357"/>
      <c r="M41" s="357">
        <v>2</v>
      </c>
      <c r="N41" s="355" t="s">
        <v>706</v>
      </c>
      <c r="O41" s="347">
        <v>44966</v>
      </c>
      <c r="P41" s="348" t="s">
        <v>239</v>
      </c>
      <c r="Q41" s="346" t="s">
        <v>1405</v>
      </c>
      <c r="R41" s="356"/>
      <c r="S41" s="326"/>
    </row>
    <row r="42" spans="1:19" s="325" customFormat="1" ht="17">
      <c r="A42" s="351">
        <v>39</v>
      </c>
      <c r="B42" s="352">
        <v>44928</v>
      </c>
      <c r="C42" s="352" t="s">
        <v>614</v>
      </c>
      <c r="D42" s="361" t="s">
        <v>388</v>
      </c>
      <c r="E42" s="357"/>
      <c r="F42" s="357">
        <v>433</v>
      </c>
      <c r="G42" s="358"/>
      <c r="H42" s="357" t="s">
        <v>389</v>
      </c>
      <c r="I42" s="357" t="s">
        <v>255</v>
      </c>
      <c r="J42" s="357"/>
      <c r="K42" s="357"/>
      <c r="L42" s="357"/>
      <c r="M42" s="357">
        <v>1</v>
      </c>
      <c r="N42" s="355" t="s">
        <v>706</v>
      </c>
      <c r="O42" s="347">
        <v>44966</v>
      </c>
      <c r="P42" s="348" t="s">
        <v>239</v>
      </c>
      <c r="Q42" s="346" t="s">
        <v>1405</v>
      </c>
      <c r="R42" s="356"/>
      <c r="S42" s="326"/>
    </row>
    <row r="43" spans="1:19" s="325" customFormat="1" ht="17">
      <c r="A43" s="351">
        <v>40</v>
      </c>
      <c r="B43" s="352">
        <v>44928</v>
      </c>
      <c r="C43" s="352" t="s">
        <v>614</v>
      </c>
      <c r="D43" s="361" t="s">
        <v>388</v>
      </c>
      <c r="E43" s="357" t="s">
        <v>1580</v>
      </c>
      <c r="F43" s="357">
        <v>307</v>
      </c>
      <c r="G43" s="358"/>
      <c r="H43" s="357" t="s">
        <v>389</v>
      </c>
      <c r="I43" s="357" t="s">
        <v>255</v>
      </c>
      <c r="J43" s="357"/>
      <c r="K43" s="357"/>
      <c r="L43" s="357"/>
      <c r="M43" s="357">
        <v>2</v>
      </c>
      <c r="N43" s="355" t="s">
        <v>706</v>
      </c>
      <c r="O43" s="347">
        <v>44966</v>
      </c>
      <c r="P43" s="348" t="s">
        <v>239</v>
      </c>
      <c r="Q43" s="346" t="s">
        <v>1405</v>
      </c>
      <c r="R43" s="356"/>
      <c r="S43" s="326"/>
    </row>
    <row r="44" spans="1:19" s="325" customFormat="1" ht="17">
      <c r="A44" s="351">
        <v>41</v>
      </c>
      <c r="B44" s="352">
        <v>44928</v>
      </c>
      <c r="C44" s="352" t="s">
        <v>614</v>
      </c>
      <c r="D44" s="361" t="s">
        <v>388</v>
      </c>
      <c r="E44" s="357"/>
      <c r="F44" s="357">
        <v>990</v>
      </c>
      <c r="G44" s="358"/>
      <c r="H44" s="357" t="s">
        <v>389</v>
      </c>
      <c r="I44" s="357" t="s">
        <v>255</v>
      </c>
      <c r="J44" s="357"/>
      <c r="K44" s="357"/>
      <c r="L44" s="357"/>
      <c r="M44" s="357">
        <v>1</v>
      </c>
      <c r="N44" s="355" t="s">
        <v>706</v>
      </c>
      <c r="O44" s="347">
        <v>44966</v>
      </c>
      <c r="P44" s="348" t="s">
        <v>239</v>
      </c>
      <c r="Q44" s="346" t="s">
        <v>1405</v>
      </c>
      <c r="R44" s="356"/>
      <c r="S44" s="326"/>
    </row>
    <row r="45" spans="1:19" s="325" customFormat="1" ht="17">
      <c r="A45" s="351">
        <v>42</v>
      </c>
      <c r="B45" s="352">
        <v>44928</v>
      </c>
      <c r="C45" s="352" t="s">
        <v>614</v>
      </c>
      <c r="D45" s="361" t="s">
        <v>388</v>
      </c>
      <c r="E45" s="357"/>
      <c r="F45" s="357">
        <v>600</v>
      </c>
      <c r="G45" s="358"/>
      <c r="H45" s="357" t="s">
        <v>389</v>
      </c>
      <c r="I45" s="357" t="s">
        <v>255</v>
      </c>
      <c r="J45" s="357"/>
      <c r="K45" s="357"/>
      <c r="L45" s="357"/>
      <c r="M45" s="357">
        <v>4</v>
      </c>
      <c r="N45" s="355" t="s">
        <v>706</v>
      </c>
      <c r="O45" s="347">
        <v>44966</v>
      </c>
      <c r="P45" s="348" t="s">
        <v>239</v>
      </c>
      <c r="Q45" s="346" t="s">
        <v>1405</v>
      </c>
      <c r="R45" s="356"/>
      <c r="S45" s="326"/>
    </row>
    <row r="46" spans="1:19" s="325" customFormat="1" ht="17">
      <c r="A46" s="351">
        <v>43</v>
      </c>
      <c r="B46" s="352">
        <v>44928</v>
      </c>
      <c r="C46" s="352" t="s">
        <v>614</v>
      </c>
      <c r="D46" s="361" t="s">
        <v>388</v>
      </c>
      <c r="E46" s="357" t="s">
        <v>1580</v>
      </c>
      <c r="F46" s="357">
        <v>560</v>
      </c>
      <c r="G46" s="358"/>
      <c r="H46" s="357" t="s">
        <v>389</v>
      </c>
      <c r="I46" s="357" t="s">
        <v>255</v>
      </c>
      <c r="J46" s="357"/>
      <c r="K46" s="357"/>
      <c r="L46" s="357"/>
      <c r="M46" s="357">
        <v>3</v>
      </c>
      <c r="N46" s="355" t="s">
        <v>706</v>
      </c>
      <c r="O46" s="347">
        <v>44966</v>
      </c>
      <c r="P46" s="348" t="s">
        <v>239</v>
      </c>
      <c r="Q46" s="346" t="s">
        <v>1405</v>
      </c>
      <c r="R46" s="356"/>
      <c r="S46" s="326"/>
    </row>
    <row r="47" spans="1:19" s="325" customFormat="1" ht="17">
      <c r="A47" s="351">
        <v>44</v>
      </c>
      <c r="B47" s="352">
        <v>44928</v>
      </c>
      <c r="C47" s="352" t="s">
        <v>614</v>
      </c>
      <c r="D47" s="361" t="s">
        <v>388</v>
      </c>
      <c r="E47" s="357"/>
      <c r="F47" s="357">
        <v>320</v>
      </c>
      <c r="G47" s="358"/>
      <c r="H47" s="357" t="s">
        <v>389</v>
      </c>
      <c r="I47" s="357" t="s">
        <v>255</v>
      </c>
      <c r="J47" s="357"/>
      <c r="K47" s="357"/>
      <c r="L47" s="357"/>
      <c r="M47" s="357">
        <v>2</v>
      </c>
      <c r="N47" s="355" t="s">
        <v>706</v>
      </c>
      <c r="O47" s="347">
        <v>44966</v>
      </c>
      <c r="P47" s="348" t="s">
        <v>239</v>
      </c>
      <c r="Q47" s="346" t="s">
        <v>1405</v>
      </c>
      <c r="R47" s="356"/>
      <c r="S47" s="326"/>
    </row>
    <row r="48" spans="1:19" s="325" customFormat="1" ht="17">
      <c r="A48" s="351">
        <v>45</v>
      </c>
      <c r="B48" s="352">
        <v>44928</v>
      </c>
      <c r="C48" s="352" t="s">
        <v>614</v>
      </c>
      <c r="D48" s="361" t="s">
        <v>388</v>
      </c>
      <c r="E48" s="357"/>
      <c r="F48" s="357">
        <v>1350</v>
      </c>
      <c r="G48" s="358"/>
      <c r="H48" s="357" t="s">
        <v>389</v>
      </c>
      <c r="I48" s="357" t="s">
        <v>255</v>
      </c>
      <c r="J48" s="357"/>
      <c r="K48" s="357"/>
      <c r="L48" s="357"/>
      <c r="M48" s="357">
        <v>2</v>
      </c>
      <c r="N48" s="355" t="s">
        <v>706</v>
      </c>
      <c r="O48" s="347">
        <v>44966</v>
      </c>
      <c r="P48" s="348" t="s">
        <v>239</v>
      </c>
      <c r="Q48" s="346" t="s">
        <v>1405</v>
      </c>
      <c r="R48" s="356"/>
      <c r="S48" s="326"/>
    </row>
    <row r="49" spans="1:19" s="325" customFormat="1" ht="17">
      <c r="A49" s="351">
        <v>46</v>
      </c>
      <c r="B49" s="352">
        <v>44928</v>
      </c>
      <c r="C49" s="352" t="s">
        <v>614</v>
      </c>
      <c r="D49" s="361" t="s">
        <v>388</v>
      </c>
      <c r="E49" s="357"/>
      <c r="F49" s="357">
        <v>280</v>
      </c>
      <c r="G49" s="358"/>
      <c r="H49" s="357" t="s">
        <v>389</v>
      </c>
      <c r="I49" s="357" t="s">
        <v>255</v>
      </c>
      <c r="J49" s="357"/>
      <c r="K49" s="357"/>
      <c r="L49" s="357"/>
      <c r="M49" s="357">
        <v>2</v>
      </c>
      <c r="N49" s="355" t="s">
        <v>706</v>
      </c>
      <c r="O49" s="347">
        <v>44966</v>
      </c>
      <c r="P49" s="348" t="s">
        <v>239</v>
      </c>
      <c r="Q49" s="346" t="s">
        <v>1405</v>
      </c>
      <c r="R49" s="356"/>
      <c r="S49" s="326"/>
    </row>
    <row r="50" spans="1:19" s="325" customFormat="1" ht="17">
      <c r="A50" s="351">
        <v>47</v>
      </c>
      <c r="B50" s="352">
        <v>44928</v>
      </c>
      <c r="C50" s="352" t="s">
        <v>614</v>
      </c>
      <c r="D50" s="361" t="s">
        <v>388</v>
      </c>
      <c r="E50" s="357"/>
      <c r="F50" s="357">
        <v>1486</v>
      </c>
      <c r="G50" s="358"/>
      <c r="H50" s="357" t="s">
        <v>389</v>
      </c>
      <c r="I50" s="357" t="s">
        <v>255</v>
      </c>
      <c r="J50" s="357"/>
      <c r="K50" s="357"/>
      <c r="L50" s="357"/>
      <c r="M50" s="357">
        <v>6</v>
      </c>
      <c r="N50" s="355" t="s">
        <v>706</v>
      </c>
      <c r="O50" s="347">
        <v>44966</v>
      </c>
      <c r="P50" s="348" t="s">
        <v>239</v>
      </c>
      <c r="Q50" s="346" t="s">
        <v>1405</v>
      </c>
      <c r="R50" s="356"/>
      <c r="S50" s="326"/>
    </row>
    <row r="51" spans="1:19" s="325" customFormat="1" ht="17">
      <c r="A51" s="351">
        <v>48</v>
      </c>
      <c r="B51" s="352">
        <v>44928</v>
      </c>
      <c r="C51" s="352" t="s">
        <v>614</v>
      </c>
      <c r="D51" s="361" t="s">
        <v>388</v>
      </c>
      <c r="E51" s="357"/>
      <c r="F51" s="357">
        <v>780</v>
      </c>
      <c r="G51" s="358"/>
      <c r="H51" s="357" t="s">
        <v>389</v>
      </c>
      <c r="I51" s="357" t="s">
        <v>255</v>
      </c>
      <c r="J51" s="357"/>
      <c r="K51" s="357"/>
      <c r="L51" s="357"/>
      <c r="M51" s="357">
        <v>2</v>
      </c>
      <c r="N51" s="355" t="s">
        <v>706</v>
      </c>
      <c r="O51" s="347">
        <v>44966</v>
      </c>
      <c r="P51" s="348" t="s">
        <v>239</v>
      </c>
      <c r="Q51" s="346" t="s">
        <v>1405</v>
      </c>
      <c r="R51" s="356"/>
      <c r="S51" s="326"/>
    </row>
    <row r="52" spans="1:19" s="325" customFormat="1" ht="17">
      <c r="A52" s="351">
        <v>49</v>
      </c>
      <c r="B52" s="352">
        <v>44928</v>
      </c>
      <c r="C52" s="352" t="s">
        <v>614</v>
      </c>
      <c r="D52" s="361" t="s">
        <v>388</v>
      </c>
      <c r="E52" s="357"/>
      <c r="F52" s="357">
        <v>750</v>
      </c>
      <c r="G52" s="358"/>
      <c r="H52" s="357" t="s">
        <v>389</v>
      </c>
      <c r="I52" s="357" t="s">
        <v>255</v>
      </c>
      <c r="J52" s="357"/>
      <c r="K52" s="357"/>
      <c r="L52" s="357"/>
      <c r="M52" s="357">
        <v>1</v>
      </c>
      <c r="N52" s="355" t="s">
        <v>706</v>
      </c>
      <c r="O52" s="347">
        <v>44966</v>
      </c>
      <c r="P52" s="348" t="s">
        <v>239</v>
      </c>
      <c r="Q52" s="346" t="s">
        <v>1405</v>
      </c>
      <c r="R52" s="356"/>
      <c r="S52" s="326"/>
    </row>
    <row r="53" spans="1:19" s="325" customFormat="1" ht="17">
      <c r="A53" s="351">
        <v>50</v>
      </c>
      <c r="B53" s="352">
        <v>44928</v>
      </c>
      <c r="C53" s="352" t="s">
        <v>614</v>
      </c>
      <c r="D53" s="361" t="s">
        <v>388</v>
      </c>
      <c r="E53" s="357"/>
      <c r="F53" s="357">
        <v>873</v>
      </c>
      <c r="G53" s="358"/>
      <c r="H53" s="357" t="s">
        <v>389</v>
      </c>
      <c r="I53" s="357" t="s">
        <v>255</v>
      </c>
      <c r="J53" s="357"/>
      <c r="K53" s="357"/>
      <c r="L53" s="357"/>
      <c r="M53" s="357">
        <v>2</v>
      </c>
      <c r="N53" s="355" t="s">
        <v>706</v>
      </c>
      <c r="O53" s="347">
        <v>44966</v>
      </c>
      <c r="P53" s="348" t="s">
        <v>239</v>
      </c>
      <c r="Q53" s="346" t="s">
        <v>1405</v>
      </c>
      <c r="R53" s="356"/>
      <c r="S53" s="326"/>
    </row>
    <row r="54" spans="1:19" s="325" customFormat="1" ht="17">
      <c r="A54" s="351">
        <v>51</v>
      </c>
      <c r="B54" s="352">
        <v>44928</v>
      </c>
      <c r="C54" s="352" t="s">
        <v>614</v>
      </c>
      <c r="D54" s="361" t="s">
        <v>388</v>
      </c>
      <c r="E54" s="357"/>
      <c r="F54" s="357">
        <v>1160</v>
      </c>
      <c r="G54" s="358"/>
      <c r="H54" s="357" t="s">
        <v>389</v>
      </c>
      <c r="I54" s="357" t="s">
        <v>255</v>
      </c>
      <c r="J54" s="357"/>
      <c r="K54" s="357"/>
      <c r="L54" s="357"/>
      <c r="M54" s="357">
        <v>9</v>
      </c>
      <c r="N54" s="355" t="s">
        <v>706</v>
      </c>
      <c r="O54" s="347">
        <v>44966</v>
      </c>
      <c r="P54" s="348" t="s">
        <v>239</v>
      </c>
      <c r="Q54" s="346" t="s">
        <v>1405</v>
      </c>
      <c r="R54" s="358"/>
      <c r="S54" s="327"/>
    </row>
    <row r="55" spans="1:19" s="325" customFormat="1" ht="17">
      <c r="A55" s="351">
        <v>52</v>
      </c>
      <c r="B55" s="352">
        <v>44928</v>
      </c>
      <c r="C55" s="352" t="s">
        <v>614</v>
      </c>
      <c r="D55" s="361" t="s">
        <v>388</v>
      </c>
      <c r="E55" s="357"/>
      <c r="F55" s="357">
        <v>930</v>
      </c>
      <c r="G55" s="358"/>
      <c r="H55" s="357" t="s">
        <v>389</v>
      </c>
      <c r="I55" s="357" t="s">
        <v>255</v>
      </c>
      <c r="J55" s="357"/>
      <c r="K55" s="357"/>
      <c r="L55" s="357"/>
      <c r="M55" s="357">
        <v>2</v>
      </c>
      <c r="N55" s="355" t="s">
        <v>706</v>
      </c>
      <c r="O55" s="347">
        <v>44966</v>
      </c>
      <c r="P55" s="348" t="s">
        <v>239</v>
      </c>
      <c r="Q55" s="346" t="s">
        <v>1405</v>
      </c>
      <c r="R55" s="358"/>
      <c r="S55" s="327"/>
    </row>
    <row r="56" spans="1:19" s="325" customFormat="1" ht="17">
      <c r="A56" s="351">
        <v>53</v>
      </c>
      <c r="B56" s="363">
        <v>44929</v>
      </c>
      <c r="C56" s="352" t="s">
        <v>614</v>
      </c>
      <c r="D56" s="364" t="s">
        <v>388</v>
      </c>
      <c r="E56" s="357"/>
      <c r="F56" s="357">
        <v>980</v>
      </c>
      <c r="G56" s="349"/>
      <c r="H56" s="357" t="s">
        <v>389</v>
      </c>
      <c r="I56" s="357" t="s">
        <v>255</v>
      </c>
      <c r="J56" s="365"/>
      <c r="K56" s="357"/>
      <c r="L56" s="357"/>
      <c r="M56" s="357">
        <v>1</v>
      </c>
      <c r="N56" s="366" t="s">
        <v>720</v>
      </c>
      <c r="O56" s="347">
        <v>44966</v>
      </c>
      <c r="P56" s="348" t="s">
        <v>239</v>
      </c>
      <c r="Q56" s="346" t="s">
        <v>1405</v>
      </c>
      <c r="R56" s="358"/>
      <c r="S56" s="327"/>
    </row>
    <row r="57" spans="1:19" s="325" customFormat="1" ht="17">
      <c r="A57" s="351">
        <v>54</v>
      </c>
      <c r="B57" s="363">
        <v>44929</v>
      </c>
      <c r="C57" s="352" t="s">
        <v>614</v>
      </c>
      <c r="D57" s="364" t="s">
        <v>388</v>
      </c>
      <c r="E57" s="357"/>
      <c r="F57" s="357">
        <v>365</v>
      </c>
      <c r="G57" s="349"/>
      <c r="H57" s="357" t="s">
        <v>389</v>
      </c>
      <c r="I57" s="357" t="s">
        <v>255</v>
      </c>
      <c r="J57" s="365"/>
      <c r="K57" s="357"/>
      <c r="L57" s="357"/>
      <c r="M57" s="357">
        <v>1</v>
      </c>
      <c r="N57" s="366" t="s">
        <v>720</v>
      </c>
      <c r="O57" s="347">
        <v>44966</v>
      </c>
      <c r="P57" s="348" t="s">
        <v>239</v>
      </c>
      <c r="Q57" s="346" t="s">
        <v>1405</v>
      </c>
      <c r="R57" s="358"/>
      <c r="S57" s="327"/>
    </row>
    <row r="58" spans="1:19" s="325" customFormat="1" ht="17">
      <c r="A58" s="351">
        <v>55</v>
      </c>
      <c r="B58" s="363">
        <v>44929</v>
      </c>
      <c r="C58" s="352" t="s">
        <v>614</v>
      </c>
      <c r="D58" s="364" t="s">
        <v>388</v>
      </c>
      <c r="E58" s="357"/>
      <c r="F58" s="357">
        <v>940</v>
      </c>
      <c r="G58" s="349"/>
      <c r="H58" s="357" t="s">
        <v>389</v>
      </c>
      <c r="I58" s="357" t="s">
        <v>255</v>
      </c>
      <c r="J58" s="365"/>
      <c r="K58" s="357"/>
      <c r="L58" s="357"/>
      <c r="M58" s="357">
        <v>1</v>
      </c>
      <c r="N58" s="366" t="s">
        <v>720</v>
      </c>
      <c r="O58" s="347">
        <v>44966</v>
      </c>
      <c r="P58" s="348" t="s">
        <v>239</v>
      </c>
      <c r="Q58" s="346" t="s">
        <v>1405</v>
      </c>
      <c r="R58" s="358"/>
      <c r="S58" s="327"/>
    </row>
    <row r="59" spans="1:19" s="325" customFormat="1" ht="17">
      <c r="A59" s="351">
        <v>56</v>
      </c>
      <c r="B59" s="363">
        <v>44929</v>
      </c>
      <c r="C59" s="352" t="s">
        <v>614</v>
      </c>
      <c r="D59" s="364" t="s">
        <v>388</v>
      </c>
      <c r="E59" s="357"/>
      <c r="F59" s="357">
        <v>950</v>
      </c>
      <c r="G59" s="349"/>
      <c r="H59" s="357" t="s">
        <v>389</v>
      </c>
      <c r="I59" s="357" t="s">
        <v>255</v>
      </c>
      <c r="J59" s="365"/>
      <c r="K59" s="357"/>
      <c r="L59" s="357"/>
      <c r="M59" s="357">
        <v>1</v>
      </c>
      <c r="N59" s="366" t="s">
        <v>720</v>
      </c>
      <c r="O59" s="347">
        <v>44966</v>
      </c>
      <c r="P59" s="348" t="s">
        <v>239</v>
      </c>
      <c r="Q59" s="346" t="s">
        <v>1405</v>
      </c>
      <c r="R59" s="358"/>
      <c r="S59" s="327"/>
    </row>
    <row r="60" spans="1:19" s="325" customFormat="1" ht="17">
      <c r="A60" s="351">
        <v>57</v>
      </c>
      <c r="B60" s="363">
        <v>44929</v>
      </c>
      <c r="C60" s="352" t="s">
        <v>614</v>
      </c>
      <c r="D60" s="364" t="s">
        <v>388</v>
      </c>
      <c r="E60" s="357"/>
      <c r="F60" s="357">
        <v>143</v>
      </c>
      <c r="G60" s="349"/>
      <c r="H60" s="357" t="s">
        <v>389</v>
      </c>
      <c r="I60" s="357" t="s">
        <v>255</v>
      </c>
      <c r="J60" s="365"/>
      <c r="K60" s="357"/>
      <c r="L60" s="357"/>
      <c r="M60" s="357">
        <v>1</v>
      </c>
      <c r="N60" s="366" t="s">
        <v>720</v>
      </c>
      <c r="O60" s="347">
        <v>44966</v>
      </c>
      <c r="P60" s="348" t="s">
        <v>239</v>
      </c>
      <c r="Q60" s="346" t="s">
        <v>1405</v>
      </c>
      <c r="R60" s="358"/>
      <c r="S60" s="327"/>
    </row>
    <row r="61" spans="1:19" s="325" customFormat="1" ht="17">
      <c r="A61" s="351">
        <v>58</v>
      </c>
      <c r="B61" s="363">
        <v>44929</v>
      </c>
      <c r="C61" s="352" t="s">
        <v>614</v>
      </c>
      <c r="D61" s="364" t="s">
        <v>388</v>
      </c>
      <c r="E61" s="357"/>
      <c r="F61" s="357">
        <v>2000</v>
      </c>
      <c r="G61" s="349"/>
      <c r="H61" s="357" t="s">
        <v>389</v>
      </c>
      <c r="I61" s="357" t="s">
        <v>255</v>
      </c>
      <c r="J61" s="365"/>
      <c r="K61" s="357"/>
      <c r="L61" s="357"/>
      <c r="M61" s="357">
        <v>1</v>
      </c>
      <c r="N61" s="366" t="s">
        <v>720</v>
      </c>
      <c r="O61" s="347">
        <v>44966</v>
      </c>
      <c r="P61" s="348" t="s">
        <v>239</v>
      </c>
      <c r="Q61" s="346" t="s">
        <v>1405</v>
      </c>
      <c r="R61" s="358"/>
      <c r="S61" s="327"/>
    </row>
    <row r="62" spans="1:19" s="325" customFormat="1" ht="17">
      <c r="A62" s="351">
        <v>59</v>
      </c>
      <c r="B62" s="363">
        <v>44929</v>
      </c>
      <c r="C62" s="352" t="s">
        <v>614</v>
      </c>
      <c r="D62" s="364" t="s">
        <v>388</v>
      </c>
      <c r="E62" s="357"/>
      <c r="F62" s="357">
        <v>625</v>
      </c>
      <c r="G62" s="349"/>
      <c r="H62" s="357" t="s">
        <v>389</v>
      </c>
      <c r="I62" s="357" t="s">
        <v>255</v>
      </c>
      <c r="J62" s="365"/>
      <c r="K62" s="357"/>
      <c r="L62" s="357"/>
      <c r="M62" s="357">
        <v>3</v>
      </c>
      <c r="N62" s="366" t="s">
        <v>720</v>
      </c>
      <c r="O62" s="347">
        <v>44966</v>
      </c>
      <c r="P62" s="348" t="s">
        <v>239</v>
      </c>
      <c r="Q62" s="346" t="s">
        <v>1405</v>
      </c>
      <c r="R62" s="358"/>
      <c r="S62" s="327"/>
    </row>
    <row r="63" spans="1:19" s="325" customFormat="1" ht="17">
      <c r="A63" s="351">
        <v>60</v>
      </c>
      <c r="B63" s="363">
        <v>44929</v>
      </c>
      <c r="C63" s="352" t="s">
        <v>614</v>
      </c>
      <c r="D63" s="364" t="s">
        <v>388</v>
      </c>
      <c r="E63" s="357"/>
      <c r="F63" s="357">
        <v>1413</v>
      </c>
      <c r="G63" s="349"/>
      <c r="H63" s="357" t="s">
        <v>389</v>
      </c>
      <c r="I63" s="357" t="s">
        <v>255</v>
      </c>
      <c r="J63" s="365"/>
      <c r="K63" s="357"/>
      <c r="L63" s="357"/>
      <c r="M63" s="357">
        <v>2</v>
      </c>
      <c r="N63" s="366" t="s">
        <v>720</v>
      </c>
      <c r="O63" s="347">
        <v>44966</v>
      </c>
      <c r="P63" s="348" t="s">
        <v>239</v>
      </c>
      <c r="Q63" s="346" t="s">
        <v>1405</v>
      </c>
      <c r="R63" s="358"/>
      <c r="S63" s="327"/>
    </row>
    <row r="64" spans="1:19" s="325" customFormat="1" ht="17">
      <c r="A64" s="351">
        <v>61</v>
      </c>
      <c r="B64" s="363">
        <v>44929</v>
      </c>
      <c r="C64" s="352" t="s">
        <v>614</v>
      </c>
      <c r="D64" s="364" t="s">
        <v>388</v>
      </c>
      <c r="E64" s="357"/>
      <c r="F64" s="357">
        <v>2130</v>
      </c>
      <c r="G64" s="349"/>
      <c r="H64" s="357" t="s">
        <v>389</v>
      </c>
      <c r="I64" s="357" t="s">
        <v>255</v>
      </c>
      <c r="J64" s="365"/>
      <c r="K64" s="357"/>
      <c r="L64" s="357"/>
      <c r="M64" s="357">
        <v>2</v>
      </c>
      <c r="N64" s="366" t="s">
        <v>720</v>
      </c>
      <c r="O64" s="347">
        <v>44966</v>
      </c>
      <c r="P64" s="348" t="s">
        <v>239</v>
      </c>
      <c r="Q64" s="346" t="s">
        <v>1405</v>
      </c>
      <c r="R64" s="367"/>
      <c r="S64" s="328"/>
    </row>
    <row r="65" spans="1:19" s="325" customFormat="1" ht="17">
      <c r="A65" s="351">
        <v>62</v>
      </c>
      <c r="B65" s="363">
        <v>44944</v>
      </c>
      <c r="C65" s="352" t="s">
        <v>810</v>
      </c>
      <c r="D65" s="364" t="s">
        <v>388</v>
      </c>
      <c r="E65" s="357"/>
      <c r="F65" s="357">
        <v>66</v>
      </c>
      <c r="G65" s="349"/>
      <c r="H65" s="357" t="s">
        <v>389</v>
      </c>
      <c r="I65" s="357" t="s">
        <v>255</v>
      </c>
      <c r="J65" s="365"/>
      <c r="K65" s="357"/>
      <c r="L65" s="357"/>
      <c r="M65" s="357">
        <v>2</v>
      </c>
      <c r="N65" s="366" t="s">
        <v>811</v>
      </c>
      <c r="O65" s="347">
        <v>44966</v>
      </c>
      <c r="P65" s="348" t="s">
        <v>239</v>
      </c>
      <c r="Q65" s="346" t="s">
        <v>1405</v>
      </c>
      <c r="R65" s="358"/>
      <c r="S65" s="329"/>
    </row>
    <row r="66" spans="1:19" s="325" customFormat="1" ht="17">
      <c r="A66" s="351">
        <v>63</v>
      </c>
      <c r="B66" s="363">
        <v>44944</v>
      </c>
      <c r="C66" s="352" t="s">
        <v>810</v>
      </c>
      <c r="D66" s="364" t="s">
        <v>388</v>
      </c>
      <c r="E66" s="357"/>
      <c r="F66" s="357">
        <v>378</v>
      </c>
      <c r="G66" s="349"/>
      <c r="H66" s="357" t="s">
        <v>389</v>
      </c>
      <c r="I66" s="357" t="s">
        <v>255</v>
      </c>
      <c r="J66" s="365"/>
      <c r="K66" s="357"/>
      <c r="L66" s="357"/>
      <c r="M66" s="357">
        <v>6</v>
      </c>
      <c r="N66" s="366" t="s">
        <v>811</v>
      </c>
      <c r="O66" s="347">
        <v>44966</v>
      </c>
      <c r="P66" s="348" t="s">
        <v>239</v>
      </c>
      <c r="Q66" s="346" t="s">
        <v>1405</v>
      </c>
      <c r="R66" s="358"/>
      <c r="S66" s="329"/>
    </row>
    <row r="67" spans="1:19" s="325" customFormat="1" ht="17">
      <c r="A67" s="351">
        <v>64</v>
      </c>
      <c r="B67" s="363">
        <v>44944</v>
      </c>
      <c r="C67" s="352" t="s">
        <v>810</v>
      </c>
      <c r="D67" s="364" t="s">
        <v>388</v>
      </c>
      <c r="E67" s="357"/>
      <c r="F67" s="357">
        <v>228</v>
      </c>
      <c r="G67" s="349"/>
      <c r="H67" s="357" t="s">
        <v>389</v>
      </c>
      <c r="I67" s="357" t="s">
        <v>255</v>
      </c>
      <c r="J67" s="365"/>
      <c r="K67" s="357"/>
      <c r="L67" s="357"/>
      <c r="M67" s="357">
        <v>6</v>
      </c>
      <c r="N67" s="366" t="s">
        <v>811</v>
      </c>
      <c r="O67" s="347">
        <v>44966</v>
      </c>
      <c r="P67" s="348" t="s">
        <v>239</v>
      </c>
      <c r="Q67" s="346" t="s">
        <v>1405</v>
      </c>
      <c r="R67" s="358"/>
      <c r="S67" s="329"/>
    </row>
    <row r="68" spans="1:19" s="325" customFormat="1" ht="17">
      <c r="A68" s="351">
        <v>65</v>
      </c>
      <c r="B68" s="363">
        <v>44944</v>
      </c>
      <c r="C68" s="352" t="s">
        <v>810</v>
      </c>
      <c r="D68" s="364" t="s">
        <v>388</v>
      </c>
      <c r="E68" s="357"/>
      <c r="F68" s="357">
        <v>644</v>
      </c>
      <c r="G68" s="349"/>
      <c r="H68" s="357" t="s">
        <v>389</v>
      </c>
      <c r="I68" s="357" t="s">
        <v>255</v>
      </c>
      <c r="J68" s="365"/>
      <c r="K68" s="357"/>
      <c r="L68" s="357"/>
      <c r="M68" s="357">
        <v>1</v>
      </c>
      <c r="N68" s="366" t="s">
        <v>811</v>
      </c>
      <c r="O68" s="347">
        <v>44966</v>
      </c>
      <c r="P68" s="348" t="s">
        <v>239</v>
      </c>
      <c r="Q68" s="346" t="s">
        <v>1405</v>
      </c>
      <c r="R68" s="358"/>
      <c r="S68" s="329"/>
    </row>
    <row r="69" spans="1:19" s="325" customFormat="1" ht="17">
      <c r="A69" s="351">
        <v>66</v>
      </c>
      <c r="B69" s="363">
        <v>44944</v>
      </c>
      <c r="C69" s="352" t="s">
        <v>810</v>
      </c>
      <c r="D69" s="364" t="s">
        <v>388</v>
      </c>
      <c r="E69" s="357"/>
      <c r="F69" s="357">
        <v>2122</v>
      </c>
      <c r="G69" s="349"/>
      <c r="H69" s="357" t="s">
        <v>389</v>
      </c>
      <c r="I69" s="357" t="s">
        <v>255</v>
      </c>
      <c r="J69" s="365"/>
      <c r="K69" s="357"/>
      <c r="L69" s="357"/>
      <c r="M69" s="357">
        <v>3</v>
      </c>
      <c r="N69" s="366" t="s">
        <v>811</v>
      </c>
      <c r="O69" s="347">
        <v>44966</v>
      </c>
      <c r="P69" s="348" t="s">
        <v>239</v>
      </c>
      <c r="Q69" s="346" t="s">
        <v>1405</v>
      </c>
      <c r="R69" s="367"/>
      <c r="S69" s="330"/>
    </row>
    <row r="70" spans="1:19" s="325" customFormat="1" ht="17">
      <c r="A70" s="351">
        <v>67</v>
      </c>
      <c r="B70" s="363">
        <v>44944</v>
      </c>
      <c r="C70" s="352" t="s">
        <v>810</v>
      </c>
      <c r="D70" s="364" t="s">
        <v>388</v>
      </c>
      <c r="E70" s="357"/>
      <c r="F70" s="357">
        <v>150</v>
      </c>
      <c r="G70" s="349"/>
      <c r="H70" s="357" t="s">
        <v>389</v>
      </c>
      <c r="I70" s="357" t="s">
        <v>255</v>
      </c>
      <c r="J70" s="365"/>
      <c r="K70" s="357"/>
      <c r="L70" s="357"/>
      <c r="M70" s="357">
        <v>3</v>
      </c>
      <c r="N70" s="366" t="s">
        <v>812</v>
      </c>
      <c r="O70" s="347">
        <v>44966</v>
      </c>
      <c r="P70" s="348" t="s">
        <v>239</v>
      </c>
      <c r="Q70" s="346" t="s">
        <v>1405</v>
      </c>
      <c r="R70" s="358"/>
      <c r="S70" s="329"/>
    </row>
    <row r="71" spans="1:19" s="325" customFormat="1" ht="17">
      <c r="A71" s="351">
        <v>68</v>
      </c>
      <c r="B71" s="363">
        <v>44944</v>
      </c>
      <c r="C71" s="352" t="s">
        <v>810</v>
      </c>
      <c r="D71" s="364" t="s">
        <v>388</v>
      </c>
      <c r="E71" s="357"/>
      <c r="F71" s="357">
        <v>1478</v>
      </c>
      <c r="G71" s="349"/>
      <c r="H71" s="357" t="s">
        <v>389</v>
      </c>
      <c r="I71" s="357" t="s">
        <v>255</v>
      </c>
      <c r="J71" s="365"/>
      <c r="K71" s="357"/>
      <c r="L71" s="357"/>
      <c r="M71" s="357">
        <v>1</v>
      </c>
      <c r="N71" s="366" t="s">
        <v>812</v>
      </c>
      <c r="O71" s="347">
        <v>44966</v>
      </c>
      <c r="P71" s="348" t="s">
        <v>239</v>
      </c>
      <c r="Q71" s="346" t="s">
        <v>1405</v>
      </c>
      <c r="R71" s="367"/>
      <c r="S71" s="330"/>
    </row>
    <row r="72" spans="1:19" s="325" customFormat="1" ht="17">
      <c r="A72" s="351">
        <v>69</v>
      </c>
      <c r="B72" s="363">
        <v>44944</v>
      </c>
      <c r="C72" s="352" t="s">
        <v>810</v>
      </c>
      <c r="D72" s="364" t="s">
        <v>388</v>
      </c>
      <c r="E72" s="357"/>
      <c r="F72" s="357">
        <v>600</v>
      </c>
      <c r="G72" s="349"/>
      <c r="H72" s="357" t="s">
        <v>389</v>
      </c>
      <c r="I72" s="357" t="s">
        <v>255</v>
      </c>
      <c r="J72" s="365"/>
      <c r="K72" s="357"/>
      <c r="L72" s="357"/>
      <c r="M72" s="357">
        <v>1</v>
      </c>
      <c r="N72" s="366" t="s">
        <v>812</v>
      </c>
      <c r="O72" s="347">
        <v>44966</v>
      </c>
      <c r="P72" s="348" t="s">
        <v>239</v>
      </c>
      <c r="Q72" s="346" t="s">
        <v>1405</v>
      </c>
      <c r="R72" s="358"/>
      <c r="S72" s="329"/>
    </row>
    <row r="73" spans="1:19" s="325" customFormat="1" ht="17">
      <c r="A73" s="351">
        <v>70</v>
      </c>
      <c r="B73" s="363">
        <v>44944</v>
      </c>
      <c r="C73" s="352" t="s">
        <v>810</v>
      </c>
      <c r="D73" s="364" t="s">
        <v>388</v>
      </c>
      <c r="E73" s="357"/>
      <c r="F73" s="357">
        <v>557.5</v>
      </c>
      <c r="G73" s="349"/>
      <c r="H73" s="357" t="s">
        <v>389</v>
      </c>
      <c r="I73" s="357" t="s">
        <v>255</v>
      </c>
      <c r="J73" s="365"/>
      <c r="K73" s="357"/>
      <c r="L73" s="357"/>
      <c r="M73" s="357">
        <v>2</v>
      </c>
      <c r="N73" s="366" t="s">
        <v>812</v>
      </c>
      <c r="O73" s="347">
        <v>44966</v>
      </c>
      <c r="P73" s="348" t="s">
        <v>239</v>
      </c>
      <c r="Q73" s="346" t="s">
        <v>1405</v>
      </c>
      <c r="R73" s="367"/>
      <c r="S73" s="330"/>
    </row>
    <row r="74" spans="1:19" s="325" customFormat="1" ht="17">
      <c r="A74" s="351">
        <v>71</v>
      </c>
      <c r="B74" s="363">
        <v>44944</v>
      </c>
      <c r="C74" s="352" t="s">
        <v>810</v>
      </c>
      <c r="D74" s="364" t="s">
        <v>388</v>
      </c>
      <c r="E74" s="357"/>
      <c r="F74" s="357">
        <v>190</v>
      </c>
      <c r="G74" s="349"/>
      <c r="H74" s="357" t="s">
        <v>389</v>
      </c>
      <c r="I74" s="357" t="s">
        <v>255</v>
      </c>
      <c r="J74" s="365"/>
      <c r="K74" s="357"/>
      <c r="L74" s="357"/>
      <c r="M74" s="357">
        <v>2</v>
      </c>
      <c r="N74" s="366" t="s">
        <v>812</v>
      </c>
      <c r="O74" s="347">
        <v>44966</v>
      </c>
      <c r="P74" s="348" t="s">
        <v>239</v>
      </c>
      <c r="Q74" s="346" t="s">
        <v>1405</v>
      </c>
      <c r="R74" s="358"/>
      <c r="S74" s="329"/>
    </row>
    <row r="75" spans="1:19" s="325" customFormat="1" ht="17">
      <c r="A75" s="351">
        <v>72</v>
      </c>
      <c r="B75" s="363">
        <v>44944</v>
      </c>
      <c r="C75" s="352" t="s">
        <v>810</v>
      </c>
      <c r="D75" s="364" t="s">
        <v>388</v>
      </c>
      <c r="E75" s="357"/>
      <c r="F75" s="357">
        <v>560</v>
      </c>
      <c r="G75" s="349"/>
      <c r="H75" s="357" t="s">
        <v>389</v>
      </c>
      <c r="I75" s="357" t="s">
        <v>255</v>
      </c>
      <c r="J75" s="365"/>
      <c r="K75" s="357"/>
      <c r="L75" s="357"/>
      <c r="M75" s="357">
        <v>2</v>
      </c>
      <c r="N75" s="366" t="s">
        <v>812</v>
      </c>
      <c r="O75" s="347">
        <v>44966</v>
      </c>
      <c r="P75" s="348" t="s">
        <v>239</v>
      </c>
      <c r="Q75" s="346" t="s">
        <v>1405</v>
      </c>
      <c r="R75" s="367"/>
      <c r="S75" s="330"/>
    </row>
    <row r="76" spans="1:19" s="325" customFormat="1" ht="17">
      <c r="A76" s="351">
        <v>73</v>
      </c>
      <c r="B76" s="363">
        <v>44944</v>
      </c>
      <c r="C76" s="352" t="s">
        <v>810</v>
      </c>
      <c r="D76" s="364" t="s">
        <v>388</v>
      </c>
      <c r="E76" s="357" t="s">
        <v>1583</v>
      </c>
      <c r="F76" s="357">
        <v>642.5</v>
      </c>
      <c r="G76" s="349"/>
      <c r="H76" s="357" t="s">
        <v>389</v>
      </c>
      <c r="I76" s="357" t="s">
        <v>255</v>
      </c>
      <c r="J76" s="365"/>
      <c r="K76" s="357"/>
      <c r="L76" s="357"/>
      <c r="M76" s="357">
        <v>3</v>
      </c>
      <c r="N76" s="366" t="s">
        <v>812</v>
      </c>
      <c r="O76" s="347">
        <v>44966</v>
      </c>
      <c r="P76" s="348" t="s">
        <v>239</v>
      </c>
      <c r="Q76" s="346" t="s">
        <v>1405</v>
      </c>
      <c r="R76" s="358"/>
      <c r="S76" s="329"/>
    </row>
    <row r="77" spans="1:19" s="325" customFormat="1" ht="17">
      <c r="A77" s="351">
        <v>74</v>
      </c>
      <c r="B77" s="363">
        <v>44944</v>
      </c>
      <c r="C77" s="352" t="s">
        <v>810</v>
      </c>
      <c r="D77" s="364" t="s">
        <v>388</v>
      </c>
      <c r="E77" s="357"/>
      <c r="F77" s="357">
        <v>1235</v>
      </c>
      <c r="G77" s="349"/>
      <c r="H77" s="357" t="s">
        <v>389</v>
      </c>
      <c r="I77" s="357" t="s">
        <v>255</v>
      </c>
      <c r="J77" s="365"/>
      <c r="K77" s="357"/>
      <c r="L77" s="357"/>
      <c r="M77" s="357">
        <v>2</v>
      </c>
      <c r="N77" s="366" t="s">
        <v>812</v>
      </c>
      <c r="O77" s="347">
        <v>44966</v>
      </c>
      <c r="P77" s="348" t="s">
        <v>239</v>
      </c>
      <c r="Q77" s="346" t="s">
        <v>1405</v>
      </c>
      <c r="R77" s="367"/>
      <c r="S77" s="330"/>
    </row>
    <row r="78" spans="1:19" s="325" customFormat="1" ht="17">
      <c r="A78" s="351">
        <v>75</v>
      </c>
      <c r="B78" s="363">
        <v>44944</v>
      </c>
      <c r="C78" s="352" t="s">
        <v>810</v>
      </c>
      <c r="D78" s="364" t="s">
        <v>388</v>
      </c>
      <c r="E78" s="357"/>
      <c r="F78" s="357">
        <v>1155</v>
      </c>
      <c r="G78" s="349"/>
      <c r="H78" s="357" t="s">
        <v>389</v>
      </c>
      <c r="I78" s="357" t="s">
        <v>255</v>
      </c>
      <c r="J78" s="365"/>
      <c r="K78" s="357"/>
      <c r="L78" s="357"/>
      <c r="M78" s="357">
        <v>2</v>
      </c>
      <c r="N78" s="366" t="s">
        <v>812</v>
      </c>
      <c r="O78" s="347">
        <v>44966</v>
      </c>
      <c r="P78" s="348" t="s">
        <v>239</v>
      </c>
      <c r="Q78" s="346" t="s">
        <v>1405</v>
      </c>
      <c r="R78" s="358"/>
      <c r="S78" s="329"/>
    </row>
    <row r="79" spans="1:19" s="325" customFormat="1" ht="17">
      <c r="A79" s="351">
        <v>76</v>
      </c>
      <c r="B79" s="363">
        <v>44944</v>
      </c>
      <c r="C79" s="352" t="s">
        <v>810</v>
      </c>
      <c r="D79" s="364" t="s">
        <v>388</v>
      </c>
      <c r="E79" s="357"/>
      <c r="F79" s="357">
        <v>1208</v>
      </c>
      <c r="G79" s="349"/>
      <c r="H79" s="357" t="s">
        <v>389</v>
      </c>
      <c r="I79" s="357" t="s">
        <v>255</v>
      </c>
      <c r="J79" s="365"/>
      <c r="K79" s="357"/>
      <c r="L79" s="357"/>
      <c r="M79" s="357">
        <v>1</v>
      </c>
      <c r="N79" s="366" t="s">
        <v>812</v>
      </c>
      <c r="O79" s="347">
        <v>44966</v>
      </c>
      <c r="P79" s="348" t="s">
        <v>239</v>
      </c>
      <c r="Q79" s="346" t="s">
        <v>1405</v>
      </c>
      <c r="R79" s="367"/>
      <c r="S79" s="330"/>
    </row>
    <row r="80" spans="1:19" s="325" customFormat="1" ht="17">
      <c r="A80" s="351">
        <v>77</v>
      </c>
      <c r="B80" s="363">
        <v>44944</v>
      </c>
      <c r="C80" s="352" t="s">
        <v>810</v>
      </c>
      <c r="D80" s="364" t="s">
        <v>388</v>
      </c>
      <c r="E80" s="357"/>
      <c r="F80" s="357">
        <v>1438</v>
      </c>
      <c r="G80" s="349"/>
      <c r="H80" s="357" t="s">
        <v>389</v>
      </c>
      <c r="I80" s="357" t="s">
        <v>255</v>
      </c>
      <c r="J80" s="365"/>
      <c r="K80" s="357"/>
      <c r="L80" s="357"/>
      <c r="M80" s="357">
        <v>1</v>
      </c>
      <c r="N80" s="366" t="s">
        <v>812</v>
      </c>
      <c r="O80" s="347">
        <v>44966</v>
      </c>
      <c r="P80" s="348" t="s">
        <v>239</v>
      </c>
      <c r="Q80" s="346" t="s">
        <v>1405</v>
      </c>
      <c r="R80" s="358"/>
      <c r="S80" s="329"/>
    </row>
    <row r="81" spans="1:19" s="325" customFormat="1" ht="17">
      <c r="A81" s="351">
        <v>78</v>
      </c>
      <c r="B81" s="363">
        <v>44944</v>
      </c>
      <c r="C81" s="352" t="s">
        <v>810</v>
      </c>
      <c r="D81" s="364" t="s">
        <v>526</v>
      </c>
      <c r="E81" s="357"/>
      <c r="F81" s="357">
        <v>373</v>
      </c>
      <c r="G81" s="349"/>
      <c r="H81" s="357" t="s">
        <v>652</v>
      </c>
      <c r="I81" s="357" t="s">
        <v>255</v>
      </c>
      <c r="J81" s="365"/>
      <c r="K81" s="357"/>
      <c r="L81" s="357"/>
      <c r="M81" s="357">
        <v>4</v>
      </c>
      <c r="N81" s="366" t="s">
        <v>815</v>
      </c>
      <c r="O81" s="347">
        <v>44966</v>
      </c>
      <c r="P81" s="348" t="s">
        <v>239</v>
      </c>
      <c r="Q81" s="346" t="s">
        <v>1405</v>
      </c>
      <c r="R81" s="367"/>
      <c r="S81" s="330"/>
    </row>
    <row r="82" spans="1:19" s="325" customFormat="1" ht="17">
      <c r="A82" s="351">
        <v>79</v>
      </c>
      <c r="B82" s="363">
        <v>44944</v>
      </c>
      <c r="C82" s="352" t="s">
        <v>810</v>
      </c>
      <c r="D82" s="364" t="s">
        <v>526</v>
      </c>
      <c r="E82" s="357"/>
      <c r="F82" s="357">
        <v>750</v>
      </c>
      <c r="G82" s="349"/>
      <c r="H82" s="357" t="s">
        <v>652</v>
      </c>
      <c r="I82" s="357" t="s">
        <v>255</v>
      </c>
      <c r="J82" s="365"/>
      <c r="K82" s="357"/>
      <c r="L82" s="357"/>
      <c r="M82" s="357">
        <v>4</v>
      </c>
      <c r="N82" s="366" t="s">
        <v>815</v>
      </c>
      <c r="O82" s="347">
        <v>44966</v>
      </c>
      <c r="P82" s="348" t="s">
        <v>239</v>
      </c>
      <c r="Q82" s="346" t="s">
        <v>1405</v>
      </c>
      <c r="R82" s="358"/>
      <c r="S82" s="329"/>
    </row>
    <row r="83" spans="1:19" s="325" customFormat="1" ht="17">
      <c r="A83" s="351">
        <v>80</v>
      </c>
      <c r="B83" s="363">
        <v>44944</v>
      </c>
      <c r="C83" s="352" t="s">
        <v>810</v>
      </c>
      <c r="D83" s="364" t="s">
        <v>526</v>
      </c>
      <c r="E83" s="357"/>
      <c r="F83" s="357">
        <v>57</v>
      </c>
      <c r="G83" s="349"/>
      <c r="H83" s="357" t="s">
        <v>652</v>
      </c>
      <c r="I83" s="357" t="s">
        <v>255</v>
      </c>
      <c r="J83" s="365"/>
      <c r="K83" s="357"/>
      <c r="L83" s="357"/>
      <c r="M83" s="357">
        <v>2</v>
      </c>
      <c r="N83" s="366" t="s">
        <v>813</v>
      </c>
      <c r="O83" s="347">
        <v>44966</v>
      </c>
      <c r="P83" s="348" t="s">
        <v>239</v>
      </c>
      <c r="Q83" s="346" t="s">
        <v>1405</v>
      </c>
      <c r="R83" s="367"/>
      <c r="S83" s="330"/>
    </row>
    <row r="84" spans="1:19" s="325" customFormat="1" ht="17">
      <c r="A84" s="351">
        <v>81</v>
      </c>
      <c r="B84" s="363">
        <v>44944</v>
      </c>
      <c r="C84" s="352" t="s">
        <v>810</v>
      </c>
      <c r="D84" s="364" t="s">
        <v>388</v>
      </c>
      <c r="E84" s="357"/>
      <c r="F84" s="357">
        <v>181</v>
      </c>
      <c r="G84" s="349"/>
      <c r="H84" s="357" t="s">
        <v>389</v>
      </c>
      <c r="I84" s="357" t="s">
        <v>255</v>
      </c>
      <c r="J84" s="365"/>
      <c r="K84" s="357"/>
      <c r="L84" s="357"/>
      <c r="M84" s="357">
        <v>1</v>
      </c>
      <c r="N84" s="366" t="s">
        <v>813</v>
      </c>
      <c r="O84" s="347">
        <v>44966</v>
      </c>
      <c r="P84" s="348" t="s">
        <v>239</v>
      </c>
      <c r="Q84" s="346" t="s">
        <v>1405</v>
      </c>
      <c r="R84" s="358"/>
      <c r="S84" s="329"/>
    </row>
    <row r="85" spans="1:19" s="325" customFormat="1" ht="17">
      <c r="A85" s="351">
        <v>82</v>
      </c>
      <c r="B85" s="363">
        <v>44944</v>
      </c>
      <c r="C85" s="352" t="s">
        <v>810</v>
      </c>
      <c r="D85" s="364" t="s">
        <v>526</v>
      </c>
      <c r="E85" s="357"/>
      <c r="F85" s="357">
        <v>499</v>
      </c>
      <c r="G85" s="349"/>
      <c r="H85" s="357" t="s">
        <v>652</v>
      </c>
      <c r="I85" s="357" t="s">
        <v>255</v>
      </c>
      <c r="J85" s="365"/>
      <c r="K85" s="357"/>
      <c r="L85" s="357"/>
      <c r="M85" s="357">
        <v>1</v>
      </c>
      <c r="N85" s="366" t="s">
        <v>813</v>
      </c>
      <c r="O85" s="347">
        <v>44966</v>
      </c>
      <c r="P85" s="348" t="s">
        <v>239</v>
      </c>
      <c r="Q85" s="346" t="s">
        <v>1405</v>
      </c>
      <c r="R85" s="367"/>
      <c r="S85" s="330"/>
    </row>
    <row r="86" spans="1:19" s="325" customFormat="1" ht="17">
      <c r="A86" s="351">
        <v>83</v>
      </c>
      <c r="B86" s="363">
        <v>44944</v>
      </c>
      <c r="C86" s="352" t="s">
        <v>810</v>
      </c>
      <c r="D86" s="364" t="s">
        <v>388</v>
      </c>
      <c r="E86" s="357"/>
      <c r="F86" s="357">
        <v>80</v>
      </c>
      <c r="G86" s="349"/>
      <c r="H86" s="357" t="s">
        <v>389</v>
      </c>
      <c r="I86" s="357" t="s">
        <v>255</v>
      </c>
      <c r="J86" s="365"/>
      <c r="K86" s="357"/>
      <c r="L86" s="357"/>
      <c r="M86" s="357">
        <v>1</v>
      </c>
      <c r="N86" s="366" t="s">
        <v>813</v>
      </c>
      <c r="O86" s="347">
        <v>44966</v>
      </c>
      <c r="P86" s="348" t="s">
        <v>239</v>
      </c>
      <c r="Q86" s="346" t="s">
        <v>1405</v>
      </c>
      <c r="R86" s="358"/>
      <c r="S86" s="329"/>
    </row>
    <row r="87" spans="1:19" s="325" customFormat="1" ht="17">
      <c r="A87" s="351">
        <v>84</v>
      </c>
      <c r="B87" s="363">
        <v>44944</v>
      </c>
      <c r="C87" s="352" t="s">
        <v>810</v>
      </c>
      <c r="D87" s="364" t="s">
        <v>388</v>
      </c>
      <c r="E87" s="357"/>
      <c r="F87" s="357">
        <v>82</v>
      </c>
      <c r="G87" s="349"/>
      <c r="H87" s="357" t="s">
        <v>389</v>
      </c>
      <c r="I87" s="357" t="s">
        <v>255</v>
      </c>
      <c r="J87" s="365"/>
      <c r="K87" s="357"/>
      <c r="L87" s="357"/>
      <c r="M87" s="357">
        <v>2</v>
      </c>
      <c r="N87" s="366" t="s">
        <v>813</v>
      </c>
      <c r="O87" s="347">
        <v>44966</v>
      </c>
      <c r="P87" s="348" t="s">
        <v>239</v>
      </c>
      <c r="Q87" s="346" t="s">
        <v>1405</v>
      </c>
      <c r="R87" s="367"/>
      <c r="S87" s="330"/>
    </row>
    <row r="88" spans="1:19" s="325" customFormat="1" ht="17">
      <c r="A88" s="351">
        <v>85</v>
      </c>
      <c r="B88" s="363">
        <v>44944</v>
      </c>
      <c r="C88" s="352" t="s">
        <v>810</v>
      </c>
      <c r="D88" s="364" t="s">
        <v>388</v>
      </c>
      <c r="E88" s="357"/>
      <c r="F88" s="357">
        <v>1155</v>
      </c>
      <c r="G88" s="349"/>
      <c r="H88" s="357" t="s">
        <v>389</v>
      </c>
      <c r="I88" s="357" t="s">
        <v>255</v>
      </c>
      <c r="J88" s="365"/>
      <c r="K88" s="357"/>
      <c r="L88" s="357"/>
      <c r="M88" s="357">
        <v>1</v>
      </c>
      <c r="N88" s="366" t="s">
        <v>813</v>
      </c>
      <c r="O88" s="347">
        <v>44966</v>
      </c>
      <c r="P88" s="348" t="s">
        <v>239</v>
      </c>
      <c r="Q88" s="346" t="s">
        <v>1405</v>
      </c>
      <c r="R88" s="358"/>
      <c r="S88" s="329"/>
    </row>
    <row r="89" spans="1:19" s="325" customFormat="1" ht="17">
      <c r="A89" s="351">
        <v>86</v>
      </c>
      <c r="B89" s="363">
        <v>44944</v>
      </c>
      <c r="C89" s="352" t="s">
        <v>810</v>
      </c>
      <c r="D89" s="364" t="s">
        <v>388</v>
      </c>
      <c r="E89" s="357"/>
      <c r="F89" s="357">
        <v>499</v>
      </c>
      <c r="G89" s="349"/>
      <c r="H89" s="357" t="s">
        <v>389</v>
      </c>
      <c r="I89" s="357" t="s">
        <v>255</v>
      </c>
      <c r="J89" s="365"/>
      <c r="K89" s="357"/>
      <c r="L89" s="357"/>
      <c r="M89" s="357">
        <v>2</v>
      </c>
      <c r="N89" s="366" t="s">
        <v>813</v>
      </c>
      <c r="O89" s="347">
        <v>44966</v>
      </c>
      <c r="P89" s="348" t="s">
        <v>239</v>
      </c>
      <c r="Q89" s="346" t="s">
        <v>1405</v>
      </c>
      <c r="R89" s="367"/>
      <c r="S89" s="330"/>
    </row>
    <row r="90" spans="1:19" s="325" customFormat="1" ht="17">
      <c r="A90" s="351">
        <v>87</v>
      </c>
      <c r="B90" s="363">
        <v>44944</v>
      </c>
      <c r="C90" s="352" t="s">
        <v>810</v>
      </c>
      <c r="D90" s="364" t="s">
        <v>526</v>
      </c>
      <c r="E90" s="357"/>
      <c r="F90" s="357">
        <v>95</v>
      </c>
      <c r="G90" s="349"/>
      <c r="H90" s="357" t="s">
        <v>652</v>
      </c>
      <c r="I90" s="357" t="s">
        <v>255</v>
      </c>
      <c r="J90" s="365"/>
      <c r="K90" s="357"/>
      <c r="L90" s="357"/>
      <c r="M90" s="357">
        <v>4</v>
      </c>
      <c r="N90" s="366" t="s">
        <v>813</v>
      </c>
      <c r="O90" s="347">
        <v>44966</v>
      </c>
      <c r="P90" s="348" t="s">
        <v>239</v>
      </c>
      <c r="Q90" s="346" t="s">
        <v>1405</v>
      </c>
      <c r="R90" s="358"/>
      <c r="S90" s="329"/>
    </row>
    <row r="91" spans="1:19" s="325" customFormat="1" ht="17">
      <c r="A91" s="351">
        <v>88</v>
      </c>
      <c r="B91" s="363">
        <v>44944</v>
      </c>
      <c r="C91" s="352" t="s">
        <v>810</v>
      </c>
      <c r="D91" s="364" t="s">
        <v>526</v>
      </c>
      <c r="E91" s="357"/>
      <c r="F91" s="357">
        <v>65</v>
      </c>
      <c r="G91" s="349"/>
      <c r="H91" s="357" t="s">
        <v>652</v>
      </c>
      <c r="I91" s="357" t="s">
        <v>255</v>
      </c>
      <c r="J91" s="365"/>
      <c r="K91" s="357"/>
      <c r="L91" s="357"/>
      <c r="M91" s="357">
        <v>2</v>
      </c>
      <c r="N91" s="366" t="s">
        <v>813</v>
      </c>
      <c r="O91" s="347">
        <v>44966</v>
      </c>
      <c r="P91" s="348" t="s">
        <v>239</v>
      </c>
      <c r="Q91" s="346" t="s">
        <v>1405</v>
      </c>
      <c r="R91" s="367"/>
      <c r="S91" s="330"/>
    </row>
    <row r="92" spans="1:19" s="325" customFormat="1" ht="17">
      <c r="A92" s="351">
        <v>89</v>
      </c>
      <c r="B92" s="363">
        <v>44944</v>
      </c>
      <c r="C92" s="352" t="s">
        <v>810</v>
      </c>
      <c r="D92" s="364" t="s">
        <v>388</v>
      </c>
      <c r="E92" s="357"/>
      <c r="F92" s="357">
        <v>484</v>
      </c>
      <c r="G92" s="349"/>
      <c r="H92" s="357" t="s">
        <v>389</v>
      </c>
      <c r="I92" s="357" t="s">
        <v>255</v>
      </c>
      <c r="J92" s="365"/>
      <c r="K92" s="357"/>
      <c r="L92" s="357"/>
      <c r="M92" s="357">
        <v>2</v>
      </c>
      <c r="N92" s="366" t="s">
        <v>813</v>
      </c>
      <c r="O92" s="347">
        <v>44966</v>
      </c>
      <c r="P92" s="348" t="s">
        <v>239</v>
      </c>
      <c r="Q92" s="346" t="s">
        <v>1405</v>
      </c>
      <c r="R92" s="358"/>
      <c r="S92" s="329"/>
    </row>
    <row r="93" spans="1:19" s="325" customFormat="1" ht="17">
      <c r="A93" s="351">
        <v>90</v>
      </c>
      <c r="B93" s="363">
        <v>44944</v>
      </c>
      <c r="C93" s="352" t="s">
        <v>810</v>
      </c>
      <c r="D93" s="364" t="s">
        <v>526</v>
      </c>
      <c r="E93" s="357" t="s">
        <v>1583</v>
      </c>
      <c r="F93" s="357">
        <v>484</v>
      </c>
      <c r="G93" s="349"/>
      <c r="H93" s="357" t="s">
        <v>652</v>
      </c>
      <c r="I93" s="357" t="s">
        <v>255</v>
      </c>
      <c r="J93" s="365"/>
      <c r="K93" s="357"/>
      <c r="L93" s="357"/>
      <c r="M93" s="357">
        <v>6</v>
      </c>
      <c r="N93" s="366" t="s">
        <v>813</v>
      </c>
      <c r="O93" s="347">
        <v>44966</v>
      </c>
      <c r="P93" s="348" t="s">
        <v>239</v>
      </c>
      <c r="Q93" s="346" t="s">
        <v>1405</v>
      </c>
      <c r="R93" s="367"/>
      <c r="S93" s="330"/>
    </row>
    <row r="94" spans="1:19" s="325" customFormat="1" ht="17">
      <c r="A94" s="351">
        <v>91</v>
      </c>
      <c r="B94" s="363">
        <v>44944</v>
      </c>
      <c r="C94" s="352" t="s">
        <v>810</v>
      </c>
      <c r="D94" s="364" t="s">
        <v>526</v>
      </c>
      <c r="E94" s="357"/>
      <c r="F94" s="357">
        <v>1430</v>
      </c>
      <c r="G94" s="349"/>
      <c r="H94" s="357" t="s">
        <v>652</v>
      </c>
      <c r="I94" s="357" t="s">
        <v>255</v>
      </c>
      <c r="J94" s="365"/>
      <c r="K94" s="357"/>
      <c r="L94" s="357"/>
      <c r="M94" s="357">
        <v>4</v>
      </c>
      <c r="N94" s="366" t="s">
        <v>813</v>
      </c>
      <c r="O94" s="347">
        <v>44966</v>
      </c>
      <c r="P94" s="348" t="s">
        <v>239</v>
      </c>
      <c r="Q94" s="346" t="s">
        <v>1405</v>
      </c>
      <c r="R94" s="358"/>
      <c r="S94" s="329"/>
    </row>
    <row r="95" spans="1:19" s="325" customFormat="1" ht="17">
      <c r="A95" s="351">
        <v>92</v>
      </c>
      <c r="B95" s="363">
        <v>44944</v>
      </c>
      <c r="C95" s="352" t="s">
        <v>810</v>
      </c>
      <c r="D95" s="364" t="s">
        <v>526</v>
      </c>
      <c r="E95" s="357"/>
      <c r="F95" s="357">
        <v>1155</v>
      </c>
      <c r="G95" s="349"/>
      <c r="H95" s="357" t="s">
        <v>652</v>
      </c>
      <c r="I95" s="357" t="s">
        <v>255</v>
      </c>
      <c r="J95" s="365"/>
      <c r="K95" s="357"/>
      <c r="L95" s="357"/>
      <c r="M95" s="357">
        <v>6</v>
      </c>
      <c r="N95" s="366" t="s">
        <v>813</v>
      </c>
      <c r="O95" s="347">
        <v>44966</v>
      </c>
      <c r="P95" s="348" t="s">
        <v>239</v>
      </c>
      <c r="Q95" s="346" t="s">
        <v>1405</v>
      </c>
      <c r="R95" s="367"/>
      <c r="S95" s="330"/>
    </row>
    <row r="96" spans="1:19" s="325" customFormat="1" ht="17">
      <c r="A96" s="351">
        <v>93</v>
      </c>
      <c r="B96" s="363">
        <v>44944</v>
      </c>
      <c r="C96" s="352" t="s">
        <v>810</v>
      </c>
      <c r="D96" s="364" t="s">
        <v>526</v>
      </c>
      <c r="E96" s="357"/>
      <c r="F96" s="357">
        <v>644</v>
      </c>
      <c r="G96" s="349"/>
      <c r="H96" s="357" t="s">
        <v>652</v>
      </c>
      <c r="I96" s="357" t="s">
        <v>255</v>
      </c>
      <c r="J96" s="365"/>
      <c r="K96" s="357"/>
      <c r="L96" s="357"/>
      <c r="M96" s="357">
        <v>4</v>
      </c>
      <c r="N96" s="366" t="s">
        <v>813</v>
      </c>
      <c r="O96" s="347">
        <v>44966</v>
      </c>
      <c r="P96" s="348" t="s">
        <v>239</v>
      </c>
      <c r="Q96" s="346" t="s">
        <v>1405</v>
      </c>
      <c r="R96" s="358"/>
      <c r="S96" s="329"/>
    </row>
    <row r="97" spans="1:19" s="325" customFormat="1" ht="17">
      <c r="A97" s="351">
        <v>94</v>
      </c>
      <c r="B97" s="363">
        <v>44944</v>
      </c>
      <c r="C97" s="352" t="s">
        <v>810</v>
      </c>
      <c r="D97" s="364" t="s">
        <v>526</v>
      </c>
      <c r="E97" s="357"/>
      <c r="F97" s="357">
        <v>450</v>
      </c>
      <c r="G97" s="349"/>
      <c r="H97" s="357" t="s">
        <v>652</v>
      </c>
      <c r="I97" s="357" t="s">
        <v>255</v>
      </c>
      <c r="J97" s="365"/>
      <c r="K97" s="357"/>
      <c r="L97" s="357"/>
      <c r="M97" s="357">
        <v>6</v>
      </c>
      <c r="N97" s="366" t="s">
        <v>814</v>
      </c>
      <c r="O97" s="347">
        <v>44966</v>
      </c>
      <c r="P97" s="348" t="s">
        <v>239</v>
      </c>
      <c r="Q97" s="346" t="s">
        <v>1405</v>
      </c>
      <c r="R97" s="367"/>
      <c r="S97" s="330"/>
    </row>
    <row r="98" spans="1:19" s="325" customFormat="1" ht="17">
      <c r="A98" s="351">
        <v>95</v>
      </c>
      <c r="B98" s="363">
        <v>44944</v>
      </c>
      <c r="C98" s="352" t="s">
        <v>810</v>
      </c>
      <c r="D98" s="364" t="s">
        <v>526</v>
      </c>
      <c r="E98" s="357"/>
      <c r="F98" s="357">
        <v>373</v>
      </c>
      <c r="G98" s="349"/>
      <c r="H98" s="357" t="s">
        <v>652</v>
      </c>
      <c r="I98" s="357" t="s">
        <v>255</v>
      </c>
      <c r="J98" s="365"/>
      <c r="K98" s="357"/>
      <c r="L98" s="357"/>
      <c r="M98" s="357">
        <v>4</v>
      </c>
      <c r="N98" s="366" t="s">
        <v>816</v>
      </c>
      <c r="O98" s="347">
        <v>44966</v>
      </c>
      <c r="P98" s="348" t="s">
        <v>239</v>
      </c>
      <c r="Q98" s="346" t="s">
        <v>1405</v>
      </c>
      <c r="R98" s="358"/>
      <c r="S98" s="329"/>
    </row>
    <row r="99" spans="1:19" s="325" customFormat="1" ht="17">
      <c r="A99" s="351">
        <v>96</v>
      </c>
      <c r="B99" s="363">
        <v>44944</v>
      </c>
      <c r="C99" s="352" t="s">
        <v>810</v>
      </c>
      <c r="D99" s="364" t="s">
        <v>526</v>
      </c>
      <c r="E99" s="357"/>
      <c r="F99" s="357">
        <v>500</v>
      </c>
      <c r="G99" s="349"/>
      <c r="H99" s="357" t="s">
        <v>652</v>
      </c>
      <c r="I99" s="357" t="s">
        <v>255</v>
      </c>
      <c r="J99" s="365"/>
      <c r="K99" s="357"/>
      <c r="L99" s="357"/>
      <c r="M99" s="357">
        <v>4</v>
      </c>
      <c r="N99" s="366" t="s">
        <v>816</v>
      </c>
      <c r="O99" s="347">
        <v>44966</v>
      </c>
      <c r="P99" s="348" t="s">
        <v>239</v>
      </c>
      <c r="Q99" s="346" t="s">
        <v>1405</v>
      </c>
      <c r="R99" s="367"/>
      <c r="S99" s="330"/>
    </row>
    <row r="100" spans="1:19" s="325" customFormat="1" ht="17">
      <c r="A100" s="351">
        <v>97</v>
      </c>
      <c r="B100" s="363">
        <v>44958</v>
      </c>
      <c r="C100" s="352" t="s">
        <v>254</v>
      </c>
      <c r="D100" s="364" t="s">
        <v>388</v>
      </c>
      <c r="E100" s="357"/>
      <c r="F100" s="357">
        <v>1160</v>
      </c>
      <c r="G100" s="349"/>
      <c r="H100" s="357" t="s">
        <v>389</v>
      </c>
      <c r="I100" s="357" t="s">
        <v>255</v>
      </c>
      <c r="J100" s="365"/>
      <c r="K100" s="357"/>
      <c r="L100" s="357"/>
      <c r="M100" s="357">
        <v>2</v>
      </c>
      <c r="N100" s="366" t="s">
        <v>1314</v>
      </c>
      <c r="O100" s="347">
        <v>44966</v>
      </c>
      <c r="P100" s="348" t="s">
        <v>239</v>
      </c>
      <c r="Q100" s="346" t="s">
        <v>1405</v>
      </c>
      <c r="R100" s="367"/>
      <c r="S100" s="331"/>
    </row>
    <row r="101" spans="1:19" s="325" customFormat="1" ht="17">
      <c r="A101" s="351">
        <v>98</v>
      </c>
      <c r="B101" s="363">
        <v>44958</v>
      </c>
      <c r="C101" s="352" t="s">
        <v>254</v>
      </c>
      <c r="D101" s="364" t="s">
        <v>388</v>
      </c>
      <c r="E101" s="357" t="s">
        <v>1582</v>
      </c>
      <c r="F101" s="357">
        <v>680</v>
      </c>
      <c r="G101" s="349"/>
      <c r="H101" s="357" t="s">
        <v>389</v>
      </c>
      <c r="I101" s="357" t="s">
        <v>255</v>
      </c>
      <c r="J101" s="365"/>
      <c r="K101" s="357"/>
      <c r="L101" s="357"/>
      <c r="M101" s="357">
        <v>4</v>
      </c>
      <c r="N101" s="366" t="s">
        <v>1317</v>
      </c>
      <c r="O101" s="347">
        <v>44966</v>
      </c>
      <c r="P101" s="348" t="s">
        <v>239</v>
      </c>
      <c r="Q101" s="346" t="s">
        <v>1405</v>
      </c>
      <c r="R101" s="367"/>
      <c r="S101" s="332"/>
    </row>
    <row r="102" spans="1:19" s="325" customFormat="1" ht="17">
      <c r="A102" s="351">
        <v>99</v>
      </c>
      <c r="B102" s="363">
        <v>44958</v>
      </c>
      <c r="C102" s="352" t="s">
        <v>254</v>
      </c>
      <c r="D102" s="364" t="s">
        <v>388</v>
      </c>
      <c r="E102" s="357"/>
      <c r="F102" s="357">
        <v>620</v>
      </c>
      <c r="G102" s="349"/>
      <c r="H102" s="357" t="s">
        <v>389</v>
      </c>
      <c r="I102" s="357" t="s">
        <v>255</v>
      </c>
      <c r="J102" s="365"/>
      <c r="K102" s="357"/>
      <c r="L102" s="357"/>
      <c r="M102" s="357">
        <v>2</v>
      </c>
      <c r="N102" s="366" t="s">
        <v>1317</v>
      </c>
      <c r="O102" s="347">
        <v>44966</v>
      </c>
      <c r="P102" s="348" t="s">
        <v>239</v>
      </c>
      <c r="Q102" s="346" t="s">
        <v>1405</v>
      </c>
      <c r="R102" s="367"/>
      <c r="S102" s="332"/>
    </row>
    <row r="103" spans="1:19" ht="17">
      <c r="A103" s="490">
        <v>100</v>
      </c>
      <c r="B103" s="491">
        <v>44984</v>
      </c>
      <c r="C103" s="491" t="s">
        <v>1465</v>
      </c>
      <c r="D103" s="492" t="s">
        <v>388</v>
      </c>
      <c r="E103" s="493"/>
      <c r="F103" s="426">
        <v>255</v>
      </c>
      <c r="G103" s="65"/>
      <c r="H103" s="426" t="s">
        <v>389</v>
      </c>
      <c r="I103" s="407"/>
      <c r="J103" s="494"/>
      <c r="K103" s="495"/>
      <c r="L103" s="495"/>
      <c r="M103" s="426">
        <v>2</v>
      </c>
      <c r="N103" s="409" t="s">
        <v>720</v>
      </c>
      <c r="O103" s="410"/>
      <c r="P103" s="411" t="s">
        <v>529</v>
      </c>
      <c r="Q103" s="411" t="s">
        <v>1610</v>
      </c>
      <c r="R103" s="407" t="s">
        <v>1611</v>
      </c>
      <c r="S103" s="409"/>
    </row>
    <row r="104" spans="1:19" ht="17">
      <c r="A104" s="490">
        <v>101</v>
      </c>
      <c r="B104" s="491">
        <v>44984</v>
      </c>
      <c r="C104" s="491" t="s">
        <v>1465</v>
      </c>
      <c r="D104" s="492" t="s">
        <v>388</v>
      </c>
      <c r="E104" s="493"/>
      <c r="F104" s="426">
        <v>870</v>
      </c>
      <c r="G104" s="65"/>
      <c r="H104" s="426" t="s">
        <v>389</v>
      </c>
      <c r="I104" s="407"/>
      <c r="J104" s="494"/>
      <c r="K104" s="495"/>
      <c r="L104" s="495"/>
      <c r="M104" s="426">
        <v>3</v>
      </c>
      <c r="N104" s="409" t="s">
        <v>720</v>
      </c>
      <c r="O104" s="410"/>
      <c r="P104" s="411" t="s">
        <v>529</v>
      </c>
      <c r="Q104" s="411" t="s">
        <v>1610</v>
      </c>
      <c r="R104" s="407" t="s">
        <v>1611</v>
      </c>
      <c r="S104" s="409"/>
    </row>
    <row r="105" spans="1:19" ht="17">
      <c r="A105" s="490">
        <v>102</v>
      </c>
      <c r="B105" s="491">
        <v>44984</v>
      </c>
      <c r="C105" s="491" t="s">
        <v>1465</v>
      </c>
      <c r="D105" s="492" t="s">
        <v>388</v>
      </c>
      <c r="E105" s="493"/>
      <c r="F105" s="426">
        <v>920</v>
      </c>
      <c r="G105" s="65"/>
      <c r="H105" s="426" t="s">
        <v>389</v>
      </c>
      <c r="I105" s="407"/>
      <c r="J105" s="494"/>
      <c r="K105" s="495"/>
      <c r="L105" s="495"/>
      <c r="M105" s="426">
        <v>2</v>
      </c>
      <c r="N105" s="409" t="s">
        <v>720</v>
      </c>
      <c r="O105" s="410"/>
      <c r="P105" s="411" t="s">
        <v>529</v>
      </c>
      <c r="Q105" s="411" t="s">
        <v>1610</v>
      </c>
      <c r="R105" s="407" t="s">
        <v>1611</v>
      </c>
      <c r="S105" s="409"/>
    </row>
    <row r="106" spans="1:19" ht="17">
      <c r="A106" s="490">
        <v>103</v>
      </c>
      <c r="B106" s="491">
        <v>44984</v>
      </c>
      <c r="C106" s="491" t="s">
        <v>1465</v>
      </c>
      <c r="D106" s="492" t="s">
        <v>388</v>
      </c>
      <c r="E106" s="493"/>
      <c r="F106" s="426">
        <v>1207</v>
      </c>
      <c r="G106" s="65"/>
      <c r="H106" s="426" t="s">
        <v>389</v>
      </c>
      <c r="I106" s="407"/>
      <c r="J106" s="494"/>
      <c r="K106" s="495"/>
      <c r="L106" s="495"/>
      <c r="M106" s="426">
        <v>1</v>
      </c>
      <c r="N106" s="409" t="s">
        <v>720</v>
      </c>
      <c r="O106" s="410"/>
      <c r="P106" s="411" t="s">
        <v>529</v>
      </c>
      <c r="Q106" s="411" t="s">
        <v>1610</v>
      </c>
      <c r="R106" s="407" t="s">
        <v>1611</v>
      </c>
      <c r="S106" s="409"/>
    </row>
    <row r="107" spans="1:19" ht="17">
      <c r="A107" s="490">
        <v>104</v>
      </c>
      <c r="B107" s="491">
        <v>44984</v>
      </c>
      <c r="C107" s="491" t="s">
        <v>1465</v>
      </c>
      <c r="D107" s="492" t="s">
        <v>388</v>
      </c>
      <c r="E107" s="493"/>
      <c r="F107" s="426">
        <v>1287</v>
      </c>
      <c r="G107" s="65"/>
      <c r="H107" s="426" t="s">
        <v>389</v>
      </c>
      <c r="I107" s="407"/>
      <c r="J107" s="494"/>
      <c r="K107" s="495"/>
      <c r="L107" s="495"/>
      <c r="M107" s="426">
        <v>1</v>
      </c>
      <c r="N107" s="409" t="s">
        <v>720</v>
      </c>
      <c r="O107" s="410"/>
      <c r="P107" s="411" t="s">
        <v>529</v>
      </c>
      <c r="Q107" s="411" t="s">
        <v>1610</v>
      </c>
      <c r="R107" s="407" t="s">
        <v>1611</v>
      </c>
      <c r="S107" s="409"/>
    </row>
    <row r="108" spans="1:19" ht="17">
      <c r="A108" s="490">
        <v>105</v>
      </c>
      <c r="B108" s="491">
        <v>44984</v>
      </c>
      <c r="C108" s="491" t="s">
        <v>1465</v>
      </c>
      <c r="D108" s="492" t="s">
        <v>388</v>
      </c>
      <c r="E108" s="493"/>
      <c r="F108" s="426">
        <v>1847</v>
      </c>
      <c r="G108" s="65"/>
      <c r="H108" s="426" t="s">
        <v>389</v>
      </c>
      <c r="I108" s="407"/>
      <c r="J108" s="494"/>
      <c r="K108" s="495"/>
      <c r="L108" s="495"/>
      <c r="M108" s="426">
        <v>2</v>
      </c>
      <c r="N108" s="409" t="s">
        <v>720</v>
      </c>
      <c r="O108" s="410"/>
      <c r="P108" s="411" t="s">
        <v>529</v>
      </c>
      <c r="Q108" s="411" t="s">
        <v>1610</v>
      </c>
      <c r="R108" s="407" t="s">
        <v>1611</v>
      </c>
      <c r="S108" s="409"/>
    </row>
    <row r="109" spans="1:19" ht="17">
      <c r="A109" s="490">
        <v>106</v>
      </c>
      <c r="B109" s="491">
        <v>44984</v>
      </c>
      <c r="C109" s="491" t="s">
        <v>1465</v>
      </c>
      <c r="D109" s="492" t="s">
        <v>388</v>
      </c>
      <c r="E109" s="493"/>
      <c r="F109" s="426">
        <v>1008.5</v>
      </c>
      <c r="G109" s="65"/>
      <c r="H109" s="426" t="s">
        <v>389</v>
      </c>
      <c r="I109" s="407"/>
      <c r="J109" s="494"/>
      <c r="K109" s="495"/>
      <c r="L109" s="495"/>
      <c r="M109" s="426">
        <v>1</v>
      </c>
      <c r="N109" s="409" t="s">
        <v>720</v>
      </c>
      <c r="O109" s="410"/>
      <c r="P109" s="411" t="s">
        <v>529</v>
      </c>
      <c r="Q109" s="411" t="s">
        <v>1610</v>
      </c>
      <c r="R109" s="407" t="s">
        <v>1611</v>
      </c>
      <c r="S109" s="409"/>
    </row>
    <row r="110" spans="1:19" ht="17">
      <c r="A110" s="490">
        <v>107</v>
      </c>
      <c r="B110" s="491">
        <v>44984</v>
      </c>
      <c r="C110" s="491" t="s">
        <v>1465</v>
      </c>
      <c r="D110" s="492" t="s">
        <v>526</v>
      </c>
      <c r="E110" s="493"/>
      <c r="F110" s="426">
        <v>927.5</v>
      </c>
      <c r="G110" s="65"/>
      <c r="H110" s="426" t="s">
        <v>652</v>
      </c>
      <c r="I110" s="407"/>
      <c r="J110" s="494"/>
      <c r="K110" s="495"/>
      <c r="L110" s="495"/>
      <c r="M110" s="426">
        <v>1</v>
      </c>
      <c r="N110" s="409" t="s">
        <v>720</v>
      </c>
      <c r="O110" s="410"/>
      <c r="P110" s="411" t="s">
        <v>529</v>
      </c>
      <c r="Q110" s="411" t="s">
        <v>1610</v>
      </c>
      <c r="R110" s="407" t="s">
        <v>1611</v>
      </c>
      <c r="S110" s="409"/>
    </row>
    <row r="111" spans="1:19" ht="17">
      <c r="A111" s="490">
        <v>108</v>
      </c>
      <c r="B111" s="491">
        <v>44984</v>
      </c>
      <c r="C111" s="491" t="s">
        <v>1465</v>
      </c>
      <c r="D111" s="492" t="s">
        <v>526</v>
      </c>
      <c r="E111" s="493"/>
      <c r="F111" s="426">
        <v>73</v>
      </c>
      <c r="G111" s="65"/>
      <c r="H111" s="426" t="s">
        <v>652</v>
      </c>
      <c r="I111" s="407"/>
      <c r="J111" s="494"/>
      <c r="K111" s="495"/>
      <c r="L111" s="495"/>
      <c r="M111" s="426">
        <v>2</v>
      </c>
      <c r="N111" s="409" t="s">
        <v>720</v>
      </c>
      <c r="O111" s="410"/>
      <c r="P111" s="411" t="s">
        <v>529</v>
      </c>
      <c r="Q111" s="411" t="s">
        <v>1610</v>
      </c>
      <c r="R111" s="407" t="s">
        <v>1611</v>
      </c>
      <c r="S111" s="409"/>
    </row>
    <row r="112" spans="1:19" ht="17">
      <c r="A112" s="490">
        <v>109</v>
      </c>
      <c r="B112" s="491">
        <v>44984</v>
      </c>
      <c r="C112" s="491" t="s">
        <v>1465</v>
      </c>
      <c r="D112" s="492" t="s">
        <v>526</v>
      </c>
      <c r="E112" s="493"/>
      <c r="F112" s="426">
        <v>632</v>
      </c>
      <c r="G112" s="65"/>
      <c r="H112" s="426" t="s">
        <v>652</v>
      </c>
      <c r="I112" s="407"/>
      <c r="J112" s="494"/>
      <c r="K112" s="495"/>
      <c r="L112" s="495"/>
      <c r="M112" s="426">
        <v>1</v>
      </c>
      <c r="N112" s="409" t="s">
        <v>720</v>
      </c>
      <c r="O112" s="410"/>
      <c r="P112" s="411" t="s">
        <v>529</v>
      </c>
      <c r="Q112" s="411" t="s">
        <v>1610</v>
      </c>
      <c r="R112" s="407" t="s">
        <v>1611</v>
      </c>
      <c r="S112" s="409"/>
    </row>
    <row r="113" spans="1:19" ht="17">
      <c r="A113" s="490">
        <v>110</v>
      </c>
      <c r="B113" s="491">
        <v>44984</v>
      </c>
      <c r="C113" s="491" t="s">
        <v>1465</v>
      </c>
      <c r="D113" s="492" t="s">
        <v>526</v>
      </c>
      <c r="E113" s="493"/>
      <c r="F113" s="426">
        <v>210</v>
      </c>
      <c r="G113" s="65"/>
      <c r="H113" s="426" t="s">
        <v>652</v>
      </c>
      <c r="I113" s="407"/>
      <c r="J113" s="494"/>
      <c r="K113" s="495"/>
      <c r="L113" s="495"/>
      <c r="M113" s="426">
        <v>1</v>
      </c>
      <c r="N113" s="409" t="s">
        <v>720</v>
      </c>
      <c r="O113" s="410"/>
      <c r="P113" s="411" t="s">
        <v>529</v>
      </c>
      <c r="Q113" s="411" t="s">
        <v>1610</v>
      </c>
      <c r="R113" s="407" t="s">
        <v>1611</v>
      </c>
      <c r="S113" s="409"/>
    </row>
    <row r="114" spans="1:19" ht="17">
      <c r="A114" s="490">
        <v>111</v>
      </c>
      <c r="B114" s="491">
        <v>44984</v>
      </c>
      <c r="C114" s="491" t="s">
        <v>1465</v>
      </c>
      <c r="D114" s="492" t="s">
        <v>388</v>
      </c>
      <c r="E114" s="493"/>
      <c r="F114" s="426">
        <v>1370</v>
      </c>
      <c r="G114" s="65"/>
      <c r="H114" s="426" t="s">
        <v>389</v>
      </c>
      <c r="I114" s="407"/>
      <c r="J114" s="494"/>
      <c r="K114" s="495"/>
      <c r="L114" s="495"/>
      <c r="M114" s="426">
        <v>1</v>
      </c>
      <c r="N114" s="409" t="s">
        <v>720</v>
      </c>
      <c r="O114" s="410"/>
      <c r="P114" s="411" t="s">
        <v>529</v>
      </c>
      <c r="Q114" s="411" t="s">
        <v>1610</v>
      </c>
      <c r="R114" s="407" t="s">
        <v>1611</v>
      </c>
      <c r="S114" s="409"/>
    </row>
    <row r="115" spans="1:19" ht="17">
      <c r="A115" s="490">
        <v>112</v>
      </c>
      <c r="B115" s="491">
        <v>44984</v>
      </c>
      <c r="C115" s="491" t="s">
        <v>1465</v>
      </c>
      <c r="D115" s="492" t="s">
        <v>388</v>
      </c>
      <c r="E115" s="493"/>
      <c r="F115" s="426">
        <v>723</v>
      </c>
      <c r="G115" s="65"/>
      <c r="H115" s="426" t="s">
        <v>389</v>
      </c>
      <c r="I115" s="407"/>
      <c r="J115" s="494"/>
      <c r="K115" s="495"/>
      <c r="L115" s="495"/>
      <c r="M115" s="426">
        <v>1</v>
      </c>
      <c r="N115" s="409" t="s">
        <v>720</v>
      </c>
      <c r="O115" s="410"/>
      <c r="P115" s="411" t="s">
        <v>529</v>
      </c>
      <c r="Q115" s="411" t="s">
        <v>1610</v>
      </c>
      <c r="R115" s="407" t="s">
        <v>1611</v>
      </c>
      <c r="S115" s="409"/>
    </row>
    <row r="116" spans="1:19" ht="17">
      <c r="A116" s="490">
        <v>113</v>
      </c>
      <c r="B116" s="491">
        <v>44984</v>
      </c>
      <c r="C116" s="491" t="s">
        <v>1465</v>
      </c>
      <c r="D116" s="492" t="s">
        <v>388</v>
      </c>
      <c r="E116" s="493"/>
      <c r="F116" s="426">
        <v>763</v>
      </c>
      <c r="G116" s="65"/>
      <c r="H116" s="426" t="s">
        <v>389</v>
      </c>
      <c r="I116" s="407"/>
      <c r="J116" s="494"/>
      <c r="K116" s="495"/>
      <c r="L116" s="495"/>
      <c r="M116" s="426">
        <v>1</v>
      </c>
      <c r="N116" s="409" t="s">
        <v>720</v>
      </c>
      <c r="O116" s="410"/>
      <c r="P116" s="411" t="s">
        <v>529</v>
      </c>
      <c r="Q116" s="411" t="s">
        <v>1610</v>
      </c>
      <c r="R116" s="407" t="s">
        <v>1611</v>
      </c>
      <c r="S116" s="409"/>
    </row>
    <row r="117" spans="1:19" ht="17">
      <c r="A117" s="490">
        <v>114</v>
      </c>
      <c r="B117" s="491">
        <v>44984</v>
      </c>
      <c r="C117" s="491" t="s">
        <v>1465</v>
      </c>
      <c r="D117" s="492" t="s">
        <v>388</v>
      </c>
      <c r="E117" s="493"/>
      <c r="F117" s="426">
        <v>968.5</v>
      </c>
      <c r="G117" s="65"/>
      <c r="H117" s="426" t="s">
        <v>389</v>
      </c>
      <c r="I117" s="407"/>
      <c r="J117" s="494"/>
      <c r="K117" s="495"/>
      <c r="L117" s="495"/>
      <c r="M117" s="426">
        <v>1</v>
      </c>
      <c r="N117" s="409" t="s">
        <v>720</v>
      </c>
      <c r="O117" s="410"/>
      <c r="P117" s="411" t="s">
        <v>529</v>
      </c>
      <c r="Q117" s="411" t="s">
        <v>1610</v>
      </c>
      <c r="R117" s="407" t="s">
        <v>1611</v>
      </c>
      <c r="S117" s="409"/>
    </row>
    <row r="118" spans="1:19" ht="17">
      <c r="A118" s="490">
        <v>115</v>
      </c>
      <c r="B118" s="491">
        <v>44984</v>
      </c>
      <c r="C118" s="491" t="s">
        <v>1465</v>
      </c>
      <c r="D118" s="492" t="s">
        <v>526</v>
      </c>
      <c r="E118" s="493"/>
      <c r="F118" s="426">
        <v>169</v>
      </c>
      <c r="G118" s="65"/>
      <c r="H118" s="426" t="s">
        <v>652</v>
      </c>
      <c r="I118" s="407"/>
      <c r="J118" s="494"/>
      <c r="K118" s="495"/>
      <c r="L118" s="495"/>
      <c r="M118" s="426">
        <v>2</v>
      </c>
      <c r="N118" s="409" t="s">
        <v>720</v>
      </c>
      <c r="O118" s="410"/>
      <c r="P118" s="411" t="s">
        <v>529</v>
      </c>
      <c r="Q118" s="411" t="s">
        <v>1610</v>
      </c>
      <c r="R118" s="407" t="s">
        <v>1611</v>
      </c>
      <c r="S118" s="409"/>
    </row>
    <row r="119" spans="1:19" ht="17">
      <c r="A119" s="490">
        <v>116</v>
      </c>
      <c r="B119" s="491">
        <v>44984</v>
      </c>
      <c r="C119" s="491" t="s">
        <v>1465</v>
      </c>
      <c r="D119" s="492" t="s">
        <v>526</v>
      </c>
      <c r="E119" s="493"/>
      <c r="F119" s="426">
        <v>797</v>
      </c>
      <c r="G119" s="65"/>
      <c r="H119" s="426" t="s">
        <v>652</v>
      </c>
      <c r="I119" s="407"/>
      <c r="J119" s="494"/>
      <c r="K119" s="495"/>
      <c r="L119" s="495"/>
      <c r="M119" s="426">
        <v>1</v>
      </c>
      <c r="N119" s="409" t="s">
        <v>720</v>
      </c>
      <c r="O119" s="410"/>
      <c r="P119" s="411" t="s">
        <v>529</v>
      </c>
      <c r="Q119" s="411" t="s">
        <v>1610</v>
      </c>
      <c r="R119" s="407" t="s">
        <v>1611</v>
      </c>
      <c r="S119" s="409"/>
    </row>
    <row r="120" spans="1:19" ht="17">
      <c r="A120" s="490">
        <v>117</v>
      </c>
      <c r="B120" s="491">
        <v>44984</v>
      </c>
      <c r="C120" s="491" t="s">
        <v>1465</v>
      </c>
      <c r="D120" s="492" t="s">
        <v>388</v>
      </c>
      <c r="E120" s="493"/>
      <c r="F120" s="426">
        <v>960</v>
      </c>
      <c r="G120" s="65"/>
      <c r="H120" s="426" t="s">
        <v>389</v>
      </c>
      <c r="I120" s="407"/>
      <c r="J120" s="494"/>
      <c r="K120" s="495"/>
      <c r="L120" s="495"/>
      <c r="M120" s="426">
        <v>2</v>
      </c>
      <c r="N120" s="409" t="s">
        <v>720</v>
      </c>
      <c r="O120" s="410"/>
      <c r="P120" s="411" t="s">
        <v>529</v>
      </c>
      <c r="Q120" s="411" t="s">
        <v>1610</v>
      </c>
      <c r="R120" s="407" t="s">
        <v>1611</v>
      </c>
      <c r="S120" s="409"/>
    </row>
    <row r="121" spans="1:19" ht="17">
      <c r="A121" s="490">
        <v>118</v>
      </c>
      <c r="B121" s="491">
        <v>44984</v>
      </c>
      <c r="C121" s="491" t="s">
        <v>1465</v>
      </c>
      <c r="D121" s="492" t="s">
        <v>388</v>
      </c>
      <c r="E121" s="493"/>
      <c r="F121" s="426">
        <v>1330</v>
      </c>
      <c r="G121" s="65"/>
      <c r="H121" s="426" t="s">
        <v>389</v>
      </c>
      <c r="I121" s="407"/>
      <c r="J121" s="494"/>
      <c r="K121" s="495"/>
      <c r="L121" s="495"/>
      <c r="M121" s="426">
        <v>1</v>
      </c>
      <c r="N121" s="409" t="s">
        <v>720</v>
      </c>
      <c r="O121" s="410"/>
      <c r="P121" s="411" t="s">
        <v>529</v>
      </c>
      <c r="Q121" s="411" t="s">
        <v>1610</v>
      </c>
      <c r="R121" s="407" t="s">
        <v>1611</v>
      </c>
      <c r="S121" s="409"/>
    </row>
    <row r="122" spans="1:19" ht="17">
      <c r="A122" s="490">
        <v>119</v>
      </c>
      <c r="B122" s="491">
        <v>44984</v>
      </c>
      <c r="C122" s="491" t="s">
        <v>1465</v>
      </c>
      <c r="D122" s="492" t="s">
        <v>388</v>
      </c>
      <c r="E122" s="493"/>
      <c r="F122" s="426">
        <v>120</v>
      </c>
      <c r="G122" s="65"/>
      <c r="H122" s="426" t="s">
        <v>389</v>
      </c>
      <c r="I122" s="407"/>
      <c r="J122" s="494"/>
      <c r="K122" s="495"/>
      <c r="L122" s="495"/>
      <c r="M122" s="426">
        <v>2</v>
      </c>
      <c r="N122" s="409" t="s">
        <v>720</v>
      </c>
      <c r="O122" s="410"/>
      <c r="P122" s="411" t="s">
        <v>529</v>
      </c>
      <c r="Q122" s="411" t="s">
        <v>1610</v>
      </c>
      <c r="R122" s="407" t="s">
        <v>1611</v>
      </c>
      <c r="S122" s="409"/>
    </row>
    <row r="123" spans="1:19" ht="17">
      <c r="A123" s="490">
        <v>120</v>
      </c>
      <c r="B123" s="491">
        <v>44984</v>
      </c>
      <c r="C123" s="491" t="s">
        <v>1465</v>
      </c>
      <c r="D123" s="492" t="s">
        <v>388</v>
      </c>
      <c r="E123" s="493"/>
      <c r="F123" s="426">
        <v>740</v>
      </c>
      <c r="G123" s="65"/>
      <c r="H123" s="426" t="s">
        <v>389</v>
      </c>
      <c r="I123" s="407"/>
      <c r="J123" s="494"/>
      <c r="K123" s="495"/>
      <c r="L123" s="495"/>
      <c r="M123" s="426">
        <v>1</v>
      </c>
      <c r="N123" s="409" t="s">
        <v>720</v>
      </c>
      <c r="O123" s="410"/>
      <c r="P123" s="411" t="s">
        <v>529</v>
      </c>
      <c r="Q123" s="411" t="s">
        <v>1610</v>
      </c>
      <c r="R123" s="407" t="s">
        <v>1611</v>
      </c>
      <c r="S123" s="409"/>
    </row>
    <row r="124" spans="1:19" ht="17">
      <c r="A124" s="490">
        <v>121</v>
      </c>
      <c r="B124" s="491">
        <v>44984</v>
      </c>
      <c r="C124" s="491" t="s">
        <v>1465</v>
      </c>
      <c r="D124" s="492" t="s">
        <v>388</v>
      </c>
      <c r="E124" s="493"/>
      <c r="F124" s="426">
        <v>115</v>
      </c>
      <c r="G124" s="65"/>
      <c r="H124" s="426" t="s">
        <v>389</v>
      </c>
      <c r="I124" s="407"/>
      <c r="J124" s="494"/>
      <c r="K124" s="495"/>
      <c r="L124" s="495"/>
      <c r="M124" s="426">
        <v>3</v>
      </c>
      <c r="N124" s="409" t="s">
        <v>720</v>
      </c>
      <c r="O124" s="410"/>
      <c r="P124" s="411" t="s">
        <v>529</v>
      </c>
      <c r="Q124" s="411" t="s">
        <v>1610</v>
      </c>
      <c r="R124" s="407" t="s">
        <v>1611</v>
      </c>
      <c r="S124" s="409"/>
    </row>
    <row r="125" spans="1:19" ht="17">
      <c r="A125" s="490">
        <v>122</v>
      </c>
      <c r="B125" s="491">
        <v>44984</v>
      </c>
      <c r="C125" s="491" t="s">
        <v>1465</v>
      </c>
      <c r="D125" s="492" t="s">
        <v>388</v>
      </c>
      <c r="E125" s="493"/>
      <c r="F125" s="426">
        <v>1082</v>
      </c>
      <c r="G125" s="65"/>
      <c r="H125" s="426" t="s">
        <v>389</v>
      </c>
      <c r="I125" s="407"/>
      <c r="J125" s="494"/>
      <c r="K125" s="495"/>
      <c r="L125" s="495"/>
      <c r="M125" s="426">
        <v>2</v>
      </c>
      <c r="N125" s="409" t="s">
        <v>720</v>
      </c>
      <c r="O125" s="410"/>
      <c r="P125" s="411" t="s">
        <v>529</v>
      </c>
      <c r="Q125" s="411" t="s">
        <v>1610</v>
      </c>
      <c r="R125" s="407" t="s">
        <v>1611</v>
      </c>
      <c r="S125" s="409"/>
    </row>
    <row r="126" spans="1:19" ht="17">
      <c r="A126" s="490">
        <v>123</v>
      </c>
      <c r="B126" s="491">
        <v>44984</v>
      </c>
      <c r="C126" s="491" t="s">
        <v>1465</v>
      </c>
      <c r="D126" s="492" t="s">
        <v>388</v>
      </c>
      <c r="E126" s="493"/>
      <c r="F126" s="426">
        <v>2082</v>
      </c>
      <c r="G126" s="65"/>
      <c r="H126" s="426" t="s">
        <v>389</v>
      </c>
      <c r="I126" s="407"/>
      <c r="J126" s="494"/>
      <c r="K126" s="495"/>
      <c r="L126" s="495"/>
      <c r="M126" s="426">
        <v>1</v>
      </c>
      <c r="N126" s="409" t="s">
        <v>720</v>
      </c>
      <c r="O126" s="410"/>
      <c r="P126" s="411" t="s">
        <v>529</v>
      </c>
      <c r="Q126" s="411" t="s">
        <v>1610</v>
      </c>
      <c r="R126" s="407" t="s">
        <v>1611</v>
      </c>
      <c r="S126" s="409"/>
    </row>
    <row r="127" spans="1:19" ht="17">
      <c r="A127" s="490">
        <v>124</v>
      </c>
      <c r="B127" s="491">
        <v>44984</v>
      </c>
      <c r="C127" s="491" t="s">
        <v>1465</v>
      </c>
      <c r="D127" s="492" t="s">
        <v>388</v>
      </c>
      <c r="E127" s="493"/>
      <c r="F127" s="426">
        <v>1290</v>
      </c>
      <c r="G127" s="65"/>
      <c r="H127" s="426" t="s">
        <v>389</v>
      </c>
      <c r="I127" s="407"/>
      <c r="J127" s="494"/>
      <c r="K127" s="495"/>
      <c r="L127" s="495"/>
      <c r="M127" s="426">
        <v>1</v>
      </c>
      <c r="N127" s="409" t="s">
        <v>720</v>
      </c>
      <c r="O127" s="410"/>
      <c r="P127" s="411" t="s">
        <v>529</v>
      </c>
      <c r="Q127" s="411" t="s">
        <v>1610</v>
      </c>
      <c r="R127" s="407" t="s">
        <v>1611</v>
      </c>
      <c r="S127" s="409"/>
    </row>
    <row r="128" spans="1:19" ht="17">
      <c r="A128" s="490">
        <v>125</v>
      </c>
      <c r="B128" s="491">
        <v>44984</v>
      </c>
      <c r="C128" s="491" t="s">
        <v>1465</v>
      </c>
      <c r="D128" s="492" t="s">
        <v>388</v>
      </c>
      <c r="E128" s="493"/>
      <c r="F128" s="426">
        <v>2122</v>
      </c>
      <c r="G128" s="65"/>
      <c r="H128" s="426" t="s">
        <v>389</v>
      </c>
      <c r="I128" s="407"/>
      <c r="J128" s="494"/>
      <c r="K128" s="495"/>
      <c r="L128" s="495"/>
      <c r="M128" s="426">
        <v>1</v>
      </c>
      <c r="N128" s="409" t="s">
        <v>720</v>
      </c>
      <c r="O128" s="410"/>
      <c r="P128" s="411" t="s">
        <v>529</v>
      </c>
      <c r="Q128" s="411" t="s">
        <v>1610</v>
      </c>
      <c r="R128" s="407" t="s">
        <v>1611</v>
      </c>
      <c r="S128" s="409"/>
    </row>
    <row r="129" spans="1:19" ht="17">
      <c r="A129" s="490">
        <v>126</v>
      </c>
      <c r="B129" s="491">
        <v>44984</v>
      </c>
      <c r="C129" s="491" t="s">
        <v>1465</v>
      </c>
      <c r="D129" s="492" t="s">
        <v>388</v>
      </c>
      <c r="E129" s="493"/>
      <c r="F129" s="426">
        <v>703</v>
      </c>
      <c r="G129" s="65"/>
      <c r="H129" s="426" t="s">
        <v>389</v>
      </c>
      <c r="I129" s="407"/>
      <c r="J129" s="494"/>
      <c r="K129" s="495"/>
      <c r="L129" s="495"/>
      <c r="M129" s="426">
        <v>3</v>
      </c>
      <c r="N129" s="409" t="s">
        <v>720</v>
      </c>
      <c r="O129" s="410"/>
      <c r="P129" s="411" t="s">
        <v>529</v>
      </c>
      <c r="Q129" s="411" t="s">
        <v>1610</v>
      </c>
      <c r="R129" s="407" t="s">
        <v>1611</v>
      </c>
      <c r="S129" s="409"/>
    </row>
    <row r="130" spans="1:19" ht="17">
      <c r="A130" s="490">
        <v>127</v>
      </c>
      <c r="B130" s="491">
        <v>44984</v>
      </c>
      <c r="C130" s="491" t="s">
        <v>1465</v>
      </c>
      <c r="D130" s="492" t="s">
        <v>388</v>
      </c>
      <c r="E130" s="493"/>
      <c r="F130" s="426">
        <v>255</v>
      </c>
      <c r="G130" s="65"/>
      <c r="H130" s="426" t="s">
        <v>389</v>
      </c>
      <c r="I130" s="407"/>
      <c r="J130" s="494"/>
      <c r="K130" s="495"/>
      <c r="L130" s="495"/>
      <c r="M130" s="426">
        <v>2</v>
      </c>
      <c r="N130" s="409" t="s">
        <v>720</v>
      </c>
      <c r="O130" s="410"/>
      <c r="P130" s="411" t="s">
        <v>529</v>
      </c>
      <c r="Q130" s="411" t="s">
        <v>1610</v>
      </c>
      <c r="R130" s="407" t="s">
        <v>1611</v>
      </c>
      <c r="S130" s="409"/>
    </row>
    <row r="131" spans="1:19" ht="17">
      <c r="A131" s="490">
        <v>128</v>
      </c>
      <c r="B131" s="491">
        <v>44984</v>
      </c>
      <c r="C131" s="491" t="s">
        <v>1465</v>
      </c>
      <c r="D131" s="492" t="s">
        <v>388</v>
      </c>
      <c r="E131" s="493"/>
      <c r="F131" s="426">
        <v>870</v>
      </c>
      <c r="G131" s="65"/>
      <c r="H131" s="426" t="s">
        <v>389</v>
      </c>
      <c r="I131" s="407"/>
      <c r="J131" s="494"/>
      <c r="K131" s="495"/>
      <c r="L131" s="495"/>
      <c r="M131" s="426">
        <v>3</v>
      </c>
      <c r="N131" s="409" t="s">
        <v>720</v>
      </c>
      <c r="O131" s="410"/>
      <c r="P131" s="411" t="s">
        <v>529</v>
      </c>
      <c r="Q131" s="411" t="s">
        <v>1610</v>
      </c>
      <c r="R131" s="407" t="s">
        <v>1611</v>
      </c>
      <c r="S131" s="409"/>
    </row>
    <row r="132" spans="1:19" ht="17">
      <c r="A132" s="490">
        <v>129</v>
      </c>
      <c r="B132" s="491">
        <v>44984</v>
      </c>
      <c r="C132" s="491" t="s">
        <v>1465</v>
      </c>
      <c r="D132" s="492" t="s">
        <v>388</v>
      </c>
      <c r="E132" s="493"/>
      <c r="F132" s="426">
        <v>920</v>
      </c>
      <c r="G132" s="65"/>
      <c r="H132" s="426" t="s">
        <v>389</v>
      </c>
      <c r="I132" s="407"/>
      <c r="J132" s="494"/>
      <c r="K132" s="495"/>
      <c r="L132" s="495"/>
      <c r="M132" s="426">
        <v>2</v>
      </c>
      <c r="N132" s="409" t="s">
        <v>720</v>
      </c>
      <c r="O132" s="410"/>
      <c r="P132" s="411" t="s">
        <v>529</v>
      </c>
      <c r="Q132" s="411" t="s">
        <v>1610</v>
      </c>
      <c r="R132" s="407" t="s">
        <v>1611</v>
      </c>
      <c r="S132" s="409"/>
    </row>
    <row r="133" spans="1:19" ht="17">
      <c r="A133" s="490">
        <v>130</v>
      </c>
      <c r="B133" s="491">
        <v>44984</v>
      </c>
      <c r="C133" s="491" t="s">
        <v>1465</v>
      </c>
      <c r="D133" s="492" t="s">
        <v>388</v>
      </c>
      <c r="E133" s="493"/>
      <c r="F133" s="426">
        <v>2068</v>
      </c>
      <c r="G133" s="65"/>
      <c r="H133" s="426" t="s">
        <v>389</v>
      </c>
      <c r="I133" s="407"/>
      <c r="J133" s="494"/>
      <c r="K133" s="495"/>
      <c r="L133" s="495"/>
      <c r="M133" s="426">
        <v>1</v>
      </c>
      <c r="N133" s="409" t="s">
        <v>720</v>
      </c>
      <c r="O133" s="410"/>
      <c r="P133" s="411" t="s">
        <v>529</v>
      </c>
      <c r="Q133" s="411" t="s">
        <v>1610</v>
      </c>
      <c r="R133" s="407" t="s">
        <v>1611</v>
      </c>
      <c r="S133" s="409"/>
    </row>
    <row r="134" spans="1:19" ht="17">
      <c r="A134" s="490">
        <v>131</v>
      </c>
      <c r="B134" s="491">
        <v>44984</v>
      </c>
      <c r="C134" s="491" t="s">
        <v>1465</v>
      </c>
      <c r="D134" s="492" t="s">
        <v>388</v>
      </c>
      <c r="E134" s="493"/>
      <c r="F134" s="426">
        <v>500</v>
      </c>
      <c r="G134" s="65"/>
      <c r="H134" s="426" t="s">
        <v>389</v>
      </c>
      <c r="I134" s="407"/>
      <c r="J134" s="494"/>
      <c r="K134" s="495"/>
      <c r="L134" s="495"/>
      <c r="M134" s="426">
        <v>1</v>
      </c>
      <c r="N134" s="409" t="s">
        <v>720</v>
      </c>
      <c r="O134" s="410"/>
      <c r="P134" s="411" t="s">
        <v>529</v>
      </c>
      <c r="Q134" s="411" t="s">
        <v>1610</v>
      </c>
      <c r="R134" s="407" t="s">
        <v>1611</v>
      </c>
      <c r="S134" s="409"/>
    </row>
    <row r="135" spans="1:19" ht="17">
      <c r="A135" s="490">
        <v>132</v>
      </c>
      <c r="B135" s="491">
        <v>44984</v>
      </c>
      <c r="C135" s="491" t="s">
        <v>1465</v>
      </c>
      <c r="D135" s="492" t="s">
        <v>388</v>
      </c>
      <c r="E135" s="493"/>
      <c r="F135" s="426">
        <v>1200</v>
      </c>
      <c r="G135" s="65"/>
      <c r="H135" s="426" t="s">
        <v>389</v>
      </c>
      <c r="I135" s="407"/>
      <c r="J135" s="494"/>
      <c r="K135" s="495"/>
      <c r="L135" s="495"/>
      <c r="M135" s="426">
        <v>1</v>
      </c>
      <c r="N135" s="409" t="s">
        <v>720</v>
      </c>
      <c r="O135" s="410"/>
      <c r="P135" s="411" t="s">
        <v>529</v>
      </c>
      <c r="Q135" s="411" t="s">
        <v>1610</v>
      </c>
      <c r="R135" s="407" t="s">
        <v>1611</v>
      </c>
      <c r="S135" s="409"/>
    </row>
    <row r="136" spans="1:19" ht="17">
      <c r="A136" s="490">
        <v>133</v>
      </c>
      <c r="B136" s="491">
        <v>44984</v>
      </c>
      <c r="C136" s="491" t="s">
        <v>1465</v>
      </c>
      <c r="D136" s="492" t="s">
        <v>388</v>
      </c>
      <c r="E136" s="493"/>
      <c r="F136" s="426">
        <v>2108</v>
      </c>
      <c r="G136" s="65"/>
      <c r="H136" s="426" t="s">
        <v>389</v>
      </c>
      <c r="I136" s="407"/>
      <c r="J136" s="494"/>
      <c r="K136" s="495"/>
      <c r="L136" s="495"/>
      <c r="M136" s="426">
        <v>1</v>
      </c>
      <c r="N136" s="409" t="s">
        <v>720</v>
      </c>
      <c r="O136" s="410"/>
      <c r="P136" s="411" t="s">
        <v>529</v>
      </c>
      <c r="Q136" s="411" t="s">
        <v>1610</v>
      </c>
      <c r="R136" s="407" t="s">
        <v>1611</v>
      </c>
      <c r="S136" s="409"/>
    </row>
    <row r="137" spans="1:19" ht="17">
      <c r="A137" s="490">
        <v>134</v>
      </c>
      <c r="B137" s="491">
        <v>44984</v>
      </c>
      <c r="C137" s="491" t="s">
        <v>1465</v>
      </c>
      <c r="D137" s="492" t="s">
        <v>388</v>
      </c>
      <c r="E137" s="493"/>
      <c r="F137" s="426">
        <v>2063</v>
      </c>
      <c r="G137" s="65"/>
      <c r="H137" s="426" t="s">
        <v>389</v>
      </c>
      <c r="I137" s="407"/>
      <c r="J137" s="494"/>
      <c r="K137" s="495"/>
      <c r="L137" s="495"/>
      <c r="M137" s="426">
        <v>2</v>
      </c>
      <c r="N137" s="409" t="s">
        <v>720</v>
      </c>
      <c r="O137" s="410"/>
      <c r="P137" s="411" t="s">
        <v>529</v>
      </c>
      <c r="Q137" s="411" t="s">
        <v>1610</v>
      </c>
      <c r="R137" s="407" t="s">
        <v>1611</v>
      </c>
      <c r="S137" s="409"/>
    </row>
    <row r="138" spans="1:19" ht="17">
      <c r="A138" s="490">
        <v>135</v>
      </c>
      <c r="B138" s="491">
        <v>44984</v>
      </c>
      <c r="C138" s="491" t="s">
        <v>1465</v>
      </c>
      <c r="D138" s="492" t="s">
        <v>388</v>
      </c>
      <c r="E138" s="493"/>
      <c r="F138" s="426">
        <v>570</v>
      </c>
      <c r="G138" s="65"/>
      <c r="H138" s="426" t="s">
        <v>389</v>
      </c>
      <c r="I138" s="407"/>
      <c r="J138" s="494"/>
      <c r="K138" s="495"/>
      <c r="L138" s="495"/>
      <c r="M138" s="426">
        <v>3</v>
      </c>
      <c r="N138" s="409" t="s">
        <v>720</v>
      </c>
      <c r="O138" s="410"/>
      <c r="P138" s="411" t="s">
        <v>529</v>
      </c>
      <c r="Q138" s="411" t="s">
        <v>1610</v>
      </c>
      <c r="R138" s="407" t="s">
        <v>1611</v>
      </c>
      <c r="S138" s="409"/>
    </row>
    <row r="139" spans="1:19" ht="34">
      <c r="A139" s="422">
        <v>136</v>
      </c>
      <c r="B139" s="423">
        <v>44958</v>
      </c>
      <c r="C139" s="423" t="s">
        <v>254</v>
      </c>
      <c r="D139" s="412" t="s">
        <v>388</v>
      </c>
      <c r="E139" s="69"/>
      <c r="F139" s="413">
        <v>530</v>
      </c>
      <c r="G139" s="414"/>
      <c r="H139" s="426" t="s">
        <v>389</v>
      </c>
      <c r="I139" s="413" t="s">
        <v>255</v>
      </c>
      <c r="J139" s="415"/>
      <c r="K139" s="72"/>
      <c r="L139" s="72"/>
      <c r="M139" s="413">
        <v>4</v>
      </c>
      <c r="N139" s="415" t="s">
        <v>1317</v>
      </c>
      <c r="O139" s="416"/>
      <c r="P139" s="411" t="s">
        <v>529</v>
      </c>
      <c r="Q139" s="411" t="s">
        <v>1590</v>
      </c>
      <c r="R139" s="407"/>
      <c r="S139" s="409"/>
    </row>
    <row r="140" spans="1:19" ht="34">
      <c r="A140" s="424">
        <v>137</v>
      </c>
      <c r="B140" s="425">
        <v>44958</v>
      </c>
      <c r="C140" s="425" t="s">
        <v>254</v>
      </c>
      <c r="D140" s="406" t="s">
        <v>388</v>
      </c>
      <c r="E140" s="69"/>
      <c r="F140" s="407">
        <v>802</v>
      </c>
      <c r="G140" s="408"/>
      <c r="H140" s="426" t="s">
        <v>389</v>
      </c>
      <c r="I140" s="407" t="s">
        <v>255</v>
      </c>
      <c r="J140" s="409"/>
      <c r="K140" s="72"/>
      <c r="L140" s="72"/>
      <c r="M140" s="407">
        <v>4</v>
      </c>
      <c r="N140" s="409" t="s">
        <v>1317</v>
      </c>
      <c r="O140" s="410"/>
      <c r="P140" s="411" t="s">
        <v>529</v>
      </c>
      <c r="Q140" s="411" t="s">
        <v>1590</v>
      </c>
      <c r="R140" s="407"/>
      <c r="S140" s="409"/>
    </row>
    <row r="141" spans="1:19" ht="34">
      <c r="A141" s="424">
        <v>138</v>
      </c>
      <c r="B141" s="425">
        <v>44958</v>
      </c>
      <c r="C141" s="425" t="s">
        <v>254</v>
      </c>
      <c r="D141" s="406" t="s">
        <v>388</v>
      </c>
      <c r="E141" s="69"/>
      <c r="F141" s="407">
        <v>800</v>
      </c>
      <c r="G141" s="408"/>
      <c r="H141" s="426" t="s">
        <v>389</v>
      </c>
      <c r="I141" s="407" t="s">
        <v>255</v>
      </c>
      <c r="J141" s="409"/>
      <c r="K141" s="72"/>
      <c r="L141" s="72"/>
      <c r="M141" s="407">
        <v>4</v>
      </c>
      <c r="N141" s="409" t="s">
        <v>1317</v>
      </c>
      <c r="O141" s="410"/>
      <c r="P141" s="411" t="s">
        <v>529</v>
      </c>
      <c r="Q141" s="411" t="s">
        <v>1590</v>
      </c>
      <c r="R141" s="407"/>
      <c r="S141" s="409"/>
    </row>
    <row r="142" spans="1:19" ht="17">
      <c r="A142" s="424">
        <v>138</v>
      </c>
      <c r="B142" s="425">
        <v>45013</v>
      </c>
      <c r="C142" s="445" t="s">
        <v>856</v>
      </c>
      <c r="D142" s="446" t="s">
        <v>388</v>
      </c>
      <c r="E142" s="447"/>
      <c r="F142" s="448">
        <v>865</v>
      </c>
      <c r="G142" s="449"/>
      <c r="H142" s="450" t="s">
        <v>389</v>
      </c>
      <c r="I142" s="448"/>
      <c r="J142" s="451"/>
      <c r="K142" s="452"/>
      <c r="L142" s="452"/>
      <c r="M142" s="448">
        <v>2</v>
      </c>
      <c r="N142" s="451" t="s">
        <v>945</v>
      </c>
      <c r="O142" s="410">
        <v>45029</v>
      </c>
      <c r="P142" s="464" t="s">
        <v>529</v>
      </c>
      <c r="Q142" s="464" t="s">
        <v>1561</v>
      </c>
      <c r="R142" s="407" t="s">
        <v>1592</v>
      </c>
      <c r="S142" s="444" t="s">
        <v>1593</v>
      </c>
    </row>
    <row r="143" spans="1:19" ht="17">
      <c r="A143" s="424">
        <v>138</v>
      </c>
      <c r="B143" s="425">
        <v>45013</v>
      </c>
      <c r="C143" s="445" t="s">
        <v>856</v>
      </c>
      <c r="D143" s="446" t="s">
        <v>388</v>
      </c>
      <c r="E143" s="447"/>
      <c r="F143" s="448">
        <v>1410</v>
      </c>
      <c r="G143" s="449"/>
      <c r="H143" s="450" t="s">
        <v>389</v>
      </c>
      <c r="I143" s="448"/>
      <c r="J143" s="453"/>
      <c r="K143" s="454"/>
      <c r="L143" s="454"/>
      <c r="M143" s="448">
        <v>2</v>
      </c>
      <c r="N143" s="451" t="s">
        <v>945</v>
      </c>
      <c r="O143" s="410">
        <v>45029</v>
      </c>
      <c r="P143" s="464" t="s">
        <v>529</v>
      </c>
      <c r="Q143" s="464" t="s">
        <v>1561</v>
      </c>
      <c r="R143" s="407" t="s">
        <v>1592</v>
      </c>
      <c r="S143" s="444" t="s">
        <v>1593</v>
      </c>
    </row>
    <row r="144" spans="1:19" ht="17">
      <c r="A144" s="424">
        <v>138</v>
      </c>
      <c r="B144" s="425">
        <v>45013</v>
      </c>
      <c r="C144" s="445" t="s">
        <v>856</v>
      </c>
      <c r="D144" s="446" t="s">
        <v>388</v>
      </c>
      <c r="E144" s="447"/>
      <c r="F144" s="448">
        <v>723</v>
      </c>
      <c r="G144" s="449"/>
      <c r="H144" s="450" t="s">
        <v>389</v>
      </c>
      <c r="I144" s="448"/>
      <c r="J144" s="453"/>
      <c r="K144" s="454"/>
      <c r="L144" s="454"/>
      <c r="M144" s="448">
        <v>2</v>
      </c>
      <c r="N144" s="451" t="s">
        <v>945</v>
      </c>
      <c r="O144" s="410">
        <v>45029</v>
      </c>
      <c r="P144" s="464" t="s">
        <v>529</v>
      </c>
      <c r="Q144" s="464" t="s">
        <v>1561</v>
      </c>
      <c r="R144" s="407" t="s">
        <v>1592</v>
      </c>
      <c r="S144" s="444" t="s">
        <v>1593</v>
      </c>
    </row>
    <row r="145" spans="1:19" ht="17">
      <c r="A145" s="424">
        <v>138</v>
      </c>
      <c r="B145" s="425">
        <v>45013</v>
      </c>
      <c r="C145" s="445" t="s">
        <v>856</v>
      </c>
      <c r="D145" s="446" t="s">
        <v>388</v>
      </c>
      <c r="E145" s="447"/>
      <c r="F145" s="448">
        <v>670</v>
      </c>
      <c r="G145" s="449"/>
      <c r="H145" s="450" t="s">
        <v>389</v>
      </c>
      <c r="I145" s="448"/>
      <c r="J145" s="453"/>
      <c r="K145" s="454"/>
      <c r="L145" s="454"/>
      <c r="M145" s="448">
        <v>1</v>
      </c>
      <c r="N145" s="451" t="s">
        <v>945</v>
      </c>
      <c r="O145" s="410">
        <v>45029</v>
      </c>
      <c r="P145" s="464" t="s">
        <v>529</v>
      </c>
      <c r="Q145" s="464" t="s">
        <v>1561</v>
      </c>
      <c r="R145" s="407" t="s">
        <v>1592</v>
      </c>
      <c r="S145" s="444" t="s">
        <v>1593</v>
      </c>
    </row>
    <row r="146" spans="1:19" ht="17">
      <c r="A146" s="424">
        <v>138</v>
      </c>
      <c r="B146" s="425">
        <v>45013</v>
      </c>
      <c r="C146" s="445" t="s">
        <v>856</v>
      </c>
      <c r="D146" s="446" t="s">
        <v>388</v>
      </c>
      <c r="E146" s="447"/>
      <c r="F146" s="448">
        <v>140</v>
      </c>
      <c r="G146" s="449"/>
      <c r="H146" s="450" t="s">
        <v>389</v>
      </c>
      <c r="I146" s="448"/>
      <c r="J146" s="453"/>
      <c r="K146" s="454"/>
      <c r="L146" s="454"/>
      <c r="M146" s="448">
        <v>2</v>
      </c>
      <c r="N146" s="451" t="s">
        <v>945</v>
      </c>
      <c r="O146" s="410">
        <v>45029</v>
      </c>
      <c r="P146" s="464" t="s">
        <v>529</v>
      </c>
      <c r="Q146" s="464" t="s">
        <v>1561</v>
      </c>
      <c r="R146" s="407" t="s">
        <v>1592</v>
      </c>
      <c r="S146" s="444" t="s">
        <v>1593</v>
      </c>
    </row>
    <row r="147" spans="1:19" ht="17">
      <c r="A147" s="424">
        <v>138</v>
      </c>
      <c r="B147" s="425">
        <v>45013</v>
      </c>
      <c r="C147" s="445" t="s">
        <v>856</v>
      </c>
      <c r="D147" s="446" t="s">
        <v>388</v>
      </c>
      <c r="E147" s="447"/>
      <c r="F147" s="448">
        <v>723</v>
      </c>
      <c r="G147" s="449"/>
      <c r="H147" s="450" t="s">
        <v>389</v>
      </c>
      <c r="I147" s="448"/>
      <c r="J147" s="453"/>
      <c r="K147" s="454"/>
      <c r="L147" s="454"/>
      <c r="M147" s="448">
        <v>3</v>
      </c>
      <c r="N147" s="451" t="s">
        <v>945</v>
      </c>
      <c r="O147" s="410">
        <v>45029</v>
      </c>
      <c r="P147" s="464" t="s">
        <v>529</v>
      </c>
      <c r="Q147" s="464" t="s">
        <v>1561</v>
      </c>
      <c r="R147" s="407" t="s">
        <v>1592</v>
      </c>
      <c r="S147" s="444" t="s">
        <v>1593</v>
      </c>
    </row>
    <row r="148" spans="1:19" ht="17">
      <c r="A148" s="424">
        <v>138</v>
      </c>
      <c r="B148" s="425">
        <v>45013</v>
      </c>
      <c r="C148" s="445" t="s">
        <v>856</v>
      </c>
      <c r="D148" s="446" t="s">
        <v>388</v>
      </c>
      <c r="E148" s="447"/>
      <c r="F148" s="448">
        <v>180</v>
      </c>
      <c r="G148" s="449"/>
      <c r="H148" s="450" t="s">
        <v>389</v>
      </c>
      <c r="I148" s="448"/>
      <c r="J148" s="453"/>
      <c r="K148" s="454"/>
      <c r="L148" s="454"/>
      <c r="M148" s="448">
        <v>2</v>
      </c>
      <c r="N148" s="451" t="s">
        <v>945</v>
      </c>
      <c r="O148" s="410">
        <v>45029</v>
      </c>
      <c r="P148" s="464" t="s">
        <v>529</v>
      </c>
      <c r="Q148" s="464" t="s">
        <v>1561</v>
      </c>
      <c r="R148" s="407" t="s">
        <v>1592</v>
      </c>
      <c r="S148" s="444" t="s">
        <v>1593</v>
      </c>
    </row>
    <row r="149" spans="1:19" ht="17">
      <c r="A149" s="424">
        <v>138</v>
      </c>
      <c r="B149" s="425">
        <v>45013</v>
      </c>
      <c r="C149" s="445" t="s">
        <v>856</v>
      </c>
      <c r="D149" s="446" t="s">
        <v>388</v>
      </c>
      <c r="E149" s="447"/>
      <c r="F149" s="448">
        <v>196</v>
      </c>
      <c r="G149" s="449"/>
      <c r="H149" s="450" t="s">
        <v>389</v>
      </c>
      <c r="I149" s="448"/>
      <c r="J149" s="453"/>
      <c r="K149" s="454"/>
      <c r="L149" s="454"/>
      <c r="M149" s="448">
        <v>2</v>
      </c>
      <c r="N149" s="451" t="s">
        <v>945</v>
      </c>
      <c r="O149" s="410">
        <v>45029</v>
      </c>
      <c r="P149" s="464" t="s">
        <v>529</v>
      </c>
      <c r="Q149" s="464" t="s">
        <v>1561</v>
      </c>
      <c r="R149" s="407" t="s">
        <v>1592</v>
      </c>
      <c r="S149" s="444" t="s">
        <v>1593</v>
      </c>
    </row>
    <row r="150" spans="1:19" ht="17">
      <c r="A150" s="424">
        <v>138</v>
      </c>
      <c r="B150" s="425">
        <v>45013</v>
      </c>
      <c r="C150" s="445" t="s">
        <v>856</v>
      </c>
      <c r="D150" s="446" t="s">
        <v>388</v>
      </c>
      <c r="E150" s="447"/>
      <c r="F150" s="455">
        <v>360</v>
      </c>
      <c r="G150" s="456"/>
      <c r="H150" s="450" t="s">
        <v>389</v>
      </c>
      <c r="I150" s="455"/>
      <c r="J150" s="457"/>
      <c r="K150" s="454"/>
      <c r="L150" s="454"/>
      <c r="M150" s="455">
        <v>2</v>
      </c>
      <c r="N150" s="451" t="s">
        <v>945</v>
      </c>
      <c r="O150" s="410">
        <v>45029</v>
      </c>
      <c r="P150" s="464" t="s">
        <v>529</v>
      </c>
      <c r="Q150" s="464" t="s">
        <v>1561</v>
      </c>
      <c r="R150" s="407" t="s">
        <v>1592</v>
      </c>
      <c r="S150" s="444" t="s">
        <v>1593</v>
      </c>
    </row>
    <row r="151" spans="1:19" ht="17">
      <c r="A151" s="424">
        <v>138</v>
      </c>
      <c r="B151" s="425">
        <v>45013</v>
      </c>
      <c r="C151" s="445" t="s">
        <v>856</v>
      </c>
      <c r="D151" s="458" t="s">
        <v>526</v>
      </c>
      <c r="E151" s="447"/>
      <c r="F151" s="455">
        <v>723</v>
      </c>
      <c r="G151" s="456"/>
      <c r="H151" s="448" t="s">
        <v>652</v>
      </c>
      <c r="I151" s="455"/>
      <c r="J151" s="457"/>
      <c r="K151" s="454"/>
      <c r="L151" s="454"/>
      <c r="M151" s="455">
        <v>1</v>
      </c>
      <c r="N151" s="451" t="s">
        <v>945</v>
      </c>
      <c r="O151" s="410">
        <v>45029</v>
      </c>
      <c r="P151" s="464" t="s">
        <v>529</v>
      </c>
      <c r="Q151" s="464" t="s">
        <v>1561</v>
      </c>
      <c r="R151" s="407" t="s">
        <v>1592</v>
      </c>
      <c r="S151" s="444" t="s">
        <v>1593</v>
      </c>
    </row>
    <row r="152" spans="1:19" ht="17">
      <c r="A152" s="424">
        <v>138</v>
      </c>
      <c r="B152" s="425">
        <v>45013</v>
      </c>
      <c r="C152" s="445" t="s">
        <v>856</v>
      </c>
      <c r="D152" s="458" t="s">
        <v>526</v>
      </c>
      <c r="E152" s="447"/>
      <c r="F152" s="455">
        <v>196</v>
      </c>
      <c r="G152" s="456"/>
      <c r="H152" s="448" t="s">
        <v>652</v>
      </c>
      <c r="I152" s="455"/>
      <c r="J152" s="457"/>
      <c r="K152" s="454"/>
      <c r="L152" s="454"/>
      <c r="M152" s="455">
        <v>2</v>
      </c>
      <c r="N152" s="451" t="s">
        <v>945</v>
      </c>
      <c r="O152" s="410">
        <v>45029</v>
      </c>
      <c r="P152" s="464" t="s">
        <v>529</v>
      </c>
      <c r="Q152" s="464" t="s">
        <v>1561</v>
      </c>
      <c r="R152" s="407" t="s">
        <v>1592</v>
      </c>
      <c r="S152" s="444" t="s">
        <v>1593</v>
      </c>
    </row>
    <row r="153" spans="1:19" ht="11.5" customHeight="1">
      <c r="A153" s="424">
        <v>138</v>
      </c>
      <c r="B153" s="425">
        <v>45013</v>
      </c>
      <c r="C153" s="445" t="s">
        <v>856</v>
      </c>
      <c r="D153" s="458" t="s">
        <v>1559</v>
      </c>
      <c r="E153" s="447"/>
      <c r="F153" s="455">
        <v>629</v>
      </c>
      <c r="G153" s="456"/>
      <c r="H153" s="455" t="s">
        <v>1560</v>
      </c>
      <c r="I153" s="455"/>
      <c r="J153" s="457"/>
      <c r="K153" s="454"/>
      <c r="L153" s="454"/>
      <c r="M153" s="455">
        <v>2</v>
      </c>
      <c r="N153" s="451" t="s">
        <v>945</v>
      </c>
      <c r="O153" s="410">
        <v>45029</v>
      </c>
      <c r="P153" s="464" t="s">
        <v>529</v>
      </c>
      <c r="Q153" s="464" t="s">
        <v>1561</v>
      </c>
      <c r="R153" s="407" t="s">
        <v>1592</v>
      </c>
      <c r="S153" s="444" t="s">
        <v>1593</v>
      </c>
    </row>
    <row r="154" spans="1:19" ht="17">
      <c r="A154" s="424">
        <v>138</v>
      </c>
      <c r="B154" s="425">
        <v>45013</v>
      </c>
      <c r="C154" s="445" t="s">
        <v>856</v>
      </c>
      <c r="D154" s="458" t="s">
        <v>1559</v>
      </c>
      <c r="E154" s="459"/>
      <c r="F154" s="455">
        <v>569</v>
      </c>
      <c r="G154" s="460"/>
      <c r="H154" s="455" t="s">
        <v>1560</v>
      </c>
      <c r="I154" s="455"/>
      <c r="J154" s="461"/>
      <c r="K154" s="462"/>
      <c r="L154" s="462"/>
      <c r="M154" s="455">
        <v>1</v>
      </c>
      <c r="N154" s="463" t="s">
        <v>945</v>
      </c>
      <c r="O154" s="410">
        <v>45029</v>
      </c>
      <c r="P154" s="464" t="s">
        <v>529</v>
      </c>
      <c r="Q154" s="464" t="s">
        <v>1561</v>
      </c>
      <c r="R154" s="407" t="s">
        <v>1592</v>
      </c>
      <c r="S154" s="444" t="s">
        <v>1593</v>
      </c>
    </row>
    <row r="155" spans="1:19" ht="17">
      <c r="A155" s="424">
        <v>138</v>
      </c>
      <c r="B155" s="425">
        <v>45013</v>
      </c>
      <c r="C155" s="445" t="s">
        <v>856</v>
      </c>
      <c r="D155" s="458" t="s">
        <v>1559</v>
      </c>
      <c r="E155" s="447"/>
      <c r="F155" s="455">
        <v>390</v>
      </c>
      <c r="G155" s="456"/>
      <c r="H155" s="455" t="s">
        <v>1560</v>
      </c>
      <c r="I155" s="455"/>
      <c r="J155" s="457"/>
      <c r="K155" s="454"/>
      <c r="L155" s="454"/>
      <c r="M155" s="455">
        <v>2</v>
      </c>
      <c r="N155" s="463" t="s">
        <v>945</v>
      </c>
      <c r="O155" s="410">
        <v>45029</v>
      </c>
      <c r="P155" s="464" t="s">
        <v>529</v>
      </c>
      <c r="Q155" s="464" t="s">
        <v>1561</v>
      </c>
      <c r="R155" s="407" t="s">
        <v>1592</v>
      </c>
      <c r="S155" s="444" t="s">
        <v>1593</v>
      </c>
    </row>
    <row r="156" spans="1:19" ht="17">
      <c r="A156" s="424">
        <v>138</v>
      </c>
      <c r="B156" s="425">
        <v>45013</v>
      </c>
      <c r="C156" s="445" t="s">
        <v>856</v>
      </c>
      <c r="D156" s="458" t="s">
        <v>526</v>
      </c>
      <c r="E156" s="447"/>
      <c r="F156" s="448">
        <v>760</v>
      </c>
      <c r="G156" s="449"/>
      <c r="H156" s="448" t="s">
        <v>652</v>
      </c>
      <c r="I156" s="448"/>
      <c r="J156" s="453"/>
      <c r="K156" s="454"/>
      <c r="L156" s="454"/>
      <c r="M156" s="448">
        <v>4</v>
      </c>
      <c r="N156" s="451" t="s">
        <v>944</v>
      </c>
      <c r="O156" s="410">
        <v>45029</v>
      </c>
      <c r="P156" s="464" t="s">
        <v>529</v>
      </c>
      <c r="Q156" s="464" t="s">
        <v>1561</v>
      </c>
      <c r="R156" s="407" t="s">
        <v>1592</v>
      </c>
      <c r="S156" s="444" t="s">
        <v>1593</v>
      </c>
    </row>
    <row r="157" spans="1:19" ht="17">
      <c r="A157" s="424">
        <v>138</v>
      </c>
      <c r="B157" s="425">
        <v>45013</v>
      </c>
      <c r="C157" s="445" t="s">
        <v>856</v>
      </c>
      <c r="D157" s="458" t="s">
        <v>526</v>
      </c>
      <c r="E157" s="447"/>
      <c r="F157" s="448">
        <v>785</v>
      </c>
      <c r="G157" s="449"/>
      <c r="H157" s="448" t="s">
        <v>652</v>
      </c>
      <c r="I157" s="448"/>
      <c r="J157" s="453"/>
      <c r="K157" s="454"/>
      <c r="L157" s="454"/>
      <c r="M157" s="448">
        <v>6</v>
      </c>
      <c r="N157" s="451" t="s">
        <v>944</v>
      </c>
      <c r="O157" s="410">
        <v>45029</v>
      </c>
      <c r="P157" s="464" t="s">
        <v>529</v>
      </c>
      <c r="Q157" s="464" t="s">
        <v>1561</v>
      </c>
      <c r="R157" s="407" t="s">
        <v>1592</v>
      </c>
      <c r="S157" s="444" t="s">
        <v>1593</v>
      </c>
    </row>
    <row r="158" spans="1:19" ht="17">
      <c r="A158" s="424">
        <v>138</v>
      </c>
      <c r="B158" s="425">
        <v>45013</v>
      </c>
      <c r="C158" s="445" t="s">
        <v>856</v>
      </c>
      <c r="D158" s="458" t="s">
        <v>526</v>
      </c>
      <c r="E158" s="447"/>
      <c r="F158" s="448">
        <v>368</v>
      </c>
      <c r="G158" s="449"/>
      <c r="H158" s="448" t="s">
        <v>652</v>
      </c>
      <c r="I158" s="448"/>
      <c r="J158" s="453"/>
      <c r="K158" s="454"/>
      <c r="L158" s="454"/>
      <c r="M158" s="448">
        <v>2</v>
      </c>
      <c r="N158" s="451" t="s">
        <v>944</v>
      </c>
      <c r="O158" s="410">
        <v>45029</v>
      </c>
      <c r="P158" s="464" t="s">
        <v>529</v>
      </c>
      <c r="Q158" s="464" t="s">
        <v>1561</v>
      </c>
      <c r="R158" s="407" t="s">
        <v>1592</v>
      </c>
      <c r="S158" s="444" t="s">
        <v>1593</v>
      </c>
    </row>
    <row r="159" spans="1:19" ht="17">
      <c r="A159" s="424">
        <v>138</v>
      </c>
      <c r="B159" s="425">
        <v>45013</v>
      </c>
      <c r="C159" s="445" t="s">
        <v>856</v>
      </c>
      <c r="D159" s="446" t="s">
        <v>388</v>
      </c>
      <c r="E159" s="447"/>
      <c r="F159" s="455">
        <v>290</v>
      </c>
      <c r="G159" s="456"/>
      <c r="H159" s="450" t="s">
        <v>389</v>
      </c>
      <c r="I159" s="455"/>
      <c r="J159" s="457"/>
      <c r="K159" s="454"/>
      <c r="L159" s="454"/>
      <c r="M159" s="455">
        <v>3</v>
      </c>
      <c r="N159" s="451" t="s">
        <v>944</v>
      </c>
      <c r="O159" s="410">
        <v>45029</v>
      </c>
      <c r="P159" s="464" t="s">
        <v>529</v>
      </c>
      <c r="Q159" s="464" t="s">
        <v>1561</v>
      </c>
      <c r="R159" s="407" t="s">
        <v>1592</v>
      </c>
      <c r="S159" s="444" t="s">
        <v>1593</v>
      </c>
    </row>
    <row r="160" spans="1:19" ht="17">
      <c r="A160" s="424">
        <v>138</v>
      </c>
      <c r="B160" s="425">
        <v>45013</v>
      </c>
      <c r="C160" s="445" t="s">
        <v>856</v>
      </c>
      <c r="D160" s="446" t="s">
        <v>388</v>
      </c>
      <c r="E160" s="447"/>
      <c r="F160" s="455">
        <v>450</v>
      </c>
      <c r="G160" s="456"/>
      <c r="H160" s="450" t="s">
        <v>389</v>
      </c>
      <c r="I160" s="455"/>
      <c r="J160" s="457"/>
      <c r="K160" s="454"/>
      <c r="L160" s="454"/>
      <c r="M160" s="455">
        <v>4</v>
      </c>
      <c r="N160" s="451" t="s">
        <v>944</v>
      </c>
      <c r="O160" s="410">
        <v>45029</v>
      </c>
      <c r="P160" s="464" t="s">
        <v>529</v>
      </c>
      <c r="Q160" s="464" t="s">
        <v>1561</v>
      </c>
      <c r="R160" s="407" t="s">
        <v>1592</v>
      </c>
      <c r="S160" s="444" t="s">
        <v>1593</v>
      </c>
    </row>
    <row r="161" spans="1:19">
      <c r="A161" s="63"/>
      <c r="B161" s="67"/>
      <c r="C161" s="68"/>
      <c r="D161" s="69"/>
      <c r="E161" s="69"/>
      <c r="F161" s="70"/>
      <c r="G161" s="70"/>
      <c r="H161" s="71"/>
      <c r="I161" s="70"/>
      <c r="J161" s="67"/>
      <c r="K161" s="67"/>
      <c r="L161" s="67"/>
      <c r="M161" s="70"/>
      <c r="N161" s="72"/>
      <c r="O161" s="73"/>
      <c r="P161" s="74"/>
      <c r="Q161" s="74"/>
      <c r="R161" s="71"/>
      <c r="S161" s="72"/>
    </row>
    <row r="162" spans="1:19">
      <c r="A162" s="63"/>
      <c r="B162" s="67"/>
      <c r="C162" s="68"/>
      <c r="D162" s="69"/>
      <c r="E162" s="69"/>
      <c r="F162" s="70"/>
      <c r="G162" s="70"/>
      <c r="H162" s="71"/>
      <c r="I162" s="70"/>
      <c r="J162" s="67"/>
      <c r="K162" s="67"/>
      <c r="L162" s="67"/>
      <c r="M162" s="70"/>
      <c r="N162" s="72"/>
      <c r="O162" s="73"/>
      <c r="P162" s="74"/>
      <c r="Q162" s="74"/>
      <c r="R162" s="71"/>
      <c r="S162" s="72"/>
    </row>
    <row r="163" spans="1:19">
      <c r="A163" s="63"/>
      <c r="B163" s="67"/>
      <c r="C163" s="68"/>
      <c r="D163" s="69"/>
      <c r="E163" s="69"/>
      <c r="F163" s="70"/>
      <c r="G163" s="70"/>
      <c r="H163" s="71"/>
      <c r="I163" s="70"/>
      <c r="J163" s="67"/>
      <c r="K163" s="67"/>
      <c r="L163" s="67"/>
      <c r="M163" s="70"/>
      <c r="N163" s="72"/>
      <c r="O163" s="73"/>
      <c r="P163" s="74"/>
      <c r="Q163" s="74"/>
      <c r="R163" s="71"/>
      <c r="S163" s="72"/>
    </row>
    <row r="164" spans="1:19">
      <c r="A164" s="63"/>
      <c r="B164" s="67"/>
      <c r="C164" s="68"/>
      <c r="D164" s="69"/>
      <c r="E164" s="69"/>
      <c r="F164" s="70"/>
      <c r="G164" s="70"/>
      <c r="H164" s="71"/>
      <c r="I164" s="70"/>
      <c r="J164" s="67"/>
      <c r="K164" s="67"/>
      <c r="L164" s="67"/>
      <c r="M164" s="70"/>
      <c r="N164" s="72"/>
      <c r="O164" s="73"/>
      <c r="P164" s="74"/>
      <c r="Q164" s="74"/>
      <c r="R164" s="71"/>
      <c r="S164" s="72"/>
    </row>
    <row r="165" spans="1:19">
      <c r="A165" s="63"/>
      <c r="B165" s="67"/>
      <c r="C165" s="68"/>
      <c r="D165" s="69"/>
      <c r="E165" s="69"/>
      <c r="F165" s="70"/>
      <c r="G165" s="70"/>
      <c r="H165" s="71"/>
      <c r="I165" s="70"/>
      <c r="J165" s="67"/>
      <c r="K165" s="67"/>
      <c r="L165" s="67"/>
      <c r="M165" s="70"/>
      <c r="N165" s="72"/>
      <c r="O165" s="73"/>
      <c r="P165" s="74"/>
      <c r="Q165" s="74"/>
      <c r="R165" s="71"/>
      <c r="S165" s="72"/>
    </row>
    <row r="166" spans="1:19">
      <c r="A166" s="63"/>
      <c r="B166" s="67"/>
      <c r="C166" s="68"/>
      <c r="D166" s="69"/>
      <c r="E166" s="69"/>
      <c r="F166" s="70"/>
      <c r="G166" s="70"/>
      <c r="H166" s="71"/>
      <c r="I166" s="70"/>
      <c r="J166" s="67"/>
      <c r="K166" s="67"/>
      <c r="L166" s="67"/>
      <c r="M166" s="70"/>
      <c r="N166" s="72"/>
      <c r="O166" s="73"/>
      <c r="P166" s="74"/>
      <c r="Q166" s="74"/>
      <c r="R166" s="71"/>
      <c r="S166" s="72"/>
    </row>
    <row r="167" spans="1:19">
      <c r="A167" s="63"/>
      <c r="B167" s="67"/>
      <c r="C167" s="68"/>
      <c r="D167" s="69"/>
      <c r="E167" s="69"/>
      <c r="F167" s="70"/>
      <c r="G167" s="70"/>
      <c r="H167" s="71"/>
      <c r="I167" s="70"/>
      <c r="J167" s="67"/>
      <c r="K167" s="67"/>
      <c r="L167" s="67"/>
      <c r="M167" s="70"/>
      <c r="N167" s="72"/>
      <c r="O167" s="73"/>
      <c r="P167" s="74"/>
      <c r="Q167" s="74"/>
      <c r="R167" s="71"/>
      <c r="S167" s="72"/>
    </row>
    <row r="168" spans="1:19">
      <c r="A168" s="63"/>
      <c r="B168" s="67"/>
      <c r="C168" s="68"/>
      <c r="D168" s="69"/>
      <c r="E168" s="69"/>
      <c r="F168" s="70"/>
      <c r="G168" s="70"/>
      <c r="H168" s="71"/>
      <c r="I168" s="70"/>
      <c r="J168" s="67"/>
      <c r="K168" s="67"/>
      <c r="L168" s="67"/>
      <c r="M168" s="70"/>
      <c r="N168" s="72"/>
      <c r="O168" s="73"/>
      <c r="P168" s="74"/>
      <c r="Q168" s="74"/>
      <c r="R168" s="71"/>
      <c r="S168" s="72"/>
    </row>
    <row r="169" spans="1:19">
      <c r="A169" s="63"/>
      <c r="B169" s="67"/>
      <c r="C169" s="68"/>
      <c r="D169" s="69"/>
      <c r="E169" s="69"/>
      <c r="F169" s="70"/>
      <c r="G169" s="70"/>
      <c r="H169" s="71"/>
      <c r="I169" s="70"/>
      <c r="J169" s="67"/>
      <c r="K169" s="67"/>
      <c r="L169" s="67"/>
      <c r="M169" s="70"/>
      <c r="N169" s="72"/>
      <c r="O169" s="73"/>
      <c r="P169" s="74"/>
      <c r="Q169" s="74"/>
      <c r="R169" s="71"/>
      <c r="S169" s="72"/>
    </row>
    <row r="170" spans="1:19">
      <c r="A170" s="63"/>
      <c r="B170" s="67"/>
      <c r="C170" s="68"/>
      <c r="D170" s="69"/>
      <c r="E170" s="69"/>
      <c r="F170" s="70"/>
      <c r="G170" s="70"/>
      <c r="H170" s="71"/>
      <c r="I170" s="70"/>
      <c r="J170" s="67"/>
      <c r="K170" s="67"/>
      <c r="L170" s="67"/>
      <c r="M170" s="70"/>
      <c r="N170" s="72"/>
      <c r="O170" s="73"/>
      <c r="P170" s="74"/>
      <c r="Q170" s="74"/>
      <c r="R170" s="71"/>
      <c r="S170" s="72"/>
    </row>
    <row r="171" spans="1:19">
      <c r="A171" s="63"/>
      <c r="B171" s="67"/>
      <c r="C171" s="68"/>
      <c r="D171" s="69"/>
      <c r="E171" s="69"/>
      <c r="F171" s="70"/>
      <c r="G171" s="70"/>
      <c r="H171" s="71"/>
      <c r="I171" s="70"/>
      <c r="J171" s="67"/>
      <c r="K171" s="67"/>
      <c r="L171" s="67"/>
      <c r="M171" s="70"/>
      <c r="N171" s="72"/>
      <c r="O171" s="73"/>
      <c r="P171" s="74"/>
      <c r="Q171" s="74"/>
      <c r="R171" s="71"/>
      <c r="S171" s="72"/>
    </row>
    <row r="172" spans="1:19">
      <c r="A172" s="63"/>
      <c r="B172" s="67"/>
      <c r="C172" s="68"/>
      <c r="D172" s="69"/>
      <c r="E172" s="69"/>
      <c r="F172" s="70"/>
      <c r="G172" s="70"/>
      <c r="H172" s="71"/>
      <c r="I172" s="70"/>
      <c r="J172" s="67"/>
      <c r="K172" s="67"/>
      <c r="L172" s="67"/>
      <c r="M172" s="70"/>
      <c r="N172" s="72"/>
      <c r="O172" s="73"/>
      <c r="P172" s="74"/>
      <c r="Q172" s="74"/>
      <c r="R172" s="71"/>
      <c r="S172" s="72"/>
    </row>
    <row r="173" spans="1:19">
      <c r="A173" s="63"/>
      <c r="B173" s="67"/>
      <c r="C173" s="68"/>
      <c r="D173" s="69"/>
      <c r="E173" s="69"/>
      <c r="F173" s="70"/>
      <c r="G173" s="70"/>
      <c r="H173" s="71"/>
      <c r="I173" s="70"/>
      <c r="J173" s="67"/>
      <c r="K173" s="67"/>
      <c r="L173" s="67"/>
      <c r="M173" s="70"/>
      <c r="N173" s="72"/>
      <c r="O173" s="73"/>
      <c r="P173" s="74"/>
      <c r="Q173" s="74"/>
      <c r="R173" s="71"/>
      <c r="S173" s="72"/>
    </row>
    <row r="174" spans="1:19">
      <c r="A174" s="63"/>
      <c r="B174" s="67"/>
      <c r="C174" s="68"/>
      <c r="D174" s="69"/>
      <c r="E174" s="69"/>
      <c r="F174" s="70"/>
      <c r="G174" s="70"/>
      <c r="H174" s="71"/>
      <c r="I174" s="70"/>
      <c r="J174" s="67"/>
      <c r="K174" s="67"/>
      <c r="L174" s="67"/>
      <c r="M174" s="70"/>
      <c r="N174" s="72"/>
      <c r="O174" s="73"/>
      <c r="P174" s="74"/>
      <c r="Q174" s="74"/>
      <c r="R174" s="71"/>
      <c r="S174" s="72"/>
    </row>
    <row r="175" spans="1:19">
      <c r="A175" s="63"/>
      <c r="B175" s="67"/>
      <c r="C175" s="68"/>
      <c r="D175" s="69"/>
      <c r="E175" s="69"/>
      <c r="F175" s="70"/>
      <c r="G175" s="70"/>
      <c r="H175" s="71"/>
      <c r="I175" s="70"/>
      <c r="J175" s="67"/>
      <c r="K175" s="67"/>
      <c r="L175" s="67"/>
      <c r="M175" s="70"/>
      <c r="N175" s="72"/>
      <c r="O175" s="73"/>
      <c r="P175" s="74"/>
      <c r="Q175" s="74"/>
      <c r="R175" s="71"/>
      <c r="S175" s="72"/>
    </row>
    <row r="176" spans="1:19">
      <c r="A176" s="63"/>
      <c r="B176" s="67"/>
      <c r="C176" s="68"/>
      <c r="D176" s="69"/>
      <c r="E176" s="69"/>
      <c r="F176" s="70"/>
      <c r="G176" s="70"/>
      <c r="H176" s="71"/>
      <c r="I176" s="70"/>
      <c r="J176" s="67"/>
      <c r="K176" s="67"/>
      <c r="L176" s="67"/>
      <c r="M176" s="70"/>
      <c r="N176" s="72"/>
      <c r="O176" s="73"/>
      <c r="P176" s="74"/>
      <c r="Q176" s="74"/>
      <c r="R176" s="71"/>
      <c r="S176" s="72"/>
    </row>
    <row r="177" spans="1:19">
      <c r="A177" s="63"/>
      <c r="B177" s="67"/>
      <c r="C177" s="68"/>
      <c r="D177" s="69"/>
      <c r="E177" s="69"/>
      <c r="F177" s="70"/>
      <c r="G177" s="70"/>
      <c r="H177" s="71"/>
      <c r="I177" s="70"/>
      <c r="J177" s="67"/>
      <c r="K177" s="67"/>
      <c r="L177" s="67"/>
      <c r="M177" s="70"/>
      <c r="N177" s="72"/>
      <c r="O177" s="73"/>
      <c r="P177" s="74"/>
      <c r="Q177" s="74"/>
      <c r="R177" s="71"/>
      <c r="S177" s="72"/>
    </row>
    <row r="178" spans="1:19">
      <c r="A178" s="63"/>
      <c r="B178" s="67"/>
      <c r="C178" s="68"/>
      <c r="D178" s="69"/>
      <c r="E178" s="69"/>
      <c r="F178" s="70"/>
      <c r="G178" s="70"/>
      <c r="H178" s="71"/>
      <c r="I178" s="70"/>
      <c r="J178" s="67"/>
      <c r="K178" s="67"/>
      <c r="L178" s="67"/>
      <c r="M178" s="70"/>
      <c r="N178" s="72"/>
      <c r="O178" s="73"/>
      <c r="P178" s="74"/>
      <c r="Q178" s="74"/>
      <c r="R178" s="71"/>
      <c r="S178" s="72"/>
    </row>
    <row r="179" spans="1:19">
      <c r="A179" s="63"/>
      <c r="B179" s="67"/>
      <c r="C179" s="68"/>
      <c r="D179" s="69"/>
      <c r="E179" s="69"/>
      <c r="F179" s="70"/>
      <c r="G179" s="70"/>
      <c r="H179" s="71"/>
      <c r="I179" s="70"/>
      <c r="J179" s="67"/>
      <c r="K179" s="67"/>
      <c r="L179" s="67"/>
      <c r="M179" s="70"/>
      <c r="N179" s="72"/>
      <c r="O179" s="73"/>
      <c r="P179" s="74"/>
      <c r="Q179" s="74"/>
      <c r="R179" s="71"/>
      <c r="S179" s="72"/>
    </row>
    <row r="180" spans="1:19">
      <c r="A180" s="63"/>
      <c r="B180" s="67"/>
      <c r="C180" s="68"/>
      <c r="D180" s="69"/>
      <c r="E180" s="69"/>
      <c r="F180" s="70"/>
      <c r="G180" s="70"/>
      <c r="H180" s="71"/>
      <c r="I180" s="70"/>
      <c r="J180" s="67"/>
      <c r="K180" s="67"/>
      <c r="L180" s="67"/>
      <c r="M180" s="70"/>
      <c r="N180" s="72"/>
      <c r="O180" s="73"/>
      <c r="P180" s="74"/>
      <c r="Q180" s="74"/>
      <c r="R180" s="71"/>
      <c r="S180" s="72"/>
    </row>
    <row r="181" spans="1:19">
      <c r="A181" s="63"/>
      <c r="B181" s="67"/>
      <c r="C181" s="68"/>
      <c r="D181" s="69"/>
      <c r="E181" s="69"/>
      <c r="F181" s="70"/>
      <c r="G181" s="70"/>
      <c r="H181" s="71"/>
      <c r="I181" s="70"/>
      <c r="J181" s="67"/>
      <c r="K181" s="67"/>
      <c r="L181" s="67"/>
      <c r="M181" s="70"/>
      <c r="N181" s="72"/>
      <c r="O181" s="73"/>
      <c r="P181" s="74"/>
      <c r="Q181" s="74"/>
      <c r="R181" s="71"/>
      <c r="S181" s="72"/>
    </row>
    <row r="182" spans="1:19">
      <c r="A182" s="63"/>
      <c r="B182" s="67"/>
      <c r="C182" s="68"/>
      <c r="D182" s="69"/>
      <c r="E182" s="69"/>
      <c r="F182" s="70"/>
      <c r="G182" s="70"/>
      <c r="H182" s="71"/>
      <c r="I182" s="70"/>
      <c r="J182" s="67"/>
      <c r="K182" s="67"/>
      <c r="L182" s="67"/>
      <c r="M182" s="70"/>
      <c r="N182" s="72"/>
      <c r="O182" s="73"/>
      <c r="P182" s="74"/>
      <c r="Q182" s="74"/>
      <c r="R182" s="71"/>
      <c r="S182" s="72"/>
    </row>
    <row r="183" spans="1:19">
      <c r="A183" s="63"/>
      <c r="B183" s="67"/>
      <c r="C183" s="68"/>
      <c r="D183" s="69"/>
      <c r="E183" s="69"/>
      <c r="F183" s="70"/>
      <c r="G183" s="70"/>
      <c r="H183" s="71"/>
      <c r="I183" s="70"/>
      <c r="J183" s="67"/>
      <c r="K183" s="67"/>
      <c r="L183" s="67"/>
      <c r="M183" s="70"/>
      <c r="N183" s="72"/>
      <c r="O183" s="73"/>
      <c r="P183" s="74"/>
      <c r="Q183" s="74"/>
      <c r="R183" s="71"/>
      <c r="S183" s="72"/>
    </row>
    <row r="184" spans="1:19">
      <c r="A184" s="63"/>
      <c r="B184" s="67"/>
      <c r="C184" s="68"/>
      <c r="D184" s="69"/>
      <c r="E184" s="69"/>
      <c r="F184" s="70"/>
      <c r="G184" s="70"/>
      <c r="H184" s="71"/>
      <c r="I184" s="70"/>
      <c r="J184" s="67"/>
      <c r="K184" s="67"/>
      <c r="L184" s="67"/>
      <c r="M184" s="70"/>
      <c r="N184" s="72"/>
      <c r="O184" s="73"/>
      <c r="P184" s="74"/>
      <c r="Q184" s="74"/>
      <c r="R184" s="71"/>
      <c r="S184" s="72"/>
    </row>
    <row r="185" spans="1:19">
      <c r="A185" s="63"/>
      <c r="B185" s="67"/>
      <c r="C185" s="68"/>
      <c r="D185" s="69"/>
      <c r="E185" s="69"/>
      <c r="F185" s="70"/>
      <c r="G185" s="70"/>
      <c r="H185" s="71"/>
      <c r="I185" s="70"/>
      <c r="J185" s="67"/>
      <c r="K185" s="67"/>
      <c r="L185" s="67"/>
      <c r="M185" s="70"/>
      <c r="N185" s="72"/>
      <c r="O185" s="73"/>
      <c r="P185" s="74"/>
      <c r="Q185" s="74"/>
      <c r="R185" s="71"/>
      <c r="S185" s="72"/>
    </row>
    <row r="186" spans="1:19">
      <c r="A186" s="63"/>
      <c r="B186" s="67"/>
      <c r="C186" s="68"/>
      <c r="D186" s="69"/>
      <c r="E186" s="69"/>
      <c r="F186" s="70"/>
      <c r="G186" s="70"/>
      <c r="H186" s="71"/>
      <c r="I186" s="70"/>
      <c r="J186" s="67"/>
      <c r="K186" s="67"/>
      <c r="L186" s="67"/>
      <c r="M186" s="70"/>
      <c r="N186" s="72"/>
      <c r="O186" s="73"/>
      <c r="P186" s="74"/>
      <c r="Q186" s="74"/>
      <c r="R186" s="71"/>
      <c r="S186" s="72"/>
    </row>
    <row r="187" spans="1:19">
      <c r="A187" s="63"/>
      <c r="B187" s="67"/>
      <c r="C187" s="68"/>
      <c r="D187" s="69"/>
      <c r="E187" s="69"/>
      <c r="F187" s="70"/>
      <c r="G187" s="70"/>
      <c r="H187" s="71"/>
      <c r="I187" s="70"/>
      <c r="J187" s="67"/>
      <c r="K187" s="67"/>
      <c r="L187" s="67"/>
      <c r="M187" s="70"/>
      <c r="N187" s="72"/>
      <c r="O187" s="73"/>
      <c r="P187" s="74"/>
      <c r="Q187" s="74"/>
      <c r="R187" s="71"/>
      <c r="S187" s="72"/>
    </row>
    <row r="188" spans="1:19">
      <c r="A188" s="63"/>
      <c r="B188" s="67"/>
      <c r="C188" s="68"/>
      <c r="D188" s="69"/>
      <c r="E188" s="69"/>
      <c r="F188" s="70"/>
      <c r="G188" s="70"/>
      <c r="H188" s="71"/>
      <c r="I188" s="70"/>
      <c r="J188" s="67"/>
      <c r="K188" s="67"/>
      <c r="L188" s="67"/>
      <c r="M188" s="70"/>
      <c r="N188" s="72"/>
      <c r="O188" s="73"/>
      <c r="P188" s="74"/>
      <c r="Q188" s="74"/>
      <c r="R188" s="71"/>
      <c r="S188" s="72"/>
    </row>
    <row r="189" spans="1:19">
      <c r="A189" s="63"/>
      <c r="B189" s="67"/>
      <c r="C189" s="68"/>
      <c r="D189" s="69"/>
      <c r="E189" s="69"/>
      <c r="F189" s="70"/>
      <c r="G189" s="70"/>
      <c r="H189" s="71"/>
      <c r="I189" s="70"/>
      <c r="J189" s="67"/>
      <c r="K189" s="67"/>
      <c r="L189" s="67"/>
      <c r="M189" s="70"/>
      <c r="N189" s="72"/>
      <c r="O189" s="73"/>
      <c r="P189" s="74"/>
      <c r="Q189" s="74"/>
      <c r="R189" s="71"/>
      <c r="S189" s="72"/>
    </row>
    <row r="190" spans="1:19">
      <c r="A190" s="63"/>
      <c r="B190" s="67"/>
      <c r="C190" s="68"/>
      <c r="D190" s="69"/>
      <c r="E190" s="69"/>
      <c r="F190" s="70"/>
      <c r="G190" s="70"/>
      <c r="H190" s="71"/>
      <c r="I190" s="70"/>
      <c r="J190" s="67"/>
      <c r="K190" s="67"/>
      <c r="L190" s="67"/>
      <c r="M190" s="70"/>
      <c r="N190" s="72"/>
      <c r="O190" s="73"/>
      <c r="P190" s="74"/>
      <c r="Q190" s="74"/>
      <c r="R190" s="71"/>
      <c r="S190" s="72"/>
    </row>
    <row r="191" spans="1:19">
      <c r="A191" s="63"/>
      <c r="B191" s="67"/>
      <c r="C191" s="68"/>
      <c r="D191" s="69"/>
      <c r="E191" s="69"/>
      <c r="F191" s="70"/>
      <c r="G191" s="70"/>
      <c r="H191" s="71"/>
      <c r="I191" s="70"/>
      <c r="J191" s="67"/>
      <c r="K191" s="67"/>
      <c r="L191" s="67"/>
      <c r="M191" s="70"/>
      <c r="N191" s="72"/>
      <c r="O191" s="73"/>
      <c r="P191" s="74"/>
      <c r="Q191" s="74"/>
      <c r="R191" s="71"/>
      <c r="S191" s="72"/>
    </row>
    <row r="192" spans="1:19">
      <c r="A192" s="63"/>
      <c r="B192" s="67"/>
      <c r="C192" s="68"/>
      <c r="D192" s="69"/>
      <c r="E192" s="69"/>
      <c r="F192" s="70"/>
      <c r="G192" s="70"/>
      <c r="H192" s="71"/>
      <c r="I192" s="70"/>
      <c r="J192" s="67"/>
      <c r="K192" s="67"/>
      <c r="L192" s="67"/>
      <c r="M192" s="70"/>
      <c r="N192" s="72"/>
      <c r="O192" s="73"/>
      <c r="P192" s="74"/>
      <c r="Q192" s="74"/>
      <c r="R192" s="71"/>
      <c r="S192" s="72"/>
    </row>
    <row r="193" spans="1:19">
      <c r="A193" s="63"/>
      <c r="B193" s="67"/>
      <c r="C193" s="68"/>
      <c r="D193" s="69"/>
      <c r="E193" s="69"/>
      <c r="F193" s="70"/>
      <c r="G193" s="70"/>
      <c r="H193" s="71"/>
      <c r="I193" s="70"/>
      <c r="J193" s="67"/>
      <c r="K193" s="67"/>
      <c r="L193" s="67"/>
      <c r="M193" s="70"/>
      <c r="N193" s="72"/>
      <c r="O193" s="73"/>
      <c r="P193" s="74"/>
      <c r="Q193" s="74"/>
      <c r="R193" s="71"/>
      <c r="S193" s="72"/>
    </row>
    <row r="194" spans="1:19">
      <c r="A194" s="63"/>
      <c r="B194" s="67"/>
      <c r="C194" s="68"/>
      <c r="D194" s="69"/>
      <c r="E194" s="69"/>
      <c r="F194" s="70"/>
      <c r="G194" s="70"/>
      <c r="H194" s="71"/>
      <c r="I194" s="70"/>
      <c r="J194" s="67"/>
      <c r="K194" s="67"/>
      <c r="L194" s="67"/>
      <c r="M194" s="70"/>
      <c r="N194" s="72"/>
      <c r="O194" s="73"/>
      <c r="P194" s="74"/>
      <c r="Q194" s="74"/>
      <c r="R194" s="71"/>
      <c r="S194" s="72"/>
    </row>
    <row r="195" spans="1:19">
      <c r="A195" s="63"/>
      <c r="B195" s="67"/>
      <c r="C195" s="68"/>
      <c r="D195" s="69"/>
      <c r="E195" s="69"/>
      <c r="F195" s="70"/>
      <c r="G195" s="70"/>
      <c r="H195" s="71"/>
      <c r="I195" s="70"/>
      <c r="J195" s="67"/>
      <c r="K195" s="67"/>
      <c r="L195" s="67"/>
      <c r="M195" s="70"/>
      <c r="N195" s="72"/>
      <c r="O195" s="73"/>
      <c r="P195" s="74"/>
      <c r="Q195" s="74"/>
      <c r="R195" s="71"/>
      <c r="S195" s="72"/>
    </row>
    <row r="196" spans="1:19">
      <c r="A196" s="63"/>
      <c r="B196" s="67"/>
      <c r="C196" s="68"/>
      <c r="D196" s="69"/>
      <c r="E196" s="69"/>
      <c r="F196" s="70"/>
      <c r="G196" s="70"/>
      <c r="H196" s="71"/>
      <c r="I196" s="70"/>
      <c r="J196" s="67"/>
      <c r="K196" s="67"/>
      <c r="L196" s="67"/>
      <c r="M196" s="70"/>
      <c r="N196" s="72"/>
      <c r="O196" s="73"/>
      <c r="P196" s="74"/>
      <c r="Q196" s="74"/>
      <c r="R196" s="71"/>
      <c r="S196" s="72"/>
    </row>
    <row r="197" spans="1:19">
      <c r="A197" s="63"/>
      <c r="B197" s="67"/>
      <c r="C197" s="68"/>
      <c r="D197" s="69"/>
      <c r="E197" s="69"/>
      <c r="F197" s="70"/>
      <c r="G197" s="70"/>
      <c r="H197" s="71"/>
      <c r="I197" s="70"/>
      <c r="J197" s="67"/>
      <c r="K197" s="67"/>
      <c r="L197" s="67"/>
      <c r="M197" s="70"/>
      <c r="N197" s="72"/>
      <c r="O197" s="73"/>
      <c r="P197" s="74"/>
      <c r="Q197" s="74"/>
      <c r="R197" s="71"/>
      <c r="S197" s="72"/>
    </row>
    <row r="198" spans="1:19">
      <c r="A198" s="63"/>
      <c r="B198" s="67"/>
      <c r="C198" s="68"/>
      <c r="D198" s="69"/>
      <c r="E198" s="69"/>
      <c r="F198" s="70"/>
      <c r="G198" s="70"/>
      <c r="H198" s="71"/>
      <c r="I198" s="70"/>
      <c r="J198" s="67"/>
      <c r="K198" s="67"/>
      <c r="L198" s="67"/>
      <c r="M198" s="70"/>
      <c r="N198" s="72"/>
      <c r="O198" s="73"/>
      <c r="P198" s="74"/>
      <c r="Q198" s="74"/>
      <c r="R198" s="71"/>
      <c r="S198" s="72"/>
    </row>
    <row r="199" spans="1:19">
      <c r="A199" s="63"/>
      <c r="B199" s="67"/>
      <c r="C199" s="68"/>
      <c r="D199" s="69"/>
      <c r="E199" s="69"/>
      <c r="F199" s="70"/>
      <c r="G199" s="70"/>
      <c r="H199" s="71"/>
      <c r="I199" s="70"/>
      <c r="J199" s="67"/>
      <c r="K199" s="67"/>
      <c r="L199" s="67"/>
      <c r="M199" s="70"/>
      <c r="N199" s="72"/>
      <c r="O199" s="73"/>
      <c r="P199" s="74"/>
      <c r="Q199" s="74"/>
      <c r="R199" s="71"/>
      <c r="S199" s="72"/>
    </row>
    <row r="200" spans="1:19">
      <c r="A200" s="63"/>
      <c r="B200" s="67"/>
      <c r="C200" s="68"/>
      <c r="D200" s="69"/>
      <c r="E200" s="69"/>
      <c r="F200" s="70"/>
      <c r="G200" s="70"/>
      <c r="H200" s="71"/>
      <c r="I200" s="70"/>
      <c r="J200" s="67"/>
      <c r="K200" s="67"/>
      <c r="L200" s="67"/>
      <c r="M200" s="70"/>
      <c r="N200" s="72"/>
      <c r="O200" s="73"/>
      <c r="P200" s="74"/>
      <c r="Q200" s="74"/>
      <c r="R200" s="71"/>
      <c r="S200" s="72"/>
    </row>
    <row r="201" spans="1:19">
      <c r="A201" s="63"/>
      <c r="B201" s="67"/>
      <c r="C201" s="68"/>
      <c r="D201" s="69"/>
      <c r="E201" s="69"/>
      <c r="F201" s="70"/>
      <c r="G201" s="70"/>
      <c r="H201" s="71"/>
      <c r="I201" s="70"/>
      <c r="J201" s="67"/>
      <c r="K201" s="67"/>
      <c r="L201" s="67"/>
      <c r="M201" s="70"/>
      <c r="N201" s="72"/>
      <c r="O201" s="73"/>
      <c r="P201" s="74"/>
      <c r="Q201" s="74"/>
      <c r="R201" s="71"/>
      <c r="S201" s="72"/>
    </row>
    <row r="202" spans="1:19">
      <c r="A202" s="63"/>
      <c r="B202" s="67"/>
      <c r="C202" s="68"/>
      <c r="D202" s="69"/>
      <c r="E202" s="69"/>
      <c r="F202" s="70"/>
      <c r="G202" s="70"/>
      <c r="H202" s="71"/>
      <c r="I202" s="70"/>
      <c r="J202" s="67"/>
      <c r="K202" s="67"/>
      <c r="L202" s="67"/>
      <c r="M202" s="70"/>
      <c r="N202" s="72"/>
      <c r="O202" s="73"/>
      <c r="P202" s="74"/>
      <c r="Q202" s="74"/>
      <c r="R202" s="71"/>
      <c r="S202" s="72"/>
    </row>
    <row r="203" spans="1:19">
      <c r="A203" s="63"/>
      <c r="B203" s="67"/>
      <c r="C203" s="68"/>
      <c r="D203" s="69"/>
      <c r="E203" s="69"/>
      <c r="F203" s="70"/>
      <c r="G203" s="70"/>
      <c r="H203" s="71"/>
      <c r="I203" s="70"/>
      <c r="J203" s="67"/>
      <c r="K203" s="67"/>
      <c r="L203" s="67"/>
      <c r="M203" s="70"/>
      <c r="N203" s="72"/>
      <c r="O203" s="73"/>
      <c r="P203" s="74"/>
      <c r="Q203" s="74"/>
      <c r="R203" s="71"/>
      <c r="S203" s="72"/>
    </row>
    <row r="204" spans="1:19">
      <c r="A204" s="63"/>
      <c r="B204" s="67"/>
      <c r="C204" s="68"/>
      <c r="D204" s="69"/>
      <c r="E204" s="69"/>
      <c r="F204" s="70"/>
      <c r="G204" s="70"/>
      <c r="H204" s="71"/>
      <c r="I204" s="70"/>
      <c r="J204" s="67"/>
      <c r="K204" s="67"/>
      <c r="L204" s="67"/>
      <c r="M204" s="70"/>
      <c r="N204" s="72"/>
      <c r="O204" s="73"/>
      <c r="P204" s="74"/>
      <c r="Q204" s="74"/>
      <c r="R204" s="71"/>
      <c r="S204" s="72"/>
    </row>
    <row r="205" spans="1:19">
      <c r="A205" s="63"/>
      <c r="B205" s="67"/>
      <c r="C205" s="68"/>
      <c r="D205" s="69"/>
      <c r="E205" s="69"/>
      <c r="F205" s="70"/>
      <c r="G205" s="70"/>
      <c r="H205" s="71"/>
      <c r="I205" s="70"/>
      <c r="J205" s="67"/>
      <c r="K205" s="67"/>
      <c r="L205" s="67"/>
      <c r="M205" s="70"/>
      <c r="N205" s="72"/>
      <c r="O205" s="73"/>
      <c r="P205" s="74"/>
      <c r="Q205" s="74"/>
      <c r="R205" s="71"/>
      <c r="S205" s="72"/>
    </row>
    <row r="206" spans="1:19">
      <c r="A206" s="63"/>
      <c r="B206" s="67"/>
      <c r="C206" s="68"/>
      <c r="D206" s="69"/>
      <c r="E206" s="69"/>
      <c r="F206" s="70"/>
      <c r="G206" s="70"/>
      <c r="H206" s="71"/>
      <c r="I206" s="70"/>
      <c r="J206" s="67"/>
      <c r="K206" s="67"/>
      <c r="L206" s="67"/>
      <c r="M206" s="70"/>
      <c r="N206" s="72"/>
      <c r="O206" s="73"/>
      <c r="P206" s="74"/>
      <c r="Q206" s="74"/>
      <c r="R206" s="71"/>
      <c r="S206" s="72"/>
    </row>
    <row r="207" spans="1:19">
      <c r="A207" s="63"/>
      <c r="B207" s="67"/>
      <c r="C207" s="68"/>
      <c r="D207" s="69"/>
      <c r="E207" s="69"/>
      <c r="F207" s="70"/>
      <c r="G207" s="70"/>
      <c r="H207" s="71"/>
      <c r="I207" s="70"/>
      <c r="J207" s="67"/>
      <c r="K207" s="67"/>
      <c r="L207" s="67"/>
      <c r="M207" s="70"/>
      <c r="N207" s="72"/>
      <c r="O207" s="73"/>
      <c r="P207" s="74"/>
      <c r="Q207" s="74"/>
      <c r="R207" s="71"/>
      <c r="S207" s="72"/>
    </row>
    <row r="208" spans="1:19">
      <c r="A208" s="63"/>
      <c r="B208" s="67"/>
      <c r="C208" s="68"/>
      <c r="D208" s="69"/>
      <c r="E208" s="69"/>
      <c r="F208" s="70"/>
      <c r="G208" s="70"/>
      <c r="H208" s="71"/>
      <c r="I208" s="70"/>
      <c r="J208" s="67"/>
      <c r="K208" s="67"/>
      <c r="L208" s="67"/>
      <c r="M208" s="70"/>
      <c r="N208" s="72"/>
      <c r="O208" s="73"/>
      <c r="P208" s="74"/>
      <c r="Q208" s="74"/>
      <c r="R208" s="71"/>
      <c r="S208" s="72"/>
    </row>
    <row r="209" spans="1:19">
      <c r="A209" s="63"/>
      <c r="B209" s="67"/>
      <c r="C209" s="68"/>
      <c r="D209" s="69"/>
      <c r="E209" s="69"/>
      <c r="F209" s="70"/>
      <c r="G209" s="70"/>
      <c r="H209" s="71"/>
      <c r="I209" s="70"/>
      <c r="J209" s="67"/>
      <c r="K209" s="67"/>
      <c r="L209" s="67"/>
      <c r="M209" s="70"/>
      <c r="N209" s="72"/>
      <c r="O209" s="73"/>
      <c r="P209" s="74"/>
      <c r="Q209" s="74"/>
      <c r="R209" s="71"/>
      <c r="S209" s="72"/>
    </row>
    <row r="210" spans="1:19">
      <c r="A210" s="63"/>
      <c r="B210" s="67"/>
      <c r="C210" s="68"/>
      <c r="D210" s="69"/>
      <c r="E210" s="69"/>
      <c r="F210" s="70"/>
      <c r="G210" s="70"/>
      <c r="H210" s="71"/>
      <c r="I210" s="70"/>
      <c r="J210" s="67"/>
      <c r="K210" s="67"/>
      <c r="L210" s="67"/>
      <c r="M210" s="70"/>
      <c r="N210" s="72"/>
      <c r="O210" s="73"/>
      <c r="P210" s="74"/>
      <c r="Q210" s="74"/>
      <c r="R210" s="71"/>
      <c r="S210" s="72"/>
    </row>
    <row r="211" spans="1:19">
      <c r="A211" s="63"/>
      <c r="B211" s="67"/>
      <c r="C211" s="68"/>
      <c r="D211" s="69"/>
      <c r="E211" s="69"/>
      <c r="F211" s="70"/>
      <c r="G211" s="70"/>
      <c r="H211" s="71"/>
      <c r="I211" s="70"/>
      <c r="J211" s="67"/>
      <c r="K211" s="67"/>
      <c r="L211" s="67"/>
      <c r="M211" s="70"/>
      <c r="N211" s="72"/>
      <c r="O211" s="73"/>
      <c r="P211" s="74"/>
      <c r="Q211" s="74"/>
      <c r="R211" s="71"/>
      <c r="S211" s="72"/>
    </row>
    <row r="212" spans="1:19">
      <c r="A212" s="63"/>
      <c r="B212" s="67"/>
      <c r="C212" s="68"/>
      <c r="D212" s="69"/>
      <c r="E212" s="69"/>
      <c r="F212" s="70"/>
      <c r="G212" s="70"/>
      <c r="H212" s="71"/>
      <c r="I212" s="70"/>
      <c r="J212" s="67"/>
      <c r="K212" s="67"/>
      <c r="L212" s="67"/>
      <c r="M212" s="70"/>
      <c r="N212" s="72"/>
      <c r="O212" s="73"/>
      <c r="P212" s="74"/>
      <c r="Q212" s="74"/>
      <c r="R212" s="71"/>
      <c r="S212" s="72"/>
    </row>
    <row r="213" spans="1:19">
      <c r="A213" s="63"/>
      <c r="B213" s="67"/>
      <c r="C213" s="68"/>
      <c r="D213" s="69"/>
      <c r="E213" s="69"/>
      <c r="F213" s="70"/>
      <c r="G213" s="70"/>
      <c r="H213" s="71"/>
      <c r="I213" s="70"/>
      <c r="J213" s="67"/>
      <c r="K213" s="67"/>
      <c r="L213" s="67"/>
      <c r="M213" s="70"/>
      <c r="N213" s="72"/>
      <c r="O213" s="73"/>
      <c r="P213" s="74"/>
      <c r="Q213" s="74"/>
      <c r="R213" s="71"/>
      <c r="S213" s="72"/>
    </row>
    <row r="214" spans="1:19">
      <c r="A214" s="63"/>
      <c r="B214" s="67"/>
      <c r="C214" s="68"/>
      <c r="D214" s="69"/>
      <c r="E214" s="69"/>
      <c r="F214" s="70"/>
      <c r="G214" s="70"/>
      <c r="H214" s="71"/>
      <c r="I214" s="70"/>
      <c r="J214" s="67"/>
      <c r="K214" s="67"/>
      <c r="L214" s="67"/>
      <c r="M214" s="70"/>
      <c r="N214" s="72"/>
      <c r="O214" s="73"/>
      <c r="P214" s="74"/>
      <c r="Q214" s="74"/>
      <c r="R214" s="71"/>
      <c r="S214" s="72"/>
    </row>
    <row r="215" spans="1:19">
      <c r="A215" s="63"/>
      <c r="B215" s="67"/>
      <c r="C215" s="68"/>
      <c r="D215" s="69"/>
      <c r="E215" s="69"/>
      <c r="F215" s="70"/>
      <c r="G215" s="70"/>
      <c r="H215" s="71"/>
      <c r="I215" s="70"/>
      <c r="J215" s="67"/>
      <c r="K215" s="67"/>
      <c r="L215" s="67"/>
      <c r="M215" s="70"/>
      <c r="N215" s="72"/>
      <c r="O215" s="73"/>
      <c r="P215" s="74"/>
      <c r="Q215" s="74"/>
      <c r="R215" s="71"/>
      <c r="S215" s="72"/>
    </row>
    <row r="216" spans="1:19">
      <c r="A216" s="63"/>
      <c r="B216" s="67"/>
      <c r="C216" s="68"/>
      <c r="D216" s="69"/>
      <c r="E216" s="69"/>
      <c r="F216" s="70"/>
      <c r="G216" s="70"/>
      <c r="H216" s="71"/>
      <c r="I216" s="70"/>
      <c r="J216" s="67"/>
      <c r="K216" s="67"/>
      <c r="L216" s="67"/>
      <c r="M216" s="70"/>
      <c r="N216" s="72"/>
      <c r="O216" s="73"/>
      <c r="P216" s="74"/>
      <c r="Q216" s="74"/>
      <c r="R216" s="71"/>
      <c r="S216" s="72"/>
    </row>
    <row r="217" spans="1:19">
      <c r="A217" s="63"/>
      <c r="B217" s="67"/>
      <c r="C217" s="68"/>
      <c r="D217" s="69"/>
      <c r="E217" s="69"/>
      <c r="F217" s="70"/>
      <c r="G217" s="70"/>
      <c r="H217" s="71"/>
      <c r="I217" s="70"/>
      <c r="J217" s="67"/>
      <c r="K217" s="67"/>
      <c r="L217" s="67"/>
      <c r="M217" s="70"/>
      <c r="N217" s="72"/>
      <c r="O217" s="73"/>
      <c r="P217" s="74"/>
      <c r="Q217" s="74"/>
      <c r="R217" s="71"/>
      <c r="S217" s="72"/>
    </row>
    <row r="218" spans="1:19">
      <c r="A218" s="63"/>
      <c r="B218" s="67"/>
      <c r="C218" s="68"/>
      <c r="D218" s="69"/>
      <c r="E218" s="69"/>
      <c r="F218" s="70"/>
      <c r="G218" s="70"/>
      <c r="H218" s="71"/>
      <c r="I218" s="70"/>
      <c r="J218" s="67"/>
      <c r="K218" s="67"/>
      <c r="L218" s="67"/>
      <c r="M218" s="70"/>
      <c r="N218" s="72"/>
      <c r="O218" s="73"/>
      <c r="P218" s="74"/>
      <c r="Q218" s="74"/>
      <c r="R218" s="71"/>
      <c r="S218" s="72"/>
    </row>
    <row r="219" spans="1:19">
      <c r="A219" s="63"/>
      <c r="B219" s="67"/>
      <c r="C219" s="68"/>
      <c r="D219" s="69"/>
      <c r="E219" s="69"/>
      <c r="F219" s="70"/>
      <c r="G219" s="70"/>
      <c r="H219" s="71"/>
      <c r="I219" s="70"/>
      <c r="J219" s="67"/>
      <c r="K219" s="67"/>
      <c r="L219" s="67"/>
      <c r="M219" s="70"/>
      <c r="N219" s="72"/>
      <c r="O219" s="73"/>
      <c r="P219" s="74"/>
      <c r="Q219" s="74"/>
      <c r="R219" s="71"/>
      <c r="S219" s="72"/>
    </row>
    <row r="220" spans="1:19">
      <c r="A220" s="63"/>
      <c r="B220" s="67"/>
      <c r="C220" s="68"/>
      <c r="D220" s="69"/>
      <c r="E220" s="69"/>
      <c r="F220" s="70"/>
      <c r="G220" s="70"/>
      <c r="H220" s="71"/>
      <c r="I220" s="70"/>
      <c r="J220" s="67"/>
      <c r="K220" s="67"/>
      <c r="L220" s="67"/>
      <c r="M220" s="70"/>
      <c r="N220" s="72"/>
      <c r="O220" s="73"/>
      <c r="P220" s="74"/>
      <c r="Q220" s="74"/>
      <c r="R220" s="71"/>
      <c r="S220" s="72"/>
    </row>
    <row r="221" spans="1:19">
      <c r="A221" s="63"/>
      <c r="B221" s="67"/>
      <c r="C221" s="68"/>
      <c r="D221" s="69"/>
      <c r="E221" s="69"/>
      <c r="F221" s="70"/>
      <c r="G221" s="70"/>
      <c r="H221" s="71"/>
      <c r="I221" s="70"/>
      <c r="J221" s="67"/>
      <c r="K221" s="67"/>
      <c r="L221" s="67"/>
      <c r="M221" s="70"/>
      <c r="N221" s="72"/>
      <c r="O221" s="73"/>
      <c r="P221" s="74"/>
      <c r="Q221" s="74"/>
      <c r="R221" s="71"/>
      <c r="S221" s="72"/>
    </row>
    <row r="222" spans="1:19">
      <c r="A222" s="63"/>
      <c r="B222" s="67"/>
      <c r="C222" s="68"/>
      <c r="D222" s="69"/>
      <c r="E222" s="69"/>
      <c r="F222" s="70"/>
      <c r="G222" s="70"/>
      <c r="H222" s="71"/>
      <c r="I222" s="70"/>
      <c r="J222" s="67"/>
      <c r="K222" s="67"/>
      <c r="L222" s="67"/>
      <c r="M222" s="70"/>
      <c r="N222" s="72"/>
      <c r="O222" s="73"/>
      <c r="P222" s="74"/>
      <c r="Q222" s="74"/>
      <c r="R222" s="71"/>
      <c r="S222" s="72"/>
    </row>
    <row r="223" spans="1:19">
      <c r="A223" s="63"/>
      <c r="B223" s="67"/>
      <c r="C223" s="68"/>
      <c r="D223" s="69"/>
      <c r="E223" s="69"/>
      <c r="F223" s="70"/>
      <c r="G223" s="70"/>
      <c r="H223" s="71"/>
      <c r="I223" s="70"/>
      <c r="J223" s="67"/>
      <c r="K223" s="67"/>
      <c r="L223" s="67"/>
      <c r="M223" s="70"/>
      <c r="N223" s="72"/>
      <c r="O223" s="73"/>
      <c r="P223" s="74"/>
      <c r="Q223" s="74"/>
      <c r="R223" s="71"/>
      <c r="S223" s="72"/>
    </row>
    <row r="224" spans="1:19">
      <c r="A224" s="63"/>
      <c r="B224" s="67"/>
      <c r="C224" s="68"/>
      <c r="D224" s="69"/>
      <c r="E224" s="69"/>
      <c r="F224" s="70"/>
      <c r="G224" s="70"/>
      <c r="H224" s="71"/>
      <c r="I224" s="70"/>
      <c r="J224" s="67"/>
      <c r="K224" s="67"/>
      <c r="L224" s="67"/>
      <c r="M224" s="70"/>
      <c r="N224" s="72"/>
      <c r="O224" s="73"/>
      <c r="P224" s="74"/>
      <c r="Q224" s="74"/>
      <c r="R224" s="71"/>
      <c r="S224" s="72"/>
    </row>
    <row r="225" spans="1:19">
      <c r="A225" s="63"/>
      <c r="B225" s="67"/>
      <c r="C225" s="68"/>
      <c r="D225" s="69"/>
      <c r="E225" s="69"/>
      <c r="F225" s="70"/>
      <c r="G225" s="70"/>
      <c r="H225" s="71"/>
      <c r="I225" s="70"/>
      <c r="J225" s="67"/>
      <c r="K225" s="67"/>
      <c r="L225" s="67"/>
      <c r="M225" s="70"/>
      <c r="N225" s="72"/>
      <c r="O225" s="73"/>
      <c r="P225" s="74"/>
      <c r="Q225" s="74"/>
      <c r="R225" s="71"/>
      <c r="S225" s="72"/>
    </row>
    <row r="226" spans="1:19">
      <c r="A226" s="63"/>
      <c r="B226" s="67"/>
      <c r="C226" s="68"/>
      <c r="D226" s="69"/>
      <c r="E226" s="69"/>
      <c r="F226" s="70"/>
      <c r="G226" s="70"/>
      <c r="H226" s="71"/>
      <c r="I226" s="70"/>
      <c r="J226" s="67"/>
      <c r="K226" s="67"/>
      <c r="L226" s="67"/>
      <c r="M226" s="70"/>
      <c r="N226" s="72"/>
      <c r="O226" s="73"/>
      <c r="P226" s="74"/>
      <c r="Q226" s="74"/>
      <c r="R226" s="71"/>
      <c r="S226" s="72"/>
    </row>
    <row r="227" spans="1:19">
      <c r="A227" s="63"/>
      <c r="B227" s="67"/>
      <c r="C227" s="68"/>
      <c r="D227" s="69"/>
      <c r="E227" s="69"/>
      <c r="F227" s="70"/>
      <c r="G227" s="70"/>
      <c r="H227" s="71"/>
      <c r="I227" s="70"/>
      <c r="J227" s="67"/>
      <c r="K227" s="67"/>
      <c r="L227" s="67"/>
      <c r="M227" s="70"/>
      <c r="N227" s="72"/>
      <c r="O227" s="73"/>
      <c r="P227" s="74"/>
      <c r="Q227" s="74"/>
      <c r="R227" s="71"/>
      <c r="S227" s="72"/>
    </row>
    <row r="228" spans="1:19">
      <c r="A228" s="63"/>
      <c r="B228" s="67"/>
      <c r="C228" s="68"/>
      <c r="D228" s="69"/>
      <c r="E228" s="69"/>
      <c r="F228" s="70"/>
      <c r="G228" s="70"/>
      <c r="H228" s="71"/>
      <c r="I228" s="70"/>
      <c r="J228" s="67"/>
      <c r="K228" s="67"/>
      <c r="L228" s="67"/>
      <c r="M228" s="70"/>
      <c r="N228" s="72"/>
      <c r="O228" s="73"/>
      <c r="P228" s="74"/>
      <c r="Q228" s="74"/>
      <c r="R228" s="71"/>
      <c r="S228" s="72"/>
    </row>
    <row r="229" spans="1:19">
      <c r="A229" s="63"/>
      <c r="B229" s="67"/>
      <c r="C229" s="68"/>
      <c r="D229" s="69"/>
      <c r="E229" s="69"/>
      <c r="F229" s="70"/>
      <c r="G229" s="70"/>
      <c r="H229" s="71"/>
      <c r="I229" s="70"/>
      <c r="J229" s="67"/>
      <c r="K229" s="67"/>
      <c r="L229" s="67"/>
      <c r="M229" s="70"/>
      <c r="N229" s="72"/>
      <c r="O229" s="73"/>
      <c r="P229" s="74"/>
      <c r="Q229" s="74"/>
      <c r="R229" s="71"/>
      <c r="S229" s="72"/>
    </row>
    <row r="230" spans="1:19">
      <c r="A230" s="63"/>
      <c r="B230" s="67"/>
      <c r="C230" s="68"/>
      <c r="D230" s="69"/>
      <c r="E230" s="69"/>
      <c r="F230" s="70"/>
      <c r="G230" s="70"/>
      <c r="H230" s="71"/>
      <c r="I230" s="70"/>
      <c r="J230" s="67"/>
      <c r="K230" s="67"/>
      <c r="L230" s="67"/>
      <c r="M230" s="70"/>
      <c r="N230" s="72"/>
      <c r="O230" s="73"/>
      <c r="P230" s="74"/>
      <c r="Q230" s="74"/>
      <c r="R230" s="71"/>
      <c r="S230" s="72"/>
    </row>
    <row r="231" spans="1:19">
      <c r="A231" s="63"/>
      <c r="B231" s="67"/>
      <c r="C231" s="68"/>
      <c r="D231" s="69"/>
      <c r="E231" s="69"/>
      <c r="F231" s="70"/>
      <c r="G231" s="70"/>
      <c r="H231" s="71"/>
      <c r="I231" s="70"/>
      <c r="J231" s="67"/>
      <c r="K231" s="67"/>
      <c r="L231" s="67"/>
      <c r="M231" s="70"/>
      <c r="N231" s="72"/>
      <c r="O231" s="73"/>
      <c r="P231" s="74"/>
      <c r="Q231" s="74"/>
      <c r="R231" s="71"/>
      <c r="S231" s="72"/>
    </row>
    <row r="232" spans="1:19">
      <c r="A232" s="63"/>
      <c r="B232" s="67"/>
      <c r="C232" s="68"/>
      <c r="D232" s="69"/>
      <c r="E232" s="69"/>
      <c r="F232" s="70"/>
      <c r="G232" s="70"/>
      <c r="H232" s="71"/>
      <c r="I232" s="70"/>
      <c r="J232" s="67"/>
      <c r="K232" s="67"/>
      <c r="L232" s="67"/>
      <c r="M232" s="70"/>
      <c r="N232" s="72"/>
      <c r="O232" s="73"/>
      <c r="P232" s="74"/>
      <c r="Q232" s="74"/>
      <c r="R232" s="71"/>
      <c r="S232" s="72"/>
    </row>
    <row r="233" spans="1:19">
      <c r="A233" s="63"/>
      <c r="B233" s="67"/>
      <c r="C233" s="68"/>
      <c r="D233" s="69"/>
      <c r="E233" s="69"/>
      <c r="F233" s="70"/>
      <c r="G233" s="70"/>
      <c r="H233" s="71"/>
      <c r="I233" s="70"/>
      <c r="J233" s="67"/>
      <c r="K233" s="67"/>
      <c r="L233" s="67"/>
      <c r="M233" s="70"/>
      <c r="N233" s="72"/>
      <c r="O233" s="73"/>
      <c r="P233" s="74"/>
      <c r="Q233" s="74"/>
      <c r="R233" s="71"/>
      <c r="S233" s="72"/>
    </row>
    <row r="234" spans="1:19">
      <c r="A234" s="63"/>
      <c r="B234" s="67"/>
      <c r="C234" s="68"/>
      <c r="D234" s="69"/>
      <c r="E234" s="69"/>
      <c r="F234" s="70"/>
      <c r="G234" s="70"/>
      <c r="H234" s="71"/>
      <c r="I234" s="70"/>
      <c r="J234" s="67"/>
      <c r="K234" s="67"/>
      <c r="L234" s="67"/>
      <c r="M234" s="70"/>
      <c r="N234" s="72"/>
      <c r="O234" s="73"/>
      <c r="P234" s="74"/>
      <c r="Q234" s="74"/>
      <c r="R234" s="71"/>
      <c r="S234" s="72"/>
    </row>
    <row r="235" spans="1:19">
      <c r="A235" s="63"/>
      <c r="B235" s="67"/>
      <c r="C235" s="68"/>
      <c r="D235" s="69"/>
      <c r="E235" s="69"/>
      <c r="F235" s="70"/>
      <c r="G235" s="70"/>
      <c r="H235" s="71"/>
      <c r="I235" s="70"/>
      <c r="J235" s="67"/>
      <c r="K235" s="67"/>
      <c r="L235" s="67"/>
      <c r="M235" s="70"/>
      <c r="N235" s="72"/>
      <c r="O235" s="73"/>
      <c r="P235" s="74"/>
      <c r="Q235" s="74"/>
      <c r="R235" s="71"/>
      <c r="S235" s="72"/>
    </row>
    <row r="236" spans="1:19">
      <c r="A236" s="63"/>
      <c r="B236" s="67"/>
      <c r="C236" s="68"/>
      <c r="D236" s="69"/>
      <c r="E236" s="69"/>
      <c r="F236" s="70"/>
      <c r="G236" s="70"/>
      <c r="H236" s="71"/>
      <c r="I236" s="70"/>
      <c r="J236" s="67"/>
      <c r="K236" s="67"/>
      <c r="L236" s="67"/>
      <c r="M236" s="70"/>
      <c r="N236" s="72"/>
      <c r="O236" s="73"/>
      <c r="P236" s="74"/>
      <c r="Q236" s="74"/>
      <c r="R236" s="71"/>
      <c r="S236" s="72"/>
    </row>
    <row r="237" spans="1:19">
      <c r="A237" s="63"/>
      <c r="B237" s="67"/>
      <c r="C237" s="68"/>
      <c r="D237" s="69"/>
      <c r="E237" s="69"/>
      <c r="F237" s="70"/>
      <c r="G237" s="70"/>
      <c r="H237" s="71"/>
      <c r="I237" s="70"/>
      <c r="J237" s="67"/>
      <c r="K237" s="67"/>
      <c r="L237" s="67"/>
      <c r="M237" s="70"/>
      <c r="N237" s="72"/>
      <c r="O237" s="73"/>
      <c r="P237" s="74"/>
      <c r="Q237" s="74"/>
      <c r="R237" s="71"/>
      <c r="S237" s="72"/>
    </row>
    <row r="238" spans="1:19">
      <c r="A238" s="63"/>
      <c r="B238" s="67"/>
      <c r="C238" s="68"/>
      <c r="D238" s="69"/>
      <c r="E238" s="69"/>
      <c r="F238" s="70"/>
      <c r="G238" s="70"/>
      <c r="H238" s="71"/>
      <c r="I238" s="70"/>
      <c r="J238" s="67"/>
      <c r="K238" s="67"/>
      <c r="L238" s="67"/>
      <c r="M238" s="70"/>
      <c r="N238" s="72"/>
      <c r="O238" s="73"/>
      <c r="P238" s="74"/>
      <c r="Q238" s="74"/>
      <c r="R238" s="71"/>
      <c r="S238" s="72"/>
    </row>
    <row r="239" spans="1:19">
      <c r="A239" s="63"/>
      <c r="B239" s="67"/>
      <c r="C239" s="68"/>
      <c r="D239" s="69"/>
      <c r="E239" s="69"/>
      <c r="F239" s="70"/>
      <c r="G239" s="70"/>
      <c r="H239" s="71"/>
      <c r="I239" s="70"/>
      <c r="J239" s="67"/>
      <c r="K239" s="67"/>
      <c r="L239" s="67"/>
      <c r="M239" s="70"/>
      <c r="N239" s="72"/>
      <c r="O239" s="73"/>
      <c r="P239" s="74"/>
      <c r="Q239" s="74"/>
      <c r="R239" s="71"/>
      <c r="S239" s="72"/>
    </row>
    <row r="240" spans="1:19">
      <c r="A240" s="63"/>
      <c r="B240" s="67"/>
      <c r="C240" s="68"/>
      <c r="D240" s="69"/>
      <c r="E240" s="69"/>
      <c r="F240" s="70"/>
      <c r="G240" s="70"/>
      <c r="H240" s="71"/>
      <c r="I240" s="70"/>
      <c r="J240" s="67"/>
      <c r="K240" s="67"/>
      <c r="L240" s="67"/>
      <c r="M240" s="70"/>
      <c r="N240" s="72"/>
      <c r="O240" s="73"/>
      <c r="P240" s="74"/>
      <c r="Q240" s="74"/>
      <c r="R240" s="71"/>
      <c r="S240" s="72"/>
    </row>
    <row r="241" spans="1:19">
      <c r="A241" s="63"/>
      <c r="B241" s="67"/>
      <c r="C241" s="68"/>
      <c r="D241" s="69"/>
      <c r="E241" s="69"/>
      <c r="F241" s="70"/>
      <c r="G241" s="70"/>
      <c r="H241" s="71"/>
      <c r="I241" s="70"/>
      <c r="J241" s="67"/>
      <c r="K241" s="67"/>
      <c r="L241" s="67"/>
      <c r="M241" s="70"/>
      <c r="N241" s="72"/>
      <c r="O241" s="73"/>
      <c r="P241" s="74"/>
      <c r="Q241" s="74"/>
      <c r="R241" s="71"/>
      <c r="S241" s="72"/>
    </row>
    <row r="242" spans="1:19">
      <c r="A242" s="63"/>
      <c r="B242" s="67"/>
      <c r="C242" s="68"/>
      <c r="D242" s="69"/>
      <c r="E242" s="69"/>
      <c r="F242" s="70"/>
      <c r="G242" s="70"/>
      <c r="H242" s="71"/>
      <c r="I242" s="70"/>
      <c r="J242" s="67"/>
      <c r="K242" s="67"/>
      <c r="L242" s="67"/>
      <c r="M242" s="70"/>
      <c r="N242" s="72"/>
      <c r="O242" s="73"/>
      <c r="P242" s="74"/>
      <c r="Q242" s="74"/>
      <c r="R242" s="71"/>
      <c r="S242" s="72"/>
    </row>
    <row r="243" spans="1:19">
      <c r="A243" s="63"/>
      <c r="B243" s="67"/>
      <c r="C243" s="68"/>
      <c r="D243" s="69"/>
      <c r="E243" s="69"/>
      <c r="F243" s="70"/>
      <c r="G243" s="70"/>
      <c r="H243" s="71"/>
      <c r="I243" s="70"/>
      <c r="J243" s="67"/>
      <c r="K243" s="67"/>
      <c r="L243" s="67"/>
      <c r="M243" s="70"/>
      <c r="N243" s="72"/>
      <c r="O243" s="73"/>
      <c r="P243" s="74"/>
      <c r="Q243" s="74"/>
      <c r="R243" s="71"/>
      <c r="S243" s="72"/>
    </row>
    <row r="244" spans="1:19">
      <c r="A244" s="63"/>
      <c r="B244" s="67"/>
      <c r="C244" s="68"/>
      <c r="D244" s="69"/>
      <c r="E244" s="69"/>
      <c r="F244" s="70"/>
      <c r="G244" s="70"/>
      <c r="H244" s="71"/>
      <c r="I244" s="70"/>
      <c r="J244" s="67"/>
      <c r="K244" s="67"/>
      <c r="L244" s="67"/>
      <c r="M244" s="70"/>
      <c r="N244" s="72"/>
      <c r="O244" s="73"/>
      <c r="P244" s="74"/>
      <c r="Q244" s="74"/>
      <c r="R244" s="71"/>
      <c r="S244" s="72"/>
    </row>
    <row r="245" spans="1:19">
      <c r="A245" s="63"/>
      <c r="B245" s="67"/>
      <c r="C245" s="68"/>
      <c r="D245" s="69"/>
      <c r="E245" s="69"/>
      <c r="F245" s="70"/>
      <c r="G245" s="70"/>
      <c r="H245" s="71"/>
      <c r="I245" s="70"/>
      <c r="J245" s="67"/>
      <c r="K245" s="67"/>
      <c r="L245" s="67"/>
      <c r="M245" s="70"/>
      <c r="N245" s="72"/>
      <c r="O245" s="73"/>
      <c r="P245" s="74"/>
      <c r="Q245" s="74"/>
      <c r="R245" s="71"/>
      <c r="S245" s="72"/>
    </row>
    <row r="246" spans="1:19">
      <c r="A246" s="63"/>
      <c r="B246" s="67"/>
      <c r="C246" s="68"/>
      <c r="D246" s="69"/>
      <c r="E246" s="69"/>
      <c r="F246" s="70"/>
      <c r="G246" s="70"/>
      <c r="H246" s="71"/>
      <c r="I246" s="70"/>
      <c r="J246" s="67"/>
      <c r="K246" s="67"/>
      <c r="L246" s="67"/>
      <c r="M246" s="70"/>
      <c r="N246" s="72"/>
      <c r="O246" s="73"/>
      <c r="P246" s="74"/>
      <c r="Q246" s="74"/>
      <c r="R246" s="71"/>
      <c r="S246" s="72"/>
    </row>
    <row r="247" spans="1:19">
      <c r="A247" s="63"/>
      <c r="B247" s="67"/>
      <c r="C247" s="68"/>
      <c r="D247" s="69"/>
      <c r="E247" s="69"/>
      <c r="F247" s="70"/>
      <c r="G247" s="70"/>
      <c r="H247" s="71"/>
      <c r="I247" s="70"/>
      <c r="J247" s="67"/>
      <c r="K247" s="67"/>
      <c r="L247" s="67"/>
      <c r="M247" s="70"/>
      <c r="N247" s="72"/>
      <c r="O247" s="73"/>
      <c r="P247" s="74"/>
      <c r="Q247" s="74"/>
      <c r="R247" s="71"/>
      <c r="S247" s="72"/>
    </row>
    <row r="248" spans="1:19">
      <c r="A248" s="63"/>
      <c r="B248" s="67"/>
      <c r="C248" s="68"/>
      <c r="D248" s="69"/>
      <c r="E248" s="69"/>
      <c r="F248" s="70"/>
      <c r="G248" s="70"/>
      <c r="H248" s="71"/>
      <c r="I248" s="70"/>
      <c r="J248" s="67"/>
      <c r="K248" s="67"/>
      <c r="L248" s="67"/>
      <c r="M248" s="70"/>
      <c r="N248" s="72"/>
      <c r="O248" s="73"/>
      <c r="P248" s="74"/>
      <c r="Q248" s="74"/>
      <c r="R248" s="71"/>
      <c r="S248" s="72"/>
    </row>
    <row r="249" spans="1:19">
      <c r="A249" s="63"/>
      <c r="B249" s="67"/>
      <c r="C249" s="68"/>
      <c r="D249" s="69"/>
      <c r="E249" s="69"/>
      <c r="F249" s="70"/>
      <c r="G249" s="70"/>
      <c r="H249" s="71"/>
      <c r="I249" s="70"/>
      <c r="J249" s="67"/>
      <c r="K249" s="67"/>
      <c r="L249" s="67"/>
      <c r="M249" s="70"/>
      <c r="N249" s="72"/>
      <c r="O249" s="73"/>
      <c r="P249" s="74"/>
      <c r="Q249" s="74"/>
      <c r="R249" s="71"/>
      <c r="S249" s="72"/>
    </row>
    <row r="250" spans="1:19">
      <c r="A250" s="63"/>
      <c r="B250" s="67"/>
      <c r="C250" s="68"/>
      <c r="D250" s="69"/>
      <c r="E250" s="69"/>
      <c r="F250" s="70"/>
      <c r="G250" s="70"/>
      <c r="H250" s="71"/>
      <c r="I250" s="70"/>
      <c r="J250" s="67"/>
      <c r="K250" s="67"/>
      <c r="L250" s="67"/>
      <c r="M250" s="70"/>
      <c r="N250" s="72"/>
      <c r="O250" s="73"/>
      <c r="P250" s="74"/>
      <c r="Q250" s="74"/>
      <c r="R250" s="71"/>
      <c r="S250" s="72"/>
    </row>
    <row r="251" spans="1:19">
      <c r="A251" s="63"/>
      <c r="B251" s="67"/>
      <c r="C251" s="68"/>
      <c r="D251" s="69"/>
      <c r="E251" s="69"/>
      <c r="F251" s="70"/>
      <c r="G251" s="70"/>
      <c r="H251" s="71"/>
      <c r="I251" s="70"/>
      <c r="J251" s="67"/>
      <c r="K251" s="67"/>
      <c r="L251" s="67"/>
      <c r="M251" s="70"/>
      <c r="N251" s="72"/>
      <c r="O251" s="73"/>
      <c r="P251" s="74"/>
      <c r="Q251" s="74"/>
      <c r="R251" s="71"/>
      <c r="S251" s="72"/>
    </row>
    <row r="252" spans="1:19">
      <c r="A252" s="63"/>
      <c r="B252" s="67"/>
      <c r="C252" s="68"/>
      <c r="D252" s="69"/>
      <c r="E252" s="69"/>
      <c r="F252" s="70"/>
      <c r="G252" s="70"/>
      <c r="H252" s="71"/>
      <c r="I252" s="70"/>
      <c r="J252" s="67"/>
      <c r="K252" s="67"/>
      <c r="L252" s="67"/>
      <c r="M252" s="70"/>
      <c r="N252" s="72"/>
      <c r="O252" s="73"/>
      <c r="P252" s="74"/>
      <c r="Q252" s="74"/>
      <c r="R252" s="71"/>
      <c r="S252" s="72"/>
    </row>
    <row r="253" spans="1:19">
      <c r="A253" s="63"/>
      <c r="B253" s="67"/>
      <c r="C253" s="68"/>
      <c r="D253" s="69"/>
      <c r="E253" s="69"/>
      <c r="F253" s="70"/>
      <c r="G253" s="70"/>
      <c r="H253" s="71"/>
      <c r="I253" s="70"/>
      <c r="J253" s="67"/>
      <c r="K253" s="67"/>
      <c r="L253" s="67"/>
      <c r="M253" s="70"/>
      <c r="N253" s="72"/>
      <c r="O253" s="73"/>
      <c r="P253" s="74"/>
      <c r="Q253" s="74"/>
      <c r="R253" s="71"/>
      <c r="S253" s="72"/>
    </row>
    <row r="254" spans="1:19">
      <c r="A254" s="63"/>
      <c r="B254" s="67"/>
      <c r="C254" s="68"/>
      <c r="D254" s="69"/>
      <c r="E254" s="69"/>
      <c r="F254" s="70"/>
      <c r="G254" s="70"/>
      <c r="H254" s="71"/>
      <c r="I254" s="70"/>
      <c r="J254" s="67"/>
      <c r="K254" s="67"/>
      <c r="L254" s="67"/>
      <c r="M254" s="70"/>
      <c r="N254" s="72"/>
      <c r="O254" s="73"/>
      <c r="P254" s="74"/>
      <c r="Q254" s="74"/>
      <c r="R254" s="71"/>
      <c r="S254" s="72"/>
    </row>
    <row r="255" spans="1:19">
      <c r="A255" s="63"/>
      <c r="B255" s="67"/>
      <c r="C255" s="68"/>
      <c r="D255" s="69"/>
      <c r="E255" s="69"/>
      <c r="F255" s="70"/>
      <c r="G255" s="70"/>
      <c r="H255" s="71"/>
      <c r="I255" s="70"/>
      <c r="J255" s="67"/>
      <c r="K255" s="67"/>
      <c r="L255" s="67"/>
      <c r="M255" s="70"/>
      <c r="N255" s="72"/>
      <c r="O255" s="73"/>
      <c r="P255" s="74"/>
      <c r="Q255" s="74"/>
      <c r="R255" s="71"/>
      <c r="S255" s="72"/>
    </row>
    <row r="256" spans="1:19">
      <c r="A256" s="63"/>
      <c r="B256" s="67"/>
      <c r="C256" s="68"/>
      <c r="D256" s="69"/>
      <c r="E256" s="69"/>
      <c r="F256" s="70"/>
      <c r="G256" s="70"/>
      <c r="H256" s="71"/>
      <c r="I256" s="70"/>
      <c r="J256" s="67"/>
      <c r="K256" s="67"/>
      <c r="L256" s="67"/>
      <c r="M256" s="70"/>
      <c r="N256" s="72"/>
      <c r="O256" s="73"/>
      <c r="P256" s="74"/>
      <c r="Q256" s="74"/>
      <c r="R256" s="71"/>
      <c r="S256" s="72"/>
    </row>
    <row r="257" spans="1:19">
      <c r="A257" s="63"/>
      <c r="B257" s="67"/>
      <c r="C257" s="68"/>
      <c r="D257" s="69"/>
      <c r="E257" s="69"/>
      <c r="F257" s="70"/>
      <c r="G257" s="70"/>
      <c r="H257" s="71"/>
      <c r="I257" s="70"/>
      <c r="J257" s="67"/>
      <c r="K257" s="67"/>
      <c r="L257" s="67"/>
      <c r="M257" s="70"/>
      <c r="N257" s="72"/>
      <c r="O257" s="73"/>
      <c r="P257" s="74"/>
      <c r="Q257" s="74"/>
      <c r="R257" s="71"/>
      <c r="S257" s="72"/>
    </row>
    <row r="258" spans="1:19">
      <c r="A258" s="63"/>
      <c r="B258" s="67"/>
      <c r="C258" s="68"/>
      <c r="D258" s="69"/>
      <c r="E258" s="69"/>
      <c r="F258" s="70"/>
      <c r="G258" s="70"/>
      <c r="H258" s="71"/>
      <c r="I258" s="70"/>
      <c r="J258" s="67"/>
      <c r="K258" s="67"/>
      <c r="L258" s="67"/>
      <c r="M258" s="70"/>
      <c r="N258" s="72"/>
      <c r="O258" s="73"/>
      <c r="P258" s="74"/>
      <c r="Q258" s="74"/>
      <c r="R258" s="71"/>
      <c r="S258" s="72"/>
    </row>
    <row r="259" spans="1:19">
      <c r="A259" s="63"/>
      <c r="B259" s="67"/>
      <c r="C259" s="68"/>
      <c r="D259" s="69"/>
      <c r="E259" s="69"/>
      <c r="F259" s="70"/>
      <c r="G259" s="70"/>
      <c r="H259" s="71"/>
      <c r="I259" s="70"/>
      <c r="J259" s="67"/>
      <c r="K259" s="67"/>
      <c r="L259" s="67"/>
      <c r="M259" s="70"/>
      <c r="N259" s="72"/>
      <c r="O259" s="73"/>
      <c r="P259" s="74"/>
      <c r="Q259" s="74"/>
      <c r="R259" s="71"/>
      <c r="S259" s="72"/>
    </row>
    <row r="260" spans="1:19">
      <c r="A260" s="63"/>
      <c r="B260" s="67"/>
      <c r="C260" s="68"/>
      <c r="D260" s="69"/>
      <c r="E260" s="69"/>
      <c r="F260" s="70"/>
      <c r="G260" s="70"/>
      <c r="H260" s="71"/>
      <c r="I260" s="70"/>
      <c r="J260" s="67"/>
      <c r="K260" s="67"/>
      <c r="L260" s="67"/>
      <c r="M260" s="70"/>
      <c r="N260" s="72"/>
      <c r="O260" s="73"/>
      <c r="P260" s="74"/>
      <c r="Q260" s="74"/>
      <c r="R260" s="71"/>
      <c r="S260" s="72"/>
    </row>
    <row r="261" spans="1:19">
      <c r="A261" s="63"/>
      <c r="B261" s="67"/>
      <c r="C261" s="68"/>
      <c r="D261" s="69"/>
      <c r="E261" s="69"/>
      <c r="F261" s="70"/>
      <c r="G261" s="70"/>
      <c r="H261" s="71"/>
      <c r="I261" s="70"/>
      <c r="J261" s="67"/>
      <c r="K261" s="67"/>
      <c r="L261" s="67"/>
      <c r="M261" s="70"/>
      <c r="N261" s="72"/>
      <c r="O261" s="73"/>
      <c r="P261" s="74"/>
      <c r="Q261" s="74"/>
      <c r="R261" s="71"/>
      <c r="S261" s="72"/>
    </row>
    <row r="262" spans="1:19">
      <c r="A262" s="63"/>
      <c r="B262" s="67"/>
      <c r="C262" s="68"/>
      <c r="D262" s="69"/>
      <c r="E262" s="69"/>
      <c r="F262" s="70"/>
      <c r="G262" s="70"/>
      <c r="H262" s="71"/>
      <c r="I262" s="70"/>
      <c r="J262" s="67"/>
      <c r="K262" s="67"/>
      <c r="L262" s="67"/>
      <c r="M262" s="70"/>
      <c r="N262" s="72"/>
      <c r="O262" s="73"/>
      <c r="P262" s="74"/>
      <c r="Q262" s="74"/>
      <c r="R262" s="71"/>
      <c r="S262" s="72"/>
    </row>
    <row r="263" spans="1:19">
      <c r="A263" s="63"/>
      <c r="B263" s="67"/>
      <c r="C263" s="68"/>
      <c r="D263" s="69"/>
      <c r="E263" s="69"/>
      <c r="F263" s="70"/>
      <c r="G263" s="70"/>
      <c r="H263" s="71"/>
      <c r="I263" s="70"/>
      <c r="J263" s="67"/>
      <c r="K263" s="67"/>
      <c r="L263" s="67"/>
      <c r="M263" s="70"/>
      <c r="N263" s="72"/>
      <c r="O263" s="73"/>
      <c r="P263" s="74"/>
      <c r="Q263" s="74"/>
      <c r="R263" s="71"/>
      <c r="S263" s="72"/>
    </row>
    <row r="264" spans="1:19">
      <c r="A264" s="63"/>
      <c r="B264" s="67"/>
      <c r="C264" s="68"/>
      <c r="D264" s="69"/>
      <c r="E264" s="69"/>
      <c r="F264" s="70"/>
      <c r="G264" s="70"/>
      <c r="H264" s="71"/>
      <c r="I264" s="70"/>
      <c r="J264" s="67"/>
      <c r="K264" s="67"/>
      <c r="L264" s="67"/>
      <c r="M264" s="70"/>
      <c r="N264" s="72"/>
      <c r="O264" s="73"/>
      <c r="P264" s="74"/>
      <c r="Q264" s="74"/>
      <c r="R264" s="71"/>
      <c r="S264" s="72"/>
    </row>
    <row r="265" spans="1:19">
      <c r="A265" s="63"/>
      <c r="B265" s="67"/>
      <c r="C265" s="68"/>
      <c r="D265" s="69"/>
      <c r="E265" s="69"/>
      <c r="F265" s="70"/>
      <c r="G265" s="70"/>
      <c r="H265" s="71"/>
      <c r="I265" s="70"/>
      <c r="J265" s="67"/>
      <c r="K265" s="67"/>
      <c r="L265" s="67"/>
      <c r="M265" s="70"/>
      <c r="N265" s="72"/>
      <c r="O265" s="73"/>
      <c r="P265" s="74"/>
      <c r="Q265" s="74"/>
      <c r="R265" s="71"/>
      <c r="S265" s="72"/>
    </row>
    <row r="266" spans="1:19">
      <c r="A266" s="63"/>
      <c r="B266" s="67"/>
      <c r="C266" s="68"/>
      <c r="D266" s="69"/>
      <c r="E266" s="69"/>
      <c r="F266" s="70"/>
      <c r="G266" s="70"/>
      <c r="H266" s="71"/>
      <c r="I266" s="70"/>
      <c r="J266" s="67"/>
      <c r="K266" s="67"/>
      <c r="L266" s="67"/>
      <c r="M266" s="70"/>
      <c r="N266" s="72"/>
      <c r="O266" s="73"/>
      <c r="P266" s="74"/>
      <c r="Q266" s="74"/>
      <c r="R266" s="71"/>
      <c r="S266" s="72"/>
    </row>
    <row r="267" spans="1:19">
      <c r="A267" s="63"/>
      <c r="B267" s="67"/>
      <c r="C267" s="68"/>
      <c r="D267" s="69"/>
      <c r="E267" s="69"/>
      <c r="F267" s="70"/>
      <c r="G267" s="70"/>
      <c r="H267" s="71"/>
      <c r="I267" s="70"/>
      <c r="J267" s="67"/>
      <c r="K267" s="67"/>
      <c r="L267" s="67"/>
      <c r="M267" s="70"/>
      <c r="N267" s="72"/>
      <c r="O267" s="73"/>
      <c r="P267" s="74"/>
      <c r="Q267" s="74"/>
      <c r="R267" s="71"/>
      <c r="S267" s="72"/>
    </row>
    <row r="268" spans="1:19">
      <c r="A268" s="63"/>
      <c r="B268" s="67"/>
      <c r="C268" s="68"/>
      <c r="D268" s="69"/>
      <c r="E268" s="69"/>
      <c r="F268" s="70"/>
      <c r="G268" s="70"/>
      <c r="H268" s="71"/>
      <c r="I268" s="70"/>
      <c r="J268" s="67"/>
      <c r="K268" s="67"/>
      <c r="L268" s="67"/>
      <c r="M268" s="70"/>
      <c r="N268" s="72"/>
      <c r="O268" s="73"/>
      <c r="P268" s="74"/>
      <c r="Q268" s="74"/>
      <c r="R268" s="71"/>
      <c r="S268" s="72"/>
    </row>
    <row r="269" spans="1:19">
      <c r="A269" s="63"/>
      <c r="B269" s="67"/>
      <c r="C269" s="68"/>
      <c r="D269" s="69"/>
      <c r="E269" s="69"/>
      <c r="F269" s="70"/>
      <c r="G269" s="70"/>
      <c r="H269" s="71"/>
      <c r="I269" s="70"/>
      <c r="J269" s="67"/>
      <c r="K269" s="67"/>
      <c r="L269" s="67"/>
      <c r="M269" s="70"/>
      <c r="N269" s="72"/>
      <c r="O269" s="73"/>
      <c r="P269" s="74"/>
      <c r="Q269" s="74"/>
      <c r="R269" s="71"/>
      <c r="S269" s="72"/>
    </row>
    <row r="270" spans="1:19">
      <c r="A270" s="63"/>
      <c r="B270" s="67"/>
      <c r="C270" s="68"/>
      <c r="D270" s="69"/>
      <c r="E270" s="69"/>
      <c r="F270" s="70"/>
      <c r="G270" s="70"/>
      <c r="H270" s="71"/>
      <c r="I270" s="70"/>
      <c r="J270" s="67"/>
      <c r="K270" s="67"/>
      <c r="L270" s="67"/>
      <c r="M270" s="70"/>
      <c r="N270" s="72"/>
      <c r="O270" s="73"/>
      <c r="P270" s="74"/>
      <c r="Q270" s="74"/>
      <c r="R270" s="71"/>
      <c r="S270" s="72"/>
    </row>
    <row r="271" spans="1:19">
      <c r="A271" s="63"/>
      <c r="B271" s="67"/>
      <c r="C271" s="68"/>
      <c r="D271" s="69"/>
      <c r="E271" s="69"/>
      <c r="F271" s="70"/>
      <c r="G271" s="70"/>
      <c r="H271" s="71"/>
      <c r="I271" s="70"/>
      <c r="J271" s="67"/>
      <c r="K271" s="67"/>
      <c r="L271" s="67"/>
      <c r="M271" s="70"/>
      <c r="N271" s="72"/>
      <c r="O271" s="73"/>
      <c r="P271" s="74"/>
      <c r="Q271" s="74"/>
      <c r="R271" s="71"/>
      <c r="S271" s="72"/>
    </row>
    <row r="272" spans="1:19">
      <c r="A272" s="63"/>
      <c r="B272" s="67"/>
      <c r="C272" s="68"/>
      <c r="D272" s="69"/>
      <c r="E272" s="69"/>
      <c r="F272" s="70"/>
      <c r="G272" s="70"/>
      <c r="H272" s="71"/>
      <c r="I272" s="70"/>
      <c r="J272" s="67"/>
      <c r="K272" s="67"/>
      <c r="L272" s="67"/>
      <c r="M272" s="70"/>
      <c r="N272" s="72"/>
      <c r="O272" s="73"/>
      <c r="P272" s="74"/>
      <c r="Q272" s="74"/>
      <c r="R272" s="71"/>
      <c r="S272" s="72"/>
    </row>
    <row r="273" spans="1:19">
      <c r="A273" s="63"/>
      <c r="B273" s="67"/>
      <c r="C273" s="68"/>
      <c r="D273" s="69"/>
      <c r="E273" s="69"/>
      <c r="F273" s="70"/>
      <c r="G273" s="70"/>
      <c r="H273" s="71"/>
      <c r="I273" s="70"/>
      <c r="J273" s="67"/>
      <c r="K273" s="67"/>
      <c r="L273" s="67"/>
      <c r="M273" s="70"/>
      <c r="N273" s="72"/>
      <c r="O273" s="73"/>
      <c r="P273" s="74"/>
      <c r="Q273" s="74"/>
      <c r="R273" s="71"/>
      <c r="S273" s="72"/>
    </row>
    <row r="274" spans="1:19">
      <c r="A274" s="63"/>
      <c r="B274" s="67"/>
      <c r="C274" s="68"/>
      <c r="D274" s="69"/>
      <c r="E274" s="69"/>
      <c r="F274" s="70"/>
      <c r="G274" s="70"/>
      <c r="H274" s="71"/>
      <c r="I274" s="70"/>
      <c r="J274" s="67"/>
      <c r="K274" s="67"/>
      <c r="L274" s="67"/>
      <c r="M274" s="70"/>
      <c r="N274" s="72"/>
      <c r="O274" s="73"/>
      <c r="P274" s="74"/>
      <c r="Q274" s="74"/>
      <c r="R274" s="71"/>
      <c r="S274" s="72"/>
    </row>
    <row r="275" spans="1:19">
      <c r="A275" s="63"/>
      <c r="B275" s="67"/>
      <c r="C275" s="68"/>
      <c r="D275" s="69"/>
      <c r="E275" s="69"/>
      <c r="F275" s="70"/>
      <c r="G275" s="70"/>
      <c r="H275" s="71"/>
      <c r="I275" s="70"/>
      <c r="J275" s="67"/>
      <c r="K275" s="67"/>
      <c r="L275" s="67"/>
      <c r="M275" s="70"/>
      <c r="N275" s="72"/>
      <c r="O275" s="73"/>
      <c r="P275" s="74"/>
      <c r="Q275" s="74"/>
      <c r="R275" s="71"/>
      <c r="S275" s="72"/>
    </row>
    <row r="276" spans="1:19">
      <c r="A276" s="63"/>
      <c r="B276" s="67"/>
      <c r="C276" s="68"/>
      <c r="D276" s="69"/>
      <c r="E276" s="69"/>
      <c r="F276" s="70"/>
      <c r="G276" s="70"/>
      <c r="H276" s="71"/>
      <c r="I276" s="70"/>
      <c r="J276" s="67"/>
      <c r="K276" s="67"/>
      <c r="L276" s="67"/>
      <c r="M276" s="70"/>
      <c r="N276" s="72"/>
      <c r="O276" s="73"/>
      <c r="P276" s="74"/>
      <c r="Q276" s="74"/>
      <c r="R276" s="71"/>
      <c r="S276" s="72"/>
    </row>
    <row r="277" spans="1:19">
      <c r="A277" s="63"/>
      <c r="B277" s="67"/>
      <c r="C277" s="68"/>
      <c r="D277" s="69"/>
      <c r="E277" s="69"/>
      <c r="F277" s="70"/>
      <c r="G277" s="70"/>
      <c r="H277" s="71"/>
      <c r="I277" s="70"/>
      <c r="J277" s="67"/>
      <c r="K277" s="67"/>
      <c r="L277" s="67"/>
      <c r="M277" s="70"/>
      <c r="N277" s="72"/>
      <c r="O277" s="73"/>
      <c r="P277" s="74"/>
      <c r="Q277" s="74"/>
      <c r="R277" s="71"/>
      <c r="S277" s="72"/>
    </row>
    <row r="278" spans="1:19">
      <c r="A278" s="63"/>
      <c r="B278" s="67"/>
      <c r="C278" s="68"/>
      <c r="D278" s="69"/>
      <c r="E278" s="69"/>
      <c r="F278" s="70"/>
      <c r="G278" s="70"/>
      <c r="H278" s="71"/>
      <c r="I278" s="70"/>
      <c r="J278" s="67"/>
      <c r="K278" s="67"/>
      <c r="L278" s="67"/>
      <c r="M278" s="70"/>
      <c r="N278" s="72"/>
      <c r="O278" s="73"/>
      <c r="P278" s="74"/>
      <c r="Q278" s="74"/>
      <c r="R278" s="71"/>
      <c r="S278" s="72"/>
    </row>
    <row r="279" spans="1:19">
      <c r="A279" s="63"/>
      <c r="B279" s="67"/>
      <c r="C279" s="68"/>
      <c r="D279" s="69"/>
      <c r="E279" s="69"/>
      <c r="F279" s="70"/>
      <c r="G279" s="70"/>
      <c r="H279" s="71"/>
      <c r="I279" s="70"/>
      <c r="J279" s="67"/>
      <c r="K279" s="67"/>
      <c r="L279" s="67"/>
      <c r="M279" s="70"/>
      <c r="N279" s="72"/>
      <c r="O279" s="73"/>
      <c r="P279" s="74"/>
      <c r="Q279" s="74"/>
      <c r="R279" s="71"/>
      <c r="S279" s="72"/>
    </row>
    <row r="280" spans="1:19">
      <c r="A280" s="63"/>
      <c r="B280" s="67"/>
      <c r="C280" s="68"/>
      <c r="D280" s="69"/>
      <c r="E280" s="69"/>
      <c r="F280" s="70"/>
      <c r="G280" s="70"/>
      <c r="H280" s="71"/>
      <c r="I280" s="70"/>
      <c r="J280" s="67"/>
      <c r="K280" s="67"/>
      <c r="L280" s="67"/>
      <c r="M280" s="70"/>
      <c r="N280" s="72"/>
      <c r="O280" s="73"/>
      <c r="P280" s="74"/>
      <c r="Q280" s="74"/>
      <c r="R280" s="71"/>
      <c r="S280" s="72"/>
    </row>
    <row r="281" spans="1:19">
      <c r="A281" s="63"/>
      <c r="B281" s="67"/>
      <c r="C281" s="68"/>
      <c r="D281" s="69"/>
      <c r="E281" s="69"/>
      <c r="F281" s="70"/>
      <c r="G281" s="70"/>
      <c r="H281" s="71"/>
      <c r="I281" s="70"/>
      <c r="J281" s="67"/>
      <c r="K281" s="67"/>
      <c r="L281" s="67"/>
      <c r="M281" s="70"/>
      <c r="N281" s="72"/>
      <c r="O281" s="73"/>
      <c r="P281" s="74"/>
      <c r="Q281" s="74"/>
      <c r="R281" s="71"/>
      <c r="S281" s="72"/>
    </row>
    <row r="282" spans="1:19">
      <c r="A282" s="63"/>
      <c r="B282" s="67"/>
      <c r="C282" s="68"/>
      <c r="D282" s="69"/>
      <c r="E282" s="69"/>
      <c r="F282" s="70"/>
      <c r="G282" s="70"/>
      <c r="H282" s="71"/>
      <c r="I282" s="70"/>
      <c r="J282" s="67"/>
      <c r="K282" s="67"/>
      <c r="L282" s="67"/>
      <c r="M282" s="70"/>
      <c r="N282" s="72"/>
      <c r="O282" s="73"/>
      <c r="P282" s="74"/>
      <c r="Q282" s="74"/>
      <c r="R282" s="71"/>
      <c r="S282" s="72"/>
    </row>
    <row r="283" spans="1:19">
      <c r="A283" s="63"/>
      <c r="B283" s="67"/>
      <c r="C283" s="68"/>
      <c r="D283" s="69"/>
      <c r="E283" s="69"/>
      <c r="F283" s="70"/>
      <c r="G283" s="70"/>
      <c r="H283" s="71"/>
      <c r="I283" s="70"/>
      <c r="J283" s="67"/>
      <c r="K283" s="67"/>
      <c r="L283" s="67"/>
      <c r="M283" s="70"/>
      <c r="N283" s="72"/>
      <c r="O283" s="73"/>
      <c r="P283" s="74"/>
      <c r="Q283" s="74"/>
      <c r="R283" s="71"/>
      <c r="S283" s="72"/>
    </row>
    <row r="284" spans="1:19">
      <c r="A284" s="63"/>
      <c r="B284" s="67"/>
      <c r="C284" s="68"/>
      <c r="D284" s="69"/>
      <c r="E284" s="69"/>
      <c r="F284" s="70"/>
      <c r="G284" s="70"/>
      <c r="H284" s="71"/>
      <c r="I284" s="70"/>
      <c r="J284" s="67"/>
      <c r="K284" s="67"/>
      <c r="L284" s="67"/>
      <c r="M284" s="70"/>
      <c r="N284" s="72"/>
      <c r="O284" s="73"/>
      <c r="P284" s="74"/>
      <c r="Q284" s="74"/>
      <c r="R284" s="71"/>
      <c r="S284" s="72"/>
    </row>
    <row r="285" spans="1:19">
      <c r="A285" s="63"/>
      <c r="B285" s="67"/>
      <c r="C285" s="68"/>
      <c r="D285" s="69"/>
      <c r="E285" s="69"/>
      <c r="F285" s="70"/>
      <c r="G285" s="70"/>
      <c r="H285" s="71"/>
      <c r="I285" s="70"/>
      <c r="J285" s="67"/>
      <c r="K285" s="67"/>
      <c r="L285" s="67"/>
      <c r="M285" s="70"/>
      <c r="N285" s="72"/>
      <c r="O285" s="73"/>
      <c r="P285" s="74"/>
      <c r="Q285" s="74"/>
      <c r="R285" s="71"/>
      <c r="S285" s="72"/>
    </row>
    <row r="286" spans="1:19">
      <c r="A286" s="63"/>
      <c r="B286" s="67"/>
      <c r="C286" s="68"/>
      <c r="D286" s="69"/>
      <c r="E286" s="69"/>
      <c r="F286" s="70"/>
      <c r="G286" s="70"/>
      <c r="H286" s="71"/>
      <c r="I286" s="70"/>
      <c r="J286" s="67"/>
      <c r="K286" s="67"/>
      <c r="L286" s="67"/>
      <c r="M286" s="70"/>
      <c r="N286" s="72"/>
      <c r="O286" s="73"/>
      <c r="P286" s="74"/>
      <c r="Q286" s="74"/>
      <c r="R286" s="71"/>
      <c r="S286" s="72"/>
    </row>
    <row r="287" spans="1:19">
      <c r="A287" s="63"/>
      <c r="B287" s="67"/>
      <c r="C287" s="68"/>
      <c r="D287" s="69"/>
      <c r="E287" s="69"/>
      <c r="F287" s="70"/>
      <c r="G287" s="70"/>
      <c r="H287" s="71"/>
      <c r="I287" s="70"/>
      <c r="J287" s="67"/>
      <c r="K287" s="67"/>
      <c r="L287" s="67"/>
      <c r="M287" s="70"/>
      <c r="N287" s="72"/>
      <c r="O287" s="73"/>
      <c r="P287" s="74"/>
      <c r="Q287" s="74"/>
      <c r="R287" s="71"/>
      <c r="S287" s="72"/>
    </row>
    <row r="288" spans="1:19">
      <c r="A288" s="63"/>
      <c r="B288" s="67"/>
      <c r="C288" s="68"/>
      <c r="D288" s="69"/>
      <c r="E288" s="69"/>
      <c r="F288" s="70"/>
      <c r="G288" s="70"/>
      <c r="H288" s="71"/>
      <c r="I288" s="70"/>
      <c r="J288" s="67"/>
      <c r="K288" s="67"/>
      <c r="L288" s="67"/>
      <c r="M288" s="70"/>
      <c r="N288" s="72"/>
      <c r="O288" s="73"/>
      <c r="P288" s="74"/>
      <c r="Q288" s="74"/>
      <c r="R288" s="71"/>
      <c r="S288" s="72"/>
    </row>
    <row r="289" spans="1:19">
      <c r="A289" s="63"/>
      <c r="B289" s="67"/>
      <c r="C289" s="68"/>
      <c r="D289" s="69"/>
      <c r="E289" s="69"/>
      <c r="F289" s="70"/>
      <c r="G289" s="70"/>
      <c r="H289" s="71"/>
      <c r="I289" s="70"/>
      <c r="J289" s="67"/>
      <c r="K289" s="67"/>
      <c r="L289" s="67"/>
      <c r="M289" s="70"/>
      <c r="N289" s="72"/>
      <c r="O289" s="73"/>
      <c r="P289" s="74"/>
      <c r="Q289" s="74"/>
      <c r="R289" s="71"/>
      <c r="S289" s="72"/>
    </row>
    <row r="290" spans="1:19">
      <c r="A290" s="63"/>
      <c r="B290" s="67"/>
      <c r="C290" s="68"/>
      <c r="D290" s="69"/>
      <c r="E290" s="69"/>
      <c r="F290" s="70"/>
      <c r="G290" s="70"/>
      <c r="H290" s="71"/>
      <c r="I290" s="70"/>
      <c r="J290" s="67"/>
      <c r="K290" s="67"/>
      <c r="L290" s="67"/>
      <c r="M290" s="70"/>
      <c r="N290" s="72"/>
      <c r="O290" s="73"/>
      <c r="P290" s="74"/>
      <c r="Q290" s="74"/>
      <c r="R290" s="71"/>
      <c r="S290" s="72"/>
    </row>
    <row r="291" spans="1:19">
      <c r="A291" s="63"/>
      <c r="B291" s="67"/>
      <c r="C291" s="68"/>
      <c r="D291" s="69"/>
      <c r="E291" s="69"/>
      <c r="F291" s="70"/>
      <c r="G291" s="70"/>
      <c r="H291" s="71"/>
      <c r="I291" s="70"/>
      <c r="J291" s="67"/>
      <c r="K291" s="67"/>
      <c r="L291" s="67"/>
      <c r="M291" s="70"/>
      <c r="N291" s="72"/>
      <c r="O291" s="73"/>
      <c r="P291" s="74"/>
      <c r="Q291" s="74"/>
      <c r="R291" s="71"/>
      <c r="S291" s="72"/>
    </row>
    <row r="292" spans="1:19">
      <c r="A292" s="63"/>
      <c r="B292" s="67"/>
      <c r="C292" s="68"/>
      <c r="D292" s="69"/>
      <c r="E292" s="69"/>
      <c r="F292" s="70"/>
      <c r="G292" s="70"/>
      <c r="H292" s="71"/>
      <c r="I292" s="70"/>
      <c r="J292" s="67"/>
      <c r="K292" s="67"/>
      <c r="L292" s="67"/>
      <c r="M292" s="70"/>
      <c r="N292" s="72"/>
      <c r="O292" s="73"/>
      <c r="P292" s="74"/>
      <c r="Q292" s="74"/>
      <c r="R292" s="71"/>
      <c r="S292" s="72"/>
    </row>
    <row r="293" spans="1:19">
      <c r="A293" s="63"/>
      <c r="B293" s="67"/>
      <c r="C293" s="68"/>
      <c r="D293" s="69"/>
      <c r="E293" s="69"/>
      <c r="F293" s="70"/>
      <c r="G293" s="70"/>
      <c r="H293" s="71"/>
      <c r="I293" s="70"/>
      <c r="J293" s="67"/>
      <c r="K293" s="67"/>
      <c r="L293" s="67"/>
      <c r="M293" s="70"/>
      <c r="N293" s="72"/>
      <c r="O293" s="73"/>
      <c r="P293" s="74"/>
      <c r="Q293" s="74"/>
      <c r="R293" s="71"/>
      <c r="S293" s="72"/>
    </row>
    <row r="294" spans="1:19">
      <c r="A294" s="63"/>
      <c r="B294" s="67"/>
      <c r="C294" s="68"/>
      <c r="D294" s="69"/>
      <c r="E294" s="69"/>
      <c r="F294" s="70"/>
      <c r="G294" s="70"/>
      <c r="H294" s="71"/>
      <c r="I294" s="70"/>
      <c r="J294" s="67"/>
      <c r="K294" s="67"/>
      <c r="L294" s="67"/>
      <c r="M294" s="70"/>
      <c r="N294" s="72"/>
      <c r="O294" s="73"/>
      <c r="P294" s="74"/>
      <c r="Q294" s="74"/>
      <c r="R294" s="71"/>
      <c r="S294" s="72"/>
    </row>
    <row r="295" spans="1:19">
      <c r="A295" s="63"/>
      <c r="B295" s="67"/>
      <c r="C295" s="68"/>
      <c r="D295" s="69"/>
      <c r="E295" s="69"/>
      <c r="F295" s="70"/>
      <c r="G295" s="70"/>
      <c r="H295" s="71"/>
      <c r="I295" s="70"/>
      <c r="J295" s="67"/>
      <c r="K295" s="67"/>
      <c r="L295" s="67"/>
      <c r="M295" s="70"/>
      <c r="N295" s="72"/>
      <c r="O295" s="73"/>
      <c r="P295" s="74"/>
      <c r="Q295" s="74"/>
      <c r="R295" s="71"/>
      <c r="S295" s="72"/>
    </row>
    <row r="296" spans="1:19">
      <c r="A296" s="63"/>
      <c r="B296" s="67"/>
      <c r="C296" s="68"/>
      <c r="D296" s="69"/>
      <c r="E296" s="69"/>
      <c r="F296" s="70"/>
      <c r="G296" s="70"/>
      <c r="H296" s="71"/>
      <c r="I296" s="70"/>
      <c r="J296" s="67"/>
      <c r="K296" s="67"/>
      <c r="L296" s="67"/>
      <c r="M296" s="70"/>
      <c r="N296" s="72"/>
      <c r="O296" s="73"/>
      <c r="P296" s="74"/>
      <c r="Q296" s="74"/>
      <c r="R296" s="71"/>
      <c r="S296" s="72"/>
    </row>
    <row r="297" spans="1:19">
      <c r="A297" s="63"/>
      <c r="B297" s="67"/>
      <c r="C297" s="68"/>
      <c r="D297" s="69"/>
      <c r="E297" s="69"/>
      <c r="F297" s="70"/>
      <c r="G297" s="70"/>
      <c r="H297" s="71"/>
      <c r="I297" s="70"/>
      <c r="J297" s="67"/>
      <c r="K297" s="67"/>
      <c r="L297" s="67"/>
      <c r="M297" s="70"/>
      <c r="N297" s="72"/>
      <c r="O297" s="73"/>
      <c r="P297" s="74"/>
      <c r="Q297" s="74"/>
      <c r="R297" s="71"/>
      <c r="S297" s="72"/>
    </row>
    <row r="298" spans="1:19">
      <c r="A298" s="63"/>
      <c r="B298" s="67"/>
      <c r="C298" s="68"/>
      <c r="D298" s="69"/>
      <c r="E298" s="69"/>
      <c r="F298" s="70"/>
      <c r="G298" s="70"/>
      <c r="H298" s="71"/>
      <c r="I298" s="70"/>
      <c r="J298" s="67"/>
      <c r="K298" s="67"/>
      <c r="L298" s="67"/>
      <c r="M298" s="70"/>
      <c r="N298" s="72"/>
      <c r="O298" s="73"/>
      <c r="P298" s="74"/>
      <c r="Q298" s="74"/>
      <c r="R298" s="71"/>
      <c r="S298" s="72"/>
    </row>
    <row r="299" spans="1:19">
      <c r="A299" s="63"/>
      <c r="B299" s="67"/>
      <c r="C299" s="68"/>
      <c r="D299" s="69"/>
      <c r="E299" s="69"/>
      <c r="F299" s="70"/>
      <c r="G299" s="70"/>
      <c r="H299" s="71"/>
      <c r="I299" s="70"/>
      <c r="J299" s="67"/>
      <c r="K299" s="67"/>
      <c r="L299" s="67"/>
      <c r="M299" s="70"/>
      <c r="N299" s="72"/>
      <c r="O299" s="73"/>
      <c r="P299" s="74"/>
      <c r="Q299" s="74"/>
      <c r="R299" s="71"/>
      <c r="S299" s="72"/>
    </row>
    <row r="300" spans="1:19">
      <c r="A300" s="63"/>
      <c r="B300" s="67"/>
      <c r="C300" s="68"/>
      <c r="D300" s="69"/>
      <c r="E300" s="69"/>
      <c r="F300" s="70"/>
      <c r="G300" s="70"/>
      <c r="H300" s="71"/>
      <c r="I300" s="70"/>
      <c r="J300" s="67"/>
      <c r="K300" s="67"/>
      <c r="L300" s="67"/>
      <c r="M300" s="70"/>
      <c r="N300" s="72"/>
      <c r="O300" s="73"/>
      <c r="P300" s="74"/>
      <c r="Q300" s="74"/>
      <c r="R300" s="71"/>
      <c r="S300" s="72"/>
    </row>
    <row r="301" spans="1:19">
      <c r="A301" s="63"/>
      <c r="B301" s="67"/>
      <c r="C301" s="68"/>
      <c r="D301" s="69"/>
      <c r="E301" s="69"/>
      <c r="F301" s="70"/>
      <c r="G301" s="70"/>
      <c r="H301" s="71"/>
      <c r="I301" s="70"/>
      <c r="J301" s="67"/>
      <c r="K301" s="67"/>
      <c r="L301" s="67"/>
      <c r="M301" s="70"/>
      <c r="N301" s="72"/>
      <c r="O301" s="73"/>
      <c r="P301" s="74"/>
      <c r="Q301" s="74"/>
      <c r="R301" s="71"/>
      <c r="S301" s="72"/>
    </row>
    <row r="302" spans="1:19">
      <c r="A302" s="63"/>
      <c r="B302" s="67"/>
      <c r="C302" s="68"/>
      <c r="D302" s="69"/>
      <c r="E302" s="69"/>
      <c r="F302" s="70"/>
      <c r="G302" s="70"/>
      <c r="H302" s="71"/>
      <c r="I302" s="70"/>
      <c r="J302" s="67"/>
      <c r="K302" s="67"/>
      <c r="L302" s="67"/>
      <c r="M302" s="70"/>
      <c r="N302" s="72"/>
      <c r="O302" s="73"/>
      <c r="P302" s="74"/>
      <c r="Q302" s="74"/>
      <c r="R302" s="71"/>
      <c r="S302" s="72"/>
    </row>
    <row r="303" spans="1:19">
      <c r="A303" s="63"/>
      <c r="B303" s="67"/>
      <c r="C303" s="68"/>
      <c r="D303" s="69"/>
      <c r="E303" s="69"/>
      <c r="F303" s="70"/>
      <c r="G303" s="70"/>
      <c r="H303" s="71"/>
      <c r="I303" s="70"/>
      <c r="J303" s="67"/>
      <c r="K303" s="67"/>
      <c r="L303" s="67"/>
      <c r="M303" s="70"/>
      <c r="N303" s="72"/>
      <c r="O303" s="73"/>
      <c r="P303" s="74"/>
      <c r="Q303" s="74"/>
      <c r="R303" s="71"/>
      <c r="S303" s="72"/>
    </row>
    <row r="304" spans="1:19">
      <c r="A304" s="63"/>
      <c r="B304" s="67"/>
      <c r="C304" s="68"/>
      <c r="D304" s="69"/>
      <c r="E304" s="69"/>
      <c r="F304" s="70"/>
      <c r="G304" s="70"/>
      <c r="H304" s="71"/>
      <c r="I304" s="70"/>
      <c r="J304" s="67"/>
      <c r="K304" s="67"/>
      <c r="L304" s="67"/>
      <c r="M304" s="70"/>
      <c r="N304" s="72"/>
      <c r="O304" s="73"/>
      <c r="P304" s="74"/>
      <c r="Q304" s="74"/>
      <c r="R304" s="71"/>
      <c r="S304" s="72"/>
    </row>
    <row r="305" spans="1:19">
      <c r="A305" s="63"/>
      <c r="B305" s="67"/>
      <c r="C305" s="68"/>
      <c r="D305" s="69"/>
      <c r="E305" s="69"/>
      <c r="F305" s="70"/>
      <c r="G305" s="70"/>
      <c r="H305" s="71"/>
      <c r="I305" s="70"/>
      <c r="J305" s="67"/>
      <c r="K305" s="67"/>
      <c r="L305" s="67"/>
      <c r="M305" s="70"/>
      <c r="N305" s="72"/>
      <c r="O305" s="73"/>
      <c r="P305" s="74"/>
      <c r="Q305" s="74"/>
      <c r="R305" s="71"/>
      <c r="S305" s="72"/>
    </row>
    <row r="306" spans="1:19">
      <c r="A306" s="63"/>
      <c r="B306" s="67"/>
      <c r="C306" s="68"/>
      <c r="D306" s="69"/>
      <c r="E306" s="69"/>
      <c r="F306" s="70"/>
      <c r="G306" s="70"/>
      <c r="H306" s="71"/>
      <c r="I306" s="70"/>
      <c r="J306" s="67"/>
      <c r="K306" s="67"/>
      <c r="L306" s="67"/>
      <c r="M306" s="70"/>
      <c r="N306" s="72"/>
      <c r="O306" s="73"/>
      <c r="P306" s="74"/>
      <c r="Q306" s="74"/>
      <c r="R306" s="71"/>
      <c r="S306" s="72"/>
    </row>
    <row r="307" spans="1:19">
      <c r="A307" s="63"/>
      <c r="B307" s="67"/>
      <c r="C307" s="68"/>
      <c r="D307" s="69"/>
      <c r="E307" s="69"/>
      <c r="F307" s="70"/>
      <c r="G307" s="70"/>
      <c r="H307" s="71"/>
      <c r="I307" s="70"/>
      <c r="J307" s="67"/>
      <c r="K307" s="67"/>
      <c r="L307" s="67"/>
      <c r="M307" s="70"/>
      <c r="N307" s="72"/>
      <c r="O307" s="73"/>
      <c r="P307" s="74"/>
      <c r="Q307" s="74"/>
      <c r="R307" s="71"/>
      <c r="S307" s="72"/>
    </row>
    <row r="308" spans="1:19">
      <c r="A308" s="63"/>
      <c r="B308" s="67"/>
      <c r="C308" s="68"/>
      <c r="D308" s="69"/>
      <c r="E308" s="69"/>
      <c r="F308" s="70"/>
      <c r="G308" s="70"/>
      <c r="H308" s="71"/>
      <c r="I308" s="70"/>
      <c r="J308" s="67"/>
      <c r="K308" s="67"/>
      <c r="L308" s="67"/>
      <c r="M308" s="70"/>
      <c r="N308" s="72"/>
      <c r="O308" s="73"/>
      <c r="P308" s="74"/>
      <c r="Q308" s="74"/>
      <c r="R308" s="71"/>
      <c r="S308" s="72"/>
    </row>
    <row r="309" spans="1:19">
      <c r="A309" s="63"/>
      <c r="B309" s="67"/>
      <c r="C309" s="68"/>
      <c r="D309" s="69"/>
      <c r="E309" s="69"/>
      <c r="F309" s="70"/>
      <c r="G309" s="70"/>
      <c r="H309" s="71"/>
      <c r="I309" s="70"/>
      <c r="J309" s="67"/>
      <c r="K309" s="67"/>
      <c r="L309" s="67"/>
      <c r="M309" s="70"/>
      <c r="N309" s="72"/>
      <c r="O309" s="73"/>
      <c r="P309" s="74"/>
      <c r="Q309" s="74"/>
      <c r="R309" s="71"/>
      <c r="S309" s="72"/>
    </row>
    <row r="310" spans="1:19">
      <c r="A310" s="63"/>
      <c r="B310" s="67"/>
      <c r="C310" s="68"/>
      <c r="D310" s="69"/>
      <c r="E310" s="69"/>
      <c r="F310" s="70"/>
      <c r="G310" s="70"/>
      <c r="H310" s="71"/>
      <c r="I310" s="70"/>
      <c r="J310" s="67"/>
      <c r="K310" s="67"/>
      <c r="L310" s="67"/>
      <c r="M310" s="70"/>
      <c r="N310" s="72"/>
      <c r="O310" s="73"/>
      <c r="P310" s="74"/>
      <c r="Q310" s="74"/>
      <c r="R310" s="71"/>
      <c r="S310" s="72"/>
    </row>
    <row r="311" spans="1:19">
      <c r="A311" s="63"/>
      <c r="B311" s="67"/>
      <c r="C311" s="68"/>
      <c r="D311" s="69"/>
      <c r="E311" s="69"/>
      <c r="F311" s="70"/>
      <c r="G311" s="70"/>
      <c r="H311" s="71"/>
      <c r="I311" s="70"/>
      <c r="J311" s="67"/>
      <c r="K311" s="67"/>
      <c r="L311" s="67"/>
      <c r="M311" s="70"/>
      <c r="N311" s="72"/>
      <c r="O311" s="73"/>
      <c r="P311" s="74"/>
      <c r="Q311" s="74"/>
      <c r="R311" s="71"/>
      <c r="S311" s="72"/>
    </row>
    <row r="312" spans="1:19">
      <c r="A312" s="63"/>
      <c r="B312" s="67"/>
      <c r="C312" s="68"/>
      <c r="D312" s="69"/>
      <c r="E312" s="69"/>
      <c r="F312" s="70"/>
      <c r="G312" s="70"/>
      <c r="H312" s="71"/>
      <c r="I312" s="70"/>
      <c r="J312" s="67"/>
      <c r="K312" s="67"/>
      <c r="L312" s="67"/>
      <c r="M312" s="70"/>
      <c r="N312" s="72"/>
      <c r="O312" s="73"/>
      <c r="P312" s="74"/>
      <c r="Q312" s="74"/>
      <c r="R312" s="71"/>
      <c r="S312" s="72"/>
    </row>
    <row r="313" spans="1:19">
      <c r="A313" s="63"/>
      <c r="B313" s="67"/>
      <c r="C313" s="68"/>
      <c r="D313" s="69"/>
      <c r="E313" s="69"/>
      <c r="F313" s="70"/>
      <c r="G313" s="70"/>
      <c r="H313" s="71"/>
      <c r="I313" s="70"/>
      <c r="J313" s="67"/>
      <c r="K313" s="67"/>
      <c r="L313" s="67"/>
      <c r="M313" s="70"/>
      <c r="N313" s="72"/>
      <c r="O313" s="73"/>
      <c r="P313" s="74"/>
      <c r="Q313" s="74"/>
      <c r="R313" s="71"/>
      <c r="S313" s="72"/>
    </row>
    <row r="314" spans="1:19">
      <c r="A314" s="63"/>
      <c r="B314" s="67"/>
      <c r="C314" s="68"/>
      <c r="D314" s="69"/>
      <c r="E314" s="69"/>
      <c r="F314" s="70"/>
      <c r="G314" s="70"/>
      <c r="H314" s="71"/>
      <c r="I314" s="70"/>
      <c r="J314" s="67"/>
      <c r="K314" s="67"/>
      <c r="L314" s="67"/>
      <c r="M314" s="70"/>
      <c r="N314" s="72"/>
      <c r="O314" s="73"/>
      <c r="P314" s="74"/>
      <c r="Q314" s="74"/>
      <c r="R314" s="71"/>
      <c r="S314" s="72"/>
    </row>
    <row r="315" spans="1:19">
      <c r="A315" s="63"/>
      <c r="B315" s="67"/>
      <c r="C315" s="68"/>
      <c r="D315" s="69"/>
      <c r="E315" s="69"/>
      <c r="F315" s="70"/>
      <c r="G315" s="70"/>
      <c r="H315" s="71"/>
      <c r="I315" s="70"/>
      <c r="J315" s="67"/>
      <c r="K315" s="67"/>
      <c r="L315" s="67"/>
      <c r="M315" s="70"/>
      <c r="N315" s="72"/>
      <c r="O315" s="73"/>
      <c r="P315" s="74"/>
      <c r="Q315" s="74"/>
      <c r="R315" s="71"/>
      <c r="S315" s="72"/>
    </row>
    <row r="316" spans="1:19">
      <c r="A316" s="63"/>
      <c r="B316" s="67"/>
      <c r="C316" s="68"/>
      <c r="D316" s="69"/>
      <c r="E316" s="69"/>
      <c r="F316" s="70"/>
      <c r="G316" s="70"/>
      <c r="H316" s="71"/>
      <c r="I316" s="70"/>
      <c r="J316" s="67"/>
      <c r="K316" s="67"/>
      <c r="L316" s="67"/>
      <c r="M316" s="70"/>
      <c r="N316" s="72"/>
      <c r="O316" s="73"/>
      <c r="P316" s="74"/>
      <c r="Q316" s="74"/>
      <c r="R316" s="71"/>
      <c r="S316" s="72"/>
    </row>
    <row r="317" spans="1:19">
      <c r="A317" s="63"/>
      <c r="B317" s="67"/>
      <c r="C317" s="68"/>
      <c r="D317" s="69"/>
      <c r="E317" s="69"/>
      <c r="F317" s="70"/>
      <c r="G317" s="70"/>
      <c r="H317" s="71"/>
      <c r="I317" s="70"/>
      <c r="J317" s="67"/>
      <c r="K317" s="67"/>
      <c r="L317" s="67"/>
      <c r="M317" s="70"/>
      <c r="N317" s="72"/>
      <c r="O317" s="73"/>
      <c r="P317" s="74"/>
      <c r="Q317" s="74"/>
      <c r="R317" s="71"/>
      <c r="S317" s="72"/>
    </row>
    <row r="318" spans="1:19">
      <c r="A318" s="63"/>
      <c r="B318" s="67"/>
      <c r="C318" s="68"/>
      <c r="D318" s="69"/>
      <c r="E318" s="69"/>
      <c r="F318" s="70"/>
      <c r="G318" s="70"/>
      <c r="H318" s="71"/>
      <c r="I318" s="70"/>
      <c r="J318" s="67"/>
      <c r="K318" s="67"/>
      <c r="L318" s="67"/>
      <c r="M318" s="70"/>
      <c r="N318" s="72"/>
      <c r="O318" s="73"/>
      <c r="P318" s="74"/>
      <c r="Q318" s="74"/>
      <c r="R318" s="71"/>
      <c r="S318" s="72"/>
    </row>
    <row r="319" spans="1:19">
      <c r="A319" s="63"/>
      <c r="B319" s="67"/>
      <c r="C319" s="68"/>
      <c r="D319" s="69"/>
      <c r="E319" s="69"/>
      <c r="F319" s="70"/>
      <c r="G319" s="70"/>
      <c r="H319" s="71"/>
      <c r="I319" s="70"/>
      <c r="J319" s="67"/>
      <c r="K319" s="67"/>
      <c r="L319" s="67"/>
      <c r="M319" s="70"/>
      <c r="N319" s="72"/>
      <c r="O319" s="73"/>
      <c r="P319" s="74"/>
      <c r="Q319" s="74"/>
      <c r="R319" s="71"/>
      <c r="S319" s="72"/>
    </row>
    <row r="320" spans="1:19">
      <c r="A320" s="63"/>
      <c r="B320" s="67"/>
      <c r="C320" s="68"/>
      <c r="D320" s="69"/>
      <c r="E320" s="69"/>
      <c r="F320" s="70"/>
      <c r="G320" s="70"/>
      <c r="H320" s="71"/>
      <c r="I320" s="70"/>
      <c r="J320" s="67"/>
      <c r="K320" s="67"/>
      <c r="L320" s="67"/>
      <c r="M320" s="70"/>
      <c r="N320" s="72"/>
      <c r="O320" s="73"/>
      <c r="P320" s="74"/>
      <c r="Q320" s="74"/>
      <c r="R320" s="71"/>
      <c r="S320" s="72"/>
    </row>
    <row r="321" spans="1:19">
      <c r="A321" s="63"/>
      <c r="B321" s="67"/>
      <c r="C321" s="68"/>
      <c r="D321" s="69"/>
      <c r="E321" s="69"/>
      <c r="F321" s="70"/>
      <c r="G321" s="70"/>
      <c r="H321" s="71"/>
      <c r="I321" s="70"/>
      <c r="J321" s="67"/>
      <c r="K321" s="67"/>
      <c r="L321" s="67"/>
      <c r="M321" s="70"/>
      <c r="N321" s="72"/>
      <c r="O321" s="73"/>
      <c r="P321" s="74"/>
      <c r="Q321" s="74"/>
      <c r="R321" s="71"/>
      <c r="S321" s="72"/>
    </row>
    <row r="322" spans="1:19">
      <c r="A322" s="63"/>
      <c r="B322" s="67"/>
      <c r="C322" s="68"/>
      <c r="D322" s="69"/>
      <c r="E322" s="69"/>
      <c r="F322" s="70"/>
      <c r="G322" s="70"/>
      <c r="H322" s="71"/>
      <c r="I322" s="70"/>
      <c r="J322" s="67"/>
      <c r="K322" s="67"/>
      <c r="L322" s="67"/>
      <c r="M322" s="70"/>
      <c r="N322" s="72"/>
      <c r="O322" s="73"/>
      <c r="P322" s="74"/>
      <c r="Q322" s="74"/>
      <c r="R322" s="71"/>
      <c r="S322" s="72"/>
    </row>
    <row r="323" spans="1:19">
      <c r="A323" s="63"/>
      <c r="B323" s="67"/>
      <c r="C323" s="68"/>
      <c r="D323" s="69"/>
      <c r="E323" s="69"/>
      <c r="F323" s="70"/>
      <c r="G323" s="70"/>
      <c r="H323" s="71"/>
      <c r="I323" s="70"/>
      <c r="J323" s="67"/>
      <c r="K323" s="67"/>
      <c r="L323" s="67"/>
      <c r="M323" s="70"/>
      <c r="N323" s="72"/>
      <c r="O323" s="73"/>
      <c r="P323" s="74"/>
      <c r="Q323" s="74"/>
      <c r="R323" s="71"/>
      <c r="S323" s="72"/>
    </row>
    <row r="324" spans="1:19">
      <c r="A324" s="63"/>
      <c r="B324" s="67"/>
      <c r="C324" s="68"/>
      <c r="D324" s="69"/>
      <c r="E324" s="69"/>
      <c r="F324" s="70"/>
      <c r="G324" s="70"/>
      <c r="H324" s="71"/>
      <c r="I324" s="70"/>
      <c r="J324" s="67"/>
      <c r="K324" s="67"/>
      <c r="L324" s="67"/>
      <c r="M324" s="70"/>
      <c r="N324" s="72"/>
      <c r="O324" s="73"/>
      <c r="P324" s="74"/>
      <c r="Q324" s="74"/>
      <c r="R324" s="71"/>
      <c r="S324" s="72"/>
    </row>
    <row r="325" spans="1:19">
      <c r="A325" s="63"/>
      <c r="B325" s="67"/>
      <c r="C325" s="68"/>
      <c r="D325" s="69"/>
      <c r="E325" s="69"/>
      <c r="F325" s="70"/>
      <c r="G325" s="70"/>
      <c r="H325" s="71"/>
      <c r="I325" s="70"/>
      <c r="J325" s="67"/>
      <c r="K325" s="67"/>
      <c r="L325" s="67"/>
      <c r="M325" s="70"/>
      <c r="N325" s="72"/>
      <c r="O325" s="73"/>
      <c r="P325" s="74"/>
      <c r="Q325" s="74"/>
      <c r="R325" s="71"/>
      <c r="S325" s="72"/>
    </row>
    <row r="326" spans="1:19">
      <c r="A326" s="63"/>
      <c r="B326" s="67"/>
      <c r="C326" s="68"/>
      <c r="D326" s="69"/>
      <c r="E326" s="69"/>
      <c r="F326" s="70"/>
      <c r="G326" s="70"/>
      <c r="H326" s="71"/>
      <c r="I326" s="70"/>
      <c r="J326" s="67"/>
      <c r="K326" s="67"/>
      <c r="L326" s="67"/>
      <c r="M326" s="70"/>
      <c r="N326" s="72"/>
      <c r="O326" s="73"/>
      <c r="P326" s="74"/>
      <c r="Q326" s="74"/>
      <c r="R326" s="71"/>
      <c r="S326" s="72"/>
    </row>
    <row r="327" spans="1:19">
      <c r="A327" s="63"/>
      <c r="B327" s="67"/>
      <c r="C327" s="68"/>
      <c r="D327" s="69"/>
      <c r="E327" s="69"/>
      <c r="F327" s="70"/>
      <c r="G327" s="70"/>
      <c r="H327" s="71"/>
      <c r="I327" s="70"/>
      <c r="J327" s="67"/>
      <c r="K327" s="67"/>
      <c r="L327" s="67"/>
      <c r="M327" s="70"/>
      <c r="N327" s="72"/>
      <c r="O327" s="73"/>
      <c r="P327" s="74"/>
      <c r="Q327" s="74"/>
      <c r="R327" s="71"/>
      <c r="S327" s="72"/>
    </row>
    <row r="328" spans="1:19">
      <c r="A328" s="63"/>
      <c r="B328" s="67"/>
      <c r="C328" s="68"/>
      <c r="D328" s="69"/>
      <c r="E328" s="69"/>
      <c r="F328" s="70"/>
      <c r="G328" s="70"/>
      <c r="H328" s="71"/>
      <c r="I328" s="70"/>
      <c r="J328" s="67"/>
      <c r="K328" s="67"/>
      <c r="L328" s="67"/>
      <c r="M328" s="70"/>
      <c r="N328" s="72"/>
      <c r="O328" s="73"/>
      <c r="P328" s="74"/>
      <c r="Q328" s="74"/>
      <c r="R328" s="71"/>
      <c r="S328" s="72"/>
    </row>
    <row r="329" spans="1:19">
      <c r="A329" s="63"/>
      <c r="B329" s="67"/>
      <c r="C329" s="68"/>
      <c r="D329" s="69"/>
      <c r="E329" s="69"/>
      <c r="F329" s="70"/>
      <c r="G329" s="70"/>
      <c r="H329" s="71"/>
      <c r="I329" s="70"/>
      <c r="J329" s="67"/>
      <c r="K329" s="67"/>
      <c r="L329" s="67"/>
      <c r="M329" s="70"/>
      <c r="N329" s="72"/>
      <c r="O329" s="73"/>
      <c r="P329" s="74"/>
      <c r="Q329" s="74"/>
      <c r="R329" s="71"/>
      <c r="S329" s="72"/>
    </row>
    <row r="330" spans="1:19">
      <c r="A330" s="63"/>
      <c r="B330" s="67"/>
      <c r="C330" s="68"/>
      <c r="D330" s="69"/>
      <c r="E330" s="69"/>
      <c r="F330" s="70"/>
      <c r="G330" s="70"/>
      <c r="H330" s="71"/>
      <c r="I330" s="70"/>
      <c r="J330" s="67"/>
      <c r="K330" s="67"/>
      <c r="L330" s="67"/>
      <c r="M330" s="70"/>
      <c r="N330" s="72"/>
      <c r="O330" s="73"/>
      <c r="P330" s="74"/>
      <c r="Q330" s="74"/>
      <c r="R330" s="71"/>
      <c r="S330" s="72"/>
    </row>
    <row r="331" spans="1:19">
      <c r="A331" s="63"/>
      <c r="B331" s="67"/>
      <c r="C331" s="68"/>
      <c r="D331" s="69"/>
      <c r="E331" s="69"/>
      <c r="F331" s="70"/>
      <c r="G331" s="70"/>
      <c r="H331" s="71"/>
      <c r="I331" s="70"/>
      <c r="J331" s="67"/>
      <c r="K331" s="67"/>
      <c r="L331" s="67"/>
      <c r="M331" s="70"/>
      <c r="N331" s="72"/>
      <c r="O331" s="73"/>
      <c r="P331" s="74"/>
      <c r="Q331" s="74"/>
      <c r="R331" s="71"/>
      <c r="S331" s="72"/>
    </row>
    <row r="332" spans="1:19">
      <c r="A332" s="63"/>
      <c r="B332" s="67"/>
      <c r="C332" s="68"/>
      <c r="D332" s="69"/>
      <c r="E332" s="69"/>
      <c r="F332" s="70"/>
      <c r="G332" s="70"/>
      <c r="H332" s="71"/>
      <c r="I332" s="70"/>
      <c r="J332" s="67"/>
      <c r="K332" s="67"/>
      <c r="L332" s="67"/>
      <c r="M332" s="70"/>
      <c r="N332" s="72"/>
      <c r="O332" s="73"/>
      <c r="P332" s="74"/>
      <c r="Q332" s="74"/>
      <c r="R332" s="71"/>
      <c r="S332" s="72"/>
    </row>
    <row r="333" spans="1:19">
      <c r="A333" s="63"/>
      <c r="B333" s="67"/>
      <c r="C333" s="68"/>
      <c r="D333" s="69"/>
      <c r="E333" s="69"/>
      <c r="F333" s="70"/>
      <c r="G333" s="70"/>
      <c r="H333" s="71"/>
      <c r="I333" s="70"/>
      <c r="J333" s="67"/>
      <c r="K333" s="67"/>
      <c r="L333" s="67"/>
      <c r="M333" s="70"/>
      <c r="N333" s="72"/>
      <c r="O333" s="73"/>
      <c r="P333" s="74"/>
      <c r="Q333" s="74"/>
      <c r="R333" s="71"/>
      <c r="S333" s="72"/>
    </row>
    <row r="334" spans="1:19">
      <c r="A334" s="63"/>
      <c r="B334" s="67"/>
      <c r="C334" s="68"/>
      <c r="D334" s="69"/>
      <c r="E334" s="69"/>
      <c r="F334" s="70"/>
      <c r="G334" s="70"/>
      <c r="H334" s="71"/>
      <c r="I334" s="70"/>
      <c r="J334" s="67"/>
      <c r="K334" s="67"/>
      <c r="L334" s="67"/>
      <c r="M334" s="70"/>
      <c r="N334" s="72"/>
      <c r="O334" s="73"/>
      <c r="P334" s="74"/>
      <c r="Q334" s="74"/>
      <c r="R334" s="71"/>
      <c r="S334" s="72"/>
    </row>
    <row r="335" spans="1:19">
      <c r="A335" s="63"/>
      <c r="B335" s="67"/>
      <c r="C335" s="68"/>
      <c r="D335" s="69"/>
      <c r="E335" s="69"/>
      <c r="F335" s="70"/>
      <c r="G335" s="70"/>
      <c r="H335" s="71"/>
      <c r="I335" s="70"/>
      <c r="J335" s="67"/>
      <c r="K335" s="67"/>
      <c r="L335" s="67"/>
      <c r="M335" s="70"/>
      <c r="N335" s="72"/>
      <c r="O335" s="73"/>
      <c r="P335" s="74"/>
      <c r="Q335" s="74"/>
      <c r="R335" s="71"/>
      <c r="S335" s="72"/>
    </row>
    <row r="336" spans="1:19">
      <c r="A336" s="63"/>
      <c r="B336" s="67"/>
      <c r="C336" s="68"/>
      <c r="D336" s="69"/>
      <c r="E336" s="69"/>
      <c r="F336" s="70"/>
      <c r="G336" s="70"/>
      <c r="H336" s="71"/>
      <c r="I336" s="70"/>
      <c r="J336" s="67"/>
      <c r="K336" s="67"/>
      <c r="L336" s="67"/>
      <c r="M336" s="70"/>
      <c r="N336" s="72"/>
      <c r="O336" s="73"/>
      <c r="P336" s="74"/>
      <c r="Q336" s="74"/>
      <c r="R336" s="71"/>
      <c r="S336" s="72"/>
    </row>
    <row r="337" spans="1:19">
      <c r="A337" s="63"/>
      <c r="B337" s="67"/>
      <c r="C337" s="68"/>
      <c r="D337" s="69"/>
      <c r="E337" s="69"/>
      <c r="F337" s="70"/>
      <c r="G337" s="70"/>
      <c r="H337" s="71"/>
      <c r="I337" s="70"/>
      <c r="J337" s="67"/>
      <c r="K337" s="67"/>
      <c r="L337" s="67"/>
      <c r="M337" s="70"/>
      <c r="N337" s="72"/>
      <c r="O337" s="73"/>
      <c r="P337" s="74"/>
      <c r="Q337" s="74"/>
      <c r="R337" s="71"/>
      <c r="S337" s="72"/>
    </row>
    <row r="338" spans="1:19">
      <c r="A338" s="63"/>
      <c r="B338" s="67"/>
      <c r="C338" s="68"/>
      <c r="D338" s="69"/>
      <c r="E338" s="69"/>
      <c r="F338" s="70"/>
      <c r="G338" s="70"/>
      <c r="H338" s="71"/>
      <c r="I338" s="70"/>
      <c r="J338" s="67"/>
      <c r="K338" s="67"/>
      <c r="L338" s="67"/>
      <c r="M338" s="70"/>
      <c r="N338" s="72"/>
      <c r="O338" s="73"/>
      <c r="P338" s="74"/>
      <c r="Q338" s="74"/>
      <c r="R338" s="71"/>
      <c r="S338" s="72"/>
    </row>
    <row r="339" spans="1:19">
      <c r="A339" s="63"/>
      <c r="B339" s="67"/>
      <c r="C339" s="68"/>
      <c r="D339" s="69"/>
      <c r="E339" s="69"/>
      <c r="F339" s="70"/>
      <c r="G339" s="70"/>
      <c r="H339" s="71"/>
      <c r="I339" s="70"/>
      <c r="J339" s="67"/>
      <c r="K339" s="67"/>
      <c r="L339" s="67"/>
      <c r="M339" s="70"/>
      <c r="N339" s="72"/>
      <c r="O339" s="73"/>
      <c r="P339" s="74"/>
      <c r="Q339" s="74"/>
      <c r="R339" s="71"/>
      <c r="S339" s="72"/>
    </row>
    <row r="340" spans="1:19">
      <c r="A340" s="63"/>
      <c r="B340" s="67"/>
      <c r="C340" s="68"/>
      <c r="D340" s="69"/>
      <c r="E340" s="69"/>
      <c r="F340" s="70"/>
      <c r="G340" s="70"/>
      <c r="H340" s="71"/>
      <c r="I340" s="70"/>
      <c r="J340" s="67"/>
      <c r="K340" s="67"/>
      <c r="L340" s="67"/>
      <c r="M340" s="70"/>
      <c r="N340" s="72"/>
      <c r="O340" s="73"/>
      <c r="P340" s="74"/>
      <c r="Q340" s="74"/>
      <c r="R340" s="71"/>
      <c r="S340" s="72"/>
    </row>
    <row r="341" spans="1:19">
      <c r="A341" s="63"/>
      <c r="B341" s="67"/>
      <c r="C341" s="68"/>
      <c r="D341" s="69"/>
      <c r="E341" s="69"/>
      <c r="F341" s="70"/>
      <c r="G341" s="70"/>
      <c r="H341" s="71"/>
      <c r="I341" s="70"/>
      <c r="J341" s="67"/>
      <c r="K341" s="67"/>
      <c r="L341" s="67"/>
      <c r="M341" s="70"/>
      <c r="N341" s="72"/>
      <c r="O341" s="73"/>
      <c r="P341" s="74"/>
      <c r="Q341" s="74"/>
      <c r="R341" s="71"/>
      <c r="S341" s="72"/>
    </row>
    <row r="342" spans="1:19">
      <c r="A342" s="63"/>
      <c r="B342" s="67"/>
      <c r="C342" s="68"/>
      <c r="D342" s="69"/>
      <c r="E342" s="69"/>
      <c r="F342" s="70"/>
      <c r="G342" s="70"/>
      <c r="H342" s="71"/>
      <c r="I342" s="70"/>
      <c r="J342" s="67"/>
      <c r="K342" s="67"/>
      <c r="L342" s="67"/>
      <c r="M342" s="70"/>
      <c r="N342" s="72"/>
      <c r="O342" s="73"/>
      <c r="P342" s="74"/>
      <c r="Q342" s="74"/>
      <c r="R342" s="71"/>
      <c r="S342" s="72"/>
    </row>
    <row r="343" spans="1:19">
      <c r="A343" s="63"/>
      <c r="B343" s="67"/>
      <c r="C343" s="68"/>
      <c r="D343" s="69"/>
      <c r="E343" s="69"/>
      <c r="F343" s="70"/>
      <c r="G343" s="70"/>
      <c r="H343" s="71"/>
      <c r="I343" s="70"/>
      <c r="J343" s="67"/>
      <c r="K343" s="67"/>
      <c r="L343" s="67"/>
      <c r="M343" s="70"/>
      <c r="N343" s="72"/>
      <c r="O343" s="73"/>
      <c r="P343" s="74"/>
      <c r="Q343" s="74"/>
      <c r="R343" s="71"/>
      <c r="S343" s="72"/>
    </row>
    <row r="344" spans="1:19">
      <c r="A344" s="63"/>
      <c r="B344" s="67"/>
      <c r="C344" s="68"/>
      <c r="D344" s="69"/>
      <c r="E344" s="69"/>
      <c r="F344" s="70"/>
      <c r="G344" s="70"/>
      <c r="H344" s="71"/>
      <c r="I344" s="70"/>
      <c r="J344" s="67"/>
      <c r="K344" s="67"/>
      <c r="L344" s="67"/>
      <c r="M344" s="70"/>
      <c r="N344" s="72"/>
      <c r="O344" s="73"/>
      <c r="P344" s="74"/>
      <c r="Q344" s="74"/>
      <c r="R344" s="71"/>
      <c r="S344" s="72"/>
    </row>
    <row r="345" spans="1:19">
      <c r="A345" s="63"/>
      <c r="B345" s="67"/>
      <c r="C345" s="68"/>
      <c r="D345" s="69"/>
      <c r="E345" s="69"/>
      <c r="F345" s="70"/>
      <c r="G345" s="70"/>
      <c r="H345" s="71"/>
      <c r="I345" s="70"/>
      <c r="J345" s="67"/>
      <c r="K345" s="67"/>
      <c r="L345" s="67"/>
      <c r="M345" s="70"/>
      <c r="N345" s="72"/>
      <c r="O345" s="73"/>
      <c r="P345" s="74"/>
      <c r="Q345" s="74"/>
      <c r="R345" s="71"/>
      <c r="S345" s="72"/>
    </row>
    <row r="346" spans="1:19">
      <c r="A346" s="63"/>
      <c r="B346" s="67"/>
      <c r="C346" s="68"/>
      <c r="D346" s="69"/>
      <c r="E346" s="69"/>
      <c r="F346" s="70"/>
      <c r="G346" s="70"/>
      <c r="H346" s="71"/>
      <c r="I346" s="70"/>
      <c r="J346" s="67"/>
      <c r="K346" s="67"/>
      <c r="L346" s="67"/>
      <c r="M346" s="70"/>
      <c r="N346" s="72"/>
      <c r="O346" s="73"/>
      <c r="P346" s="74"/>
      <c r="Q346" s="74"/>
      <c r="R346" s="71"/>
      <c r="S346" s="72"/>
    </row>
    <row r="347" spans="1:19">
      <c r="A347" s="63"/>
      <c r="B347" s="67"/>
      <c r="C347" s="68"/>
      <c r="D347" s="69"/>
      <c r="E347" s="69"/>
      <c r="F347" s="70"/>
      <c r="G347" s="70"/>
      <c r="H347" s="71"/>
      <c r="I347" s="70"/>
      <c r="J347" s="67"/>
      <c r="K347" s="67"/>
      <c r="L347" s="67"/>
      <c r="M347" s="70"/>
      <c r="N347" s="72"/>
      <c r="O347" s="73"/>
      <c r="P347" s="74"/>
      <c r="Q347" s="74"/>
      <c r="R347" s="71"/>
      <c r="S347" s="72"/>
    </row>
    <row r="348" spans="1:19">
      <c r="A348" s="63"/>
      <c r="B348" s="67"/>
      <c r="C348" s="68"/>
      <c r="D348" s="69"/>
      <c r="E348" s="69"/>
      <c r="F348" s="70"/>
      <c r="G348" s="70"/>
      <c r="H348" s="71"/>
      <c r="I348" s="70"/>
      <c r="J348" s="67"/>
      <c r="K348" s="67"/>
      <c r="L348" s="67"/>
      <c r="M348" s="70"/>
      <c r="N348" s="72"/>
      <c r="O348" s="73"/>
      <c r="P348" s="74"/>
      <c r="Q348" s="74"/>
      <c r="R348" s="71"/>
      <c r="S348" s="72"/>
    </row>
    <row r="349" spans="1:19">
      <c r="A349" s="63"/>
      <c r="B349" s="67"/>
      <c r="C349" s="68"/>
      <c r="D349" s="69"/>
      <c r="E349" s="69"/>
      <c r="F349" s="70"/>
      <c r="G349" s="70"/>
      <c r="H349" s="71"/>
      <c r="I349" s="70"/>
      <c r="J349" s="67"/>
      <c r="K349" s="67"/>
      <c r="L349" s="67"/>
      <c r="M349" s="70"/>
      <c r="N349" s="72"/>
      <c r="O349" s="73"/>
      <c r="P349" s="74"/>
      <c r="Q349" s="74"/>
      <c r="R349" s="71"/>
      <c r="S349" s="72"/>
    </row>
    <row r="350" spans="1:19">
      <c r="A350" s="63"/>
      <c r="B350" s="67"/>
      <c r="C350" s="68"/>
      <c r="D350" s="69"/>
      <c r="E350" s="69"/>
      <c r="F350" s="70"/>
      <c r="G350" s="70"/>
      <c r="H350" s="71"/>
      <c r="I350" s="70"/>
      <c r="J350" s="67"/>
      <c r="K350" s="67"/>
      <c r="L350" s="67"/>
      <c r="M350" s="70"/>
      <c r="N350" s="72"/>
      <c r="O350" s="73"/>
      <c r="P350" s="74"/>
      <c r="Q350" s="74"/>
      <c r="R350" s="71"/>
      <c r="S350" s="72"/>
    </row>
    <row r="351" spans="1:19">
      <c r="A351" s="63"/>
      <c r="B351" s="67"/>
      <c r="C351" s="68"/>
      <c r="D351" s="69"/>
      <c r="E351" s="69"/>
      <c r="F351" s="70"/>
      <c r="G351" s="70"/>
      <c r="H351" s="71"/>
      <c r="I351" s="70"/>
      <c r="J351" s="67"/>
      <c r="K351" s="67"/>
      <c r="L351" s="67"/>
      <c r="M351" s="70"/>
      <c r="N351" s="72"/>
      <c r="O351" s="73"/>
      <c r="P351" s="74"/>
      <c r="Q351" s="74"/>
      <c r="R351" s="71"/>
      <c r="S351" s="72"/>
    </row>
    <row r="352" spans="1:19">
      <c r="A352" s="63"/>
      <c r="B352" s="67"/>
      <c r="C352" s="68"/>
      <c r="D352" s="69"/>
      <c r="E352" s="69"/>
      <c r="F352" s="70"/>
      <c r="G352" s="70"/>
      <c r="H352" s="71"/>
      <c r="I352" s="70"/>
      <c r="J352" s="67"/>
      <c r="K352" s="67"/>
      <c r="L352" s="67"/>
      <c r="M352" s="70"/>
      <c r="N352" s="72"/>
      <c r="O352" s="73"/>
      <c r="P352" s="74"/>
      <c r="Q352" s="74"/>
      <c r="R352" s="71"/>
      <c r="S352" s="72"/>
    </row>
    <row r="353" spans="1:19">
      <c r="A353" s="63"/>
      <c r="B353" s="67"/>
      <c r="C353" s="68"/>
      <c r="D353" s="69"/>
      <c r="E353" s="69"/>
      <c r="F353" s="70"/>
      <c r="G353" s="70"/>
      <c r="H353" s="71"/>
      <c r="I353" s="70"/>
      <c r="J353" s="67"/>
      <c r="K353" s="67"/>
      <c r="L353" s="67"/>
      <c r="M353" s="70"/>
      <c r="N353" s="72"/>
      <c r="O353" s="73"/>
      <c r="P353" s="74"/>
      <c r="Q353" s="74"/>
      <c r="R353" s="71"/>
      <c r="S353" s="72"/>
    </row>
    <row r="354" spans="1:19">
      <c r="A354" s="63"/>
      <c r="B354" s="67"/>
      <c r="C354" s="68"/>
      <c r="D354" s="69"/>
      <c r="E354" s="69"/>
      <c r="F354" s="70"/>
      <c r="G354" s="70"/>
      <c r="H354" s="71"/>
      <c r="I354" s="70"/>
      <c r="J354" s="67"/>
      <c r="K354" s="67"/>
      <c r="L354" s="67"/>
      <c r="M354" s="70"/>
      <c r="N354" s="72"/>
      <c r="O354" s="73"/>
      <c r="P354" s="74"/>
      <c r="Q354" s="74"/>
      <c r="R354" s="71"/>
      <c r="S354" s="72"/>
    </row>
    <row r="355" spans="1:19">
      <c r="A355" s="63"/>
      <c r="B355" s="67"/>
      <c r="C355" s="68"/>
      <c r="D355" s="69"/>
      <c r="E355" s="69"/>
      <c r="F355" s="70"/>
      <c r="G355" s="70"/>
      <c r="H355" s="71"/>
      <c r="I355" s="70"/>
      <c r="J355" s="67"/>
      <c r="K355" s="67"/>
      <c r="L355" s="67"/>
      <c r="M355" s="70"/>
      <c r="N355" s="72"/>
      <c r="O355" s="73"/>
      <c r="P355" s="74"/>
      <c r="Q355" s="74"/>
      <c r="R355" s="71"/>
      <c r="S355" s="72"/>
    </row>
    <row r="356" spans="1:19">
      <c r="A356" s="63"/>
      <c r="B356" s="67"/>
      <c r="C356" s="68"/>
      <c r="D356" s="69"/>
      <c r="E356" s="69"/>
      <c r="F356" s="70"/>
      <c r="G356" s="70"/>
      <c r="H356" s="71"/>
      <c r="I356" s="70"/>
      <c r="J356" s="67"/>
      <c r="K356" s="67"/>
      <c r="L356" s="67"/>
      <c r="M356" s="70"/>
      <c r="N356" s="72"/>
      <c r="O356" s="73"/>
      <c r="P356" s="74"/>
      <c r="Q356" s="74"/>
      <c r="R356" s="71"/>
      <c r="S356" s="72"/>
    </row>
    <row r="357" spans="1:19">
      <c r="A357" s="63"/>
      <c r="B357" s="67"/>
      <c r="C357" s="68"/>
      <c r="D357" s="69"/>
      <c r="E357" s="69"/>
      <c r="F357" s="70"/>
      <c r="G357" s="70"/>
      <c r="H357" s="71"/>
      <c r="I357" s="70"/>
      <c r="J357" s="67"/>
      <c r="K357" s="67"/>
      <c r="L357" s="67"/>
      <c r="M357" s="70"/>
      <c r="N357" s="72"/>
      <c r="O357" s="73"/>
      <c r="P357" s="74"/>
      <c r="Q357" s="74"/>
      <c r="R357" s="71"/>
      <c r="S357" s="72"/>
    </row>
    <row r="358" spans="1:19">
      <c r="A358" s="63"/>
      <c r="B358" s="67"/>
      <c r="C358" s="68"/>
      <c r="D358" s="69"/>
      <c r="E358" s="69"/>
      <c r="F358" s="70"/>
      <c r="G358" s="70"/>
      <c r="H358" s="71"/>
      <c r="I358" s="70"/>
      <c r="J358" s="67"/>
      <c r="K358" s="67"/>
      <c r="L358" s="67"/>
      <c r="M358" s="70"/>
      <c r="N358" s="72"/>
      <c r="O358" s="73"/>
      <c r="P358" s="74"/>
      <c r="Q358" s="74"/>
      <c r="R358" s="71"/>
      <c r="S358" s="72"/>
    </row>
    <row r="359" spans="1:19">
      <c r="A359" s="63"/>
      <c r="B359" s="67"/>
      <c r="C359" s="68"/>
      <c r="D359" s="69"/>
      <c r="E359" s="69"/>
      <c r="F359" s="70"/>
      <c r="G359" s="70"/>
      <c r="H359" s="71"/>
      <c r="I359" s="70"/>
      <c r="J359" s="67"/>
      <c r="K359" s="67"/>
      <c r="L359" s="67"/>
      <c r="M359" s="70"/>
      <c r="N359" s="72"/>
      <c r="O359" s="73"/>
      <c r="P359" s="74"/>
      <c r="Q359" s="74"/>
      <c r="R359" s="71"/>
      <c r="S359" s="72"/>
    </row>
    <row r="360" spans="1:19">
      <c r="A360" s="63"/>
      <c r="B360" s="67"/>
      <c r="C360" s="68"/>
      <c r="D360" s="69"/>
      <c r="E360" s="69"/>
      <c r="F360" s="70"/>
      <c r="G360" s="70"/>
      <c r="H360" s="71"/>
      <c r="I360" s="70"/>
      <c r="J360" s="67"/>
      <c r="K360" s="67"/>
      <c r="L360" s="67"/>
      <c r="M360" s="70"/>
      <c r="N360" s="72"/>
      <c r="O360" s="73"/>
      <c r="P360" s="74"/>
      <c r="Q360" s="74"/>
      <c r="R360" s="71"/>
      <c r="S360" s="72"/>
    </row>
    <row r="361" spans="1:19">
      <c r="A361" s="63"/>
      <c r="B361" s="67"/>
      <c r="C361" s="68"/>
      <c r="D361" s="69"/>
      <c r="E361" s="69"/>
      <c r="F361" s="70"/>
      <c r="G361" s="70"/>
      <c r="H361" s="71"/>
      <c r="I361" s="70"/>
      <c r="J361" s="67"/>
      <c r="K361" s="67"/>
      <c r="L361" s="67"/>
      <c r="M361" s="70"/>
      <c r="N361" s="72"/>
      <c r="O361" s="73"/>
      <c r="P361" s="74"/>
      <c r="Q361" s="74"/>
      <c r="R361" s="71"/>
      <c r="S361" s="72"/>
    </row>
    <row r="362" spans="1:19">
      <c r="A362" s="63"/>
      <c r="B362" s="67"/>
      <c r="C362" s="68"/>
      <c r="D362" s="69"/>
      <c r="E362" s="69"/>
      <c r="F362" s="70"/>
      <c r="G362" s="70"/>
      <c r="H362" s="71"/>
      <c r="I362" s="70"/>
      <c r="J362" s="67"/>
      <c r="K362" s="67"/>
      <c r="L362" s="67"/>
      <c r="M362" s="70"/>
      <c r="N362" s="72"/>
      <c r="O362" s="73"/>
      <c r="P362" s="74"/>
      <c r="Q362" s="74"/>
      <c r="R362" s="71"/>
      <c r="S362" s="72"/>
    </row>
    <row r="363" spans="1:19">
      <c r="A363" s="63"/>
      <c r="B363" s="67"/>
      <c r="C363" s="68"/>
      <c r="D363" s="69"/>
      <c r="E363" s="69"/>
      <c r="F363" s="70"/>
      <c r="G363" s="70"/>
      <c r="H363" s="71"/>
      <c r="I363" s="70"/>
      <c r="J363" s="67"/>
      <c r="K363" s="67"/>
      <c r="L363" s="67"/>
      <c r="M363" s="70"/>
      <c r="N363" s="72"/>
      <c r="O363" s="73"/>
      <c r="P363" s="74"/>
      <c r="Q363" s="74"/>
      <c r="R363" s="71"/>
      <c r="S363" s="72"/>
    </row>
    <row r="364" spans="1:19">
      <c r="A364" s="63"/>
      <c r="B364" s="67"/>
      <c r="C364" s="68"/>
      <c r="D364" s="69"/>
      <c r="E364" s="69"/>
      <c r="F364" s="70"/>
      <c r="G364" s="70"/>
      <c r="H364" s="71"/>
      <c r="I364" s="70"/>
      <c r="J364" s="67"/>
      <c r="K364" s="67"/>
      <c r="L364" s="67"/>
      <c r="M364" s="70"/>
      <c r="N364" s="72"/>
      <c r="O364" s="73"/>
      <c r="P364" s="74"/>
      <c r="Q364" s="74"/>
      <c r="R364" s="71"/>
      <c r="S364" s="72"/>
    </row>
    <row r="365" spans="1:19">
      <c r="A365" s="63"/>
      <c r="B365" s="67"/>
      <c r="C365" s="68"/>
      <c r="D365" s="69"/>
      <c r="E365" s="69"/>
      <c r="F365" s="70"/>
      <c r="G365" s="70"/>
      <c r="H365" s="71"/>
      <c r="I365" s="70"/>
      <c r="J365" s="67"/>
      <c r="K365" s="67"/>
      <c r="L365" s="67"/>
      <c r="M365" s="70"/>
      <c r="N365" s="72"/>
      <c r="O365" s="73"/>
      <c r="P365" s="74"/>
      <c r="Q365" s="74"/>
      <c r="R365" s="71"/>
      <c r="S365" s="72"/>
    </row>
    <row r="366" spans="1:19">
      <c r="A366" s="63"/>
      <c r="B366" s="67"/>
      <c r="C366" s="68"/>
      <c r="D366" s="69"/>
      <c r="E366" s="69"/>
      <c r="F366" s="70"/>
      <c r="G366" s="70"/>
      <c r="H366" s="71"/>
      <c r="I366" s="70"/>
      <c r="J366" s="67"/>
      <c r="K366" s="67"/>
      <c r="L366" s="67"/>
      <c r="M366" s="70"/>
      <c r="N366" s="72"/>
      <c r="O366" s="73"/>
      <c r="P366" s="74"/>
      <c r="Q366" s="74"/>
      <c r="R366" s="71"/>
      <c r="S366" s="72"/>
    </row>
    <row r="367" spans="1:19">
      <c r="A367" s="63"/>
      <c r="B367" s="67"/>
      <c r="C367" s="68"/>
      <c r="D367" s="69"/>
      <c r="E367" s="69"/>
      <c r="F367" s="70"/>
      <c r="G367" s="70"/>
      <c r="H367" s="71"/>
      <c r="I367" s="70"/>
      <c r="J367" s="67"/>
      <c r="K367" s="67"/>
      <c r="L367" s="67"/>
      <c r="M367" s="70"/>
      <c r="N367" s="72"/>
      <c r="O367" s="73"/>
      <c r="P367" s="74"/>
      <c r="Q367" s="74"/>
      <c r="R367" s="71"/>
      <c r="S367" s="72"/>
    </row>
    <row r="368" spans="1:19">
      <c r="A368" s="63"/>
      <c r="B368" s="67"/>
      <c r="C368" s="68"/>
      <c r="D368" s="69"/>
      <c r="E368" s="69"/>
      <c r="F368" s="70"/>
      <c r="G368" s="70"/>
      <c r="H368" s="71"/>
      <c r="I368" s="70"/>
      <c r="J368" s="67"/>
      <c r="K368" s="67"/>
      <c r="L368" s="67"/>
      <c r="M368" s="70"/>
      <c r="N368" s="72"/>
      <c r="O368" s="73"/>
      <c r="P368" s="74"/>
      <c r="Q368" s="74"/>
      <c r="R368" s="71"/>
      <c r="S368" s="72"/>
    </row>
    <row r="369" spans="1:19">
      <c r="A369" s="63"/>
      <c r="B369" s="67"/>
      <c r="C369" s="68"/>
      <c r="D369" s="69"/>
      <c r="E369" s="69"/>
      <c r="F369" s="70"/>
      <c r="G369" s="70"/>
      <c r="H369" s="71"/>
      <c r="I369" s="70"/>
      <c r="J369" s="67"/>
      <c r="K369" s="67"/>
      <c r="L369" s="67"/>
      <c r="M369" s="70"/>
      <c r="N369" s="72"/>
      <c r="O369" s="73"/>
      <c r="P369" s="74"/>
      <c r="Q369" s="74"/>
      <c r="R369" s="71"/>
      <c r="S369" s="72"/>
    </row>
    <row r="370" spans="1:19">
      <c r="A370" s="63"/>
      <c r="B370" s="67"/>
      <c r="C370" s="68"/>
      <c r="D370" s="69"/>
      <c r="E370" s="69"/>
      <c r="F370" s="70"/>
      <c r="G370" s="70"/>
      <c r="H370" s="71"/>
      <c r="I370" s="70"/>
      <c r="J370" s="67"/>
      <c r="K370" s="67"/>
      <c r="L370" s="67"/>
      <c r="M370" s="70"/>
      <c r="N370" s="72"/>
      <c r="O370" s="73"/>
      <c r="P370" s="74"/>
      <c r="Q370" s="74"/>
      <c r="R370" s="71"/>
      <c r="S370" s="72"/>
    </row>
    <row r="371" spans="1:19">
      <c r="A371" s="63"/>
      <c r="B371" s="67"/>
      <c r="C371" s="68"/>
      <c r="D371" s="69"/>
      <c r="E371" s="69"/>
      <c r="F371" s="70"/>
      <c r="G371" s="70"/>
      <c r="H371" s="71"/>
      <c r="I371" s="70"/>
      <c r="J371" s="67"/>
      <c r="K371" s="67"/>
      <c r="L371" s="67"/>
      <c r="M371" s="70"/>
      <c r="N371" s="72"/>
      <c r="O371" s="73"/>
      <c r="P371" s="74"/>
      <c r="Q371" s="74"/>
      <c r="R371" s="71"/>
      <c r="S371" s="72"/>
    </row>
    <row r="372" spans="1:19">
      <c r="A372" s="63"/>
      <c r="B372" s="67"/>
      <c r="C372" s="68"/>
      <c r="D372" s="69"/>
      <c r="E372" s="69"/>
      <c r="F372" s="70"/>
      <c r="G372" s="70"/>
      <c r="H372" s="71"/>
      <c r="I372" s="70"/>
      <c r="J372" s="67"/>
      <c r="K372" s="67"/>
      <c r="L372" s="67"/>
      <c r="M372" s="70"/>
      <c r="N372" s="72"/>
      <c r="O372" s="73"/>
      <c r="P372" s="74"/>
      <c r="Q372" s="74"/>
      <c r="R372" s="71"/>
      <c r="S372" s="72"/>
    </row>
    <row r="373" spans="1:19">
      <c r="A373" s="63"/>
      <c r="B373" s="67"/>
      <c r="C373" s="68"/>
      <c r="D373" s="69"/>
      <c r="E373" s="69"/>
      <c r="F373" s="70"/>
      <c r="G373" s="70"/>
      <c r="H373" s="71"/>
      <c r="I373" s="70"/>
      <c r="J373" s="67"/>
      <c r="K373" s="67"/>
      <c r="L373" s="67"/>
      <c r="M373" s="70"/>
      <c r="N373" s="72"/>
      <c r="O373" s="73"/>
      <c r="P373" s="74"/>
      <c r="Q373" s="74"/>
      <c r="R373" s="71"/>
      <c r="S373" s="72"/>
    </row>
    <row r="374" spans="1:19">
      <c r="A374" s="63"/>
      <c r="B374" s="67"/>
      <c r="C374" s="68"/>
      <c r="D374" s="69"/>
      <c r="E374" s="69"/>
      <c r="F374" s="70"/>
      <c r="G374" s="70"/>
      <c r="H374" s="71"/>
      <c r="I374" s="70"/>
      <c r="J374" s="67"/>
      <c r="K374" s="67"/>
      <c r="L374" s="67"/>
      <c r="M374" s="70"/>
      <c r="N374" s="72"/>
      <c r="O374" s="73"/>
      <c r="P374" s="74"/>
      <c r="Q374" s="74"/>
      <c r="R374" s="71"/>
      <c r="S374" s="72"/>
    </row>
    <row r="375" spans="1:19">
      <c r="A375" s="63"/>
      <c r="B375" s="67"/>
      <c r="C375" s="68"/>
      <c r="D375" s="69"/>
      <c r="E375" s="69"/>
      <c r="F375" s="70"/>
      <c r="G375" s="70"/>
      <c r="H375" s="71"/>
      <c r="I375" s="70"/>
      <c r="J375" s="67"/>
      <c r="K375" s="67"/>
      <c r="L375" s="67"/>
      <c r="M375" s="70"/>
      <c r="N375" s="72"/>
      <c r="O375" s="73"/>
      <c r="P375" s="74"/>
      <c r="Q375" s="74"/>
      <c r="R375" s="71"/>
      <c r="S375" s="72"/>
    </row>
    <row r="376" spans="1:19">
      <c r="A376" s="63"/>
      <c r="B376" s="67"/>
      <c r="C376" s="68"/>
      <c r="D376" s="69"/>
      <c r="E376" s="69"/>
      <c r="F376" s="70"/>
      <c r="G376" s="70"/>
      <c r="H376" s="71"/>
      <c r="I376" s="70"/>
      <c r="J376" s="67"/>
      <c r="K376" s="67"/>
      <c r="L376" s="67"/>
      <c r="M376" s="70"/>
      <c r="N376" s="72"/>
      <c r="O376" s="73"/>
      <c r="P376" s="74"/>
      <c r="Q376" s="74"/>
      <c r="R376" s="71"/>
      <c r="S376" s="72"/>
    </row>
    <row r="377" spans="1:19">
      <c r="A377" s="63"/>
      <c r="B377" s="67"/>
      <c r="C377" s="68"/>
      <c r="D377" s="69"/>
      <c r="E377" s="69"/>
      <c r="F377" s="70"/>
      <c r="G377" s="70"/>
      <c r="H377" s="71"/>
      <c r="I377" s="70"/>
      <c r="J377" s="67"/>
      <c r="K377" s="67"/>
      <c r="L377" s="67"/>
      <c r="M377" s="70"/>
      <c r="N377" s="72"/>
      <c r="O377" s="73"/>
      <c r="P377" s="74"/>
      <c r="Q377" s="74"/>
      <c r="R377" s="71"/>
      <c r="S377" s="72"/>
    </row>
    <row r="378" spans="1:19">
      <c r="A378" s="63"/>
      <c r="B378" s="67"/>
      <c r="C378" s="68"/>
      <c r="D378" s="69"/>
      <c r="E378" s="69"/>
      <c r="F378" s="70"/>
      <c r="G378" s="70"/>
      <c r="H378" s="71"/>
      <c r="I378" s="70"/>
      <c r="J378" s="67"/>
      <c r="K378" s="67"/>
      <c r="L378" s="67"/>
      <c r="M378" s="70"/>
      <c r="N378" s="72"/>
      <c r="O378" s="73"/>
      <c r="P378" s="74"/>
      <c r="Q378" s="74"/>
      <c r="R378" s="71"/>
      <c r="S378" s="72"/>
    </row>
    <row r="379" spans="1:19">
      <c r="A379" s="63"/>
      <c r="B379" s="67"/>
      <c r="C379" s="68"/>
      <c r="D379" s="69"/>
      <c r="E379" s="69"/>
      <c r="F379" s="70"/>
      <c r="G379" s="70"/>
      <c r="H379" s="71"/>
      <c r="I379" s="70"/>
      <c r="J379" s="67"/>
      <c r="K379" s="67"/>
      <c r="L379" s="67"/>
      <c r="M379" s="70"/>
      <c r="N379" s="72"/>
      <c r="O379" s="73"/>
      <c r="P379" s="74"/>
      <c r="Q379" s="74"/>
      <c r="R379" s="71"/>
      <c r="S379" s="72"/>
    </row>
    <row r="380" spans="1:19">
      <c r="A380" s="63"/>
      <c r="B380" s="67"/>
      <c r="C380" s="68"/>
      <c r="D380" s="69"/>
      <c r="E380" s="69"/>
      <c r="F380" s="70"/>
      <c r="G380" s="70"/>
      <c r="H380" s="71"/>
      <c r="I380" s="70"/>
      <c r="J380" s="67"/>
      <c r="K380" s="67"/>
      <c r="L380" s="67"/>
      <c r="M380" s="70"/>
      <c r="N380" s="72"/>
      <c r="O380" s="73"/>
      <c r="P380" s="74"/>
      <c r="Q380" s="74"/>
      <c r="R380" s="71"/>
      <c r="S380" s="72"/>
    </row>
    <row r="381" spans="1:19">
      <c r="A381" s="63"/>
      <c r="B381" s="67"/>
      <c r="C381" s="68"/>
      <c r="D381" s="69"/>
      <c r="E381" s="69"/>
      <c r="F381" s="70"/>
      <c r="G381" s="70"/>
      <c r="H381" s="71"/>
      <c r="I381" s="70"/>
      <c r="J381" s="67"/>
      <c r="K381" s="67"/>
      <c r="L381" s="67"/>
      <c r="M381" s="70"/>
      <c r="N381" s="72"/>
      <c r="O381" s="73"/>
      <c r="P381" s="74"/>
      <c r="Q381" s="74"/>
      <c r="R381" s="71"/>
      <c r="S381" s="72"/>
    </row>
    <row r="382" spans="1:19">
      <c r="A382" s="63"/>
      <c r="B382" s="67"/>
      <c r="C382" s="68"/>
      <c r="D382" s="69"/>
      <c r="E382" s="69"/>
      <c r="F382" s="70"/>
      <c r="G382" s="70"/>
      <c r="H382" s="71"/>
      <c r="I382" s="70"/>
      <c r="J382" s="67"/>
      <c r="K382" s="67"/>
      <c r="L382" s="67"/>
      <c r="M382" s="70"/>
      <c r="N382" s="72"/>
      <c r="O382" s="73"/>
      <c r="P382" s="74"/>
      <c r="Q382" s="74"/>
      <c r="R382" s="71"/>
      <c r="S382" s="72"/>
    </row>
    <row r="383" spans="1:19">
      <c r="A383" s="63"/>
      <c r="B383" s="67"/>
      <c r="C383" s="68"/>
      <c r="D383" s="69"/>
      <c r="E383" s="69"/>
      <c r="F383" s="70"/>
      <c r="G383" s="70"/>
      <c r="H383" s="71"/>
      <c r="I383" s="70"/>
      <c r="J383" s="67"/>
      <c r="K383" s="67"/>
      <c r="L383" s="67"/>
      <c r="M383" s="70"/>
      <c r="N383" s="72"/>
      <c r="O383" s="73"/>
      <c r="P383" s="74"/>
      <c r="Q383" s="74"/>
      <c r="R383" s="71"/>
      <c r="S383" s="72"/>
    </row>
    <row r="384" spans="1:19">
      <c r="A384" s="63"/>
      <c r="B384" s="67"/>
      <c r="C384" s="68"/>
      <c r="D384" s="69"/>
      <c r="E384" s="69"/>
      <c r="F384" s="70"/>
      <c r="G384" s="70"/>
      <c r="H384" s="71"/>
      <c r="I384" s="70"/>
      <c r="J384" s="67"/>
      <c r="K384" s="67"/>
      <c r="L384" s="67"/>
      <c r="M384" s="70"/>
      <c r="N384" s="72"/>
      <c r="O384" s="73"/>
      <c r="P384" s="74"/>
      <c r="Q384" s="74"/>
      <c r="R384" s="71"/>
      <c r="S384" s="72"/>
    </row>
    <row r="385" spans="1:19">
      <c r="A385" s="63"/>
      <c r="B385" s="67"/>
      <c r="C385" s="68"/>
      <c r="D385" s="69"/>
      <c r="E385" s="69"/>
      <c r="F385" s="70"/>
      <c r="G385" s="70"/>
      <c r="H385" s="71"/>
      <c r="I385" s="70"/>
      <c r="J385" s="67"/>
      <c r="K385" s="67"/>
      <c r="L385" s="67"/>
      <c r="M385" s="70"/>
      <c r="N385" s="72"/>
      <c r="O385" s="73"/>
      <c r="P385" s="74"/>
      <c r="Q385" s="74"/>
      <c r="R385" s="71"/>
      <c r="S385" s="72"/>
    </row>
    <row r="386" spans="1:19">
      <c r="A386" s="63"/>
      <c r="B386" s="67"/>
      <c r="C386" s="68"/>
      <c r="D386" s="69"/>
      <c r="E386" s="69"/>
      <c r="F386" s="70"/>
      <c r="G386" s="70"/>
      <c r="H386" s="71"/>
      <c r="I386" s="70"/>
      <c r="J386" s="67"/>
      <c r="K386" s="67"/>
      <c r="L386" s="67"/>
      <c r="M386" s="70"/>
      <c r="N386" s="72"/>
      <c r="O386" s="73"/>
      <c r="P386" s="74"/>
      <c r="Q386" s="74"/>
      <c r="R386" s="71"/>
      <c r="S386" s="72"/>
    </row>
    <row r="387" spans="1:19">
      <c r="A387" s="63"/>
      <c r="B387" s="67"/>
      <c r="C387" s="68"/>
      <c r="D387" s="69"/>
      <c r="E387" s="69"/>
      <c r="F387" s="70"/>
      <c r="G387" s="70"/>
      <c r="H387" s="71"/>
      <c r="I387" s="70"/>
      <c r="J387" s="67"/>
      <c r="K387" s="67"/>
      <c r="L387" s="67"/>
      <c r="M387" s="70"/>
      <c r="N387" s="72"/>
      <c r="O387" s="73"/>
      <c r="P387" s="74"/>
      <c r="Q387" s="74"/>
      <c r="R387" s="71"/>
      <c r="S387" s="72"/>
    </row>
    <row r="388" spans="1:19">
      <c r="A388" s="63"/>
      <c r="B388" s="67"/>
      <c r="C388" s="68"/>
      <c r="D388" s="69"/>
      <c r="E388" s="69"/>
      <c r="F388" s="70"/>
      <c r="G388" s="70"/>
      <c r="H388" s="71"/>
      <c r="I388" s="70"/>
      <c r="J388" s="67"/>
      <c r="K388" s="67"/>
      <c r="L388" s="67"/>
      <c r="M388" s="70"/>
      <c r="N388" s="72"/>
      <c r="O388" s="73"/>
      <c r="P388" s="74"/>
      <c r="Q388" s="74"/>
      <c r="R388" s="71"/>
      <c r="S388" s="72"/>
    </row>
    <row r="389" spans="1:19">
      <c r="A389" s="63"/>
      <c r="B389" s="67"/>
      <c r="C389" s="68"/>
      <c r="D389" s="69"/>
      <c r="E389" s="69"/>
      <c r="F389" s="70"/>
      <c r="G389" s="70"/>
      <c r="H389" s="71"/>
      <c r="I389" s="70"/>
      <c r="J389" s="67"/>
      <c r="K389" s="67"/>
      <c r="L389" s="67"/>
      <c r="M389" s="70"/>
      <c r="N389" s="72"/>
      <c r="O389" s="73"/>
      <c r="P389" s="74"/>
      <c r="Q389" s="74"/>
      <c r="R389" s="71"/>
      <c r="S389" s="72"/>
    </row>
    <row r="390" spans="1:19">
      <c r="A390" s="63"/>
      <c r="B390" s="67"/>
      <c r="C390" s="68"/>
      <c r="D390" s="69"/>
      <c r="E390" s="69"/>
      <c r="F390" s="70"/>
      <c r="G390" s="70"/>
      <c r="H390" s="71"/>
      <c r="I390" s="70"/>
      <c r="J390" s="67"/>
      <c r="K390" s="67"/>
      <c r="L390" s="67"/>
      <c r="M390" s="70"/>
      <c r="N390" s="72"/>
      <c r="O390" s="73"/>
      <c r="P390" s="74"/>
      <c r="Q390" s="74"/>
      <c r="R390" s="71"/>
      <c r="S390" s="72"/>
    </row>
    <row r="391" spans="1:19">
      <c r="A391" s="63"/>
      <c r="B391" s="67"/>
      <c r="C391" s="68"/>
      <c r="D391" s="69"/>
      <c r="E391" s="69"/>
      <c r="F391" s="70"/>
      <c r="G391" s="70"/>
      <c r="H391" s="71"/>
      <c r="I391" s="70"/>
      <c r="J391" s="67"/>
      <c r="K391" s="67"/>
      <c r="L391" s="67"/>
      <c r="M391" s="70"/>
      <c r="N391" s="72"/>
      <c r="O391" s="73"/>
      <c r="P391" s="74"/>
      <c r="Q391" s="74"/>
      <c r="R391" s="71"/>
      <c r="S391" s="72"/>
    </row>
    <row r="392" spans="1:19">
      <c r="A392" s="63"/>
      <c r="B392" s="67"/>
      <c r="C392" s="68"/>
      <c r="D392" s="69"/>
      <c r="E392" s="69"/>
      <c r="F392" s="70"/>
      <c r="G392" s="70"/>
      <c r="H392" s="71"/>
      <c r="I392" s="70"/>
      <c r="J392" s="67"/>
      <c r="K392" s="67"/>
      <c r="L392" s="67"/>
      <c r="M392" s="70"/>
      <c r="N392" s="72"/>
      <c r="O392" s="73"/>
      <c r="P392" s="74"/>
      <c r="Q392" s="74"/>
      <c r="R392" s="71"/>
      <c r="S392" s="72"/>
    </row>
    <row r="393" spans="1:19">
      <c r="A393" s="63"/>
      <c r="B393" s="67"/>
      <c r="C393" s="68"/>
      <c r="D393" s="69"/>
      <c r="E393" s="69"/>
      <c r="F393" s="70"/>
      <c r="G393" s="70"/>
      <c r="H393" s="71"/>
      <c r="I393" s="70"/>
      <c r="J393" s="67"/>
      <c r="K393" s="67"/>
      <c r="L393" s="67"/>
      <c r="M393" s="70"/>
      <c r="N393" s="72"/>
      <c r="O393" s="73"/>
      <c r="P393" s="74"/>
      <c r="Q393" s="74"/>
      <c r="R393" s="71"/>
      <c r="S393" s="72"/>
    </row>
    <row r="394" spans="1:19">
      <c r="A394" s="63"/>
      <c r="B394" s="67"/>
      <c r="C394" s="68"/>
      <c r="D394" s="69"/>
      <c r="E394" s="69"/>
      <c r="F394" s="70"/>
      <c r="G394" s="70"/>
      <c r="H394" s="71"/>
      <c r="I394" s="70"/>
      <c r="J394" s="67"/>
      <c r="K394" s="67"/>
      <c r="L394" s="67"/>
      <c r="M394" s="70"/>
      <c r="N394" s="72"/>
      <c r="O394" s="73"/>
      <c r="P394" s="74"/>
      <c r="Q394" s="74"/>
      <c r="R394" s="71"/>
      <c r="S394" s="72"/>
    </row>
    <row r="395" spans="1:19">
      <c r="A395" s="63"/>
      <c r="B395" s="67"/>
      <c r="C395" s="68"/>
      <c r="D395" s="69"/>
      <c r="E395" s="69"/>
      <c r="F395" s="70"/>
      <c r="G395" s="70"/>
      <c r="H395" s="71"/>
      <c r="I395" s="70"/>
      <c r="J395" s="67"/>
      <c r="K395" s="67"/>
      <c r="L395" s="67"/>
      <c r="M395" s="70"/>
      <c r="N395" s="72"/>
      <c r="O395" s="73"/>
      <c r="P395" s="74"/>
      <c r="Q395" s="74"/>
      <c r="R395" s="71"/>
      <c r="S395" s="72"/>
    </row>
    <row r="396" spans="1:19">
      <c r="A396" s="63"/>
      <c r="B396" s="67"/>
      <c r="C396" s="68"/>
      <c r="D396" s="69"/>
      <c r="E396" s="69"/>
      <c r="F396" s="70"/>
      <c r="G396" s="70"/>
      <c r="H396" s="71"/>
      <c r="I396" s="70"/>
      <c r="J396" s="67"/>
      <c r="K396" s="67"/>
      <c r="L396" s="67"/>
      <c r="M396" s="70"/>
      <c r="N396" s="72"/>
      <c r="O396" s="73"/>
      <c r="P396" s="74"/>
      <c r="Q396" s="74"/>
      <c r="R396" s="71"/>
      <c r="S396" s="72"/>
    </row>
    <row r="397" spans="1:19">
      <c r="A397" s="63"/>
      <c r="B397" s="67"/>
      <c r="C397" s="68"/>
      <c r="D397" s="69"/>
      <c r="E397" s="69"/>
      <c r="F397" s="70"/>
      <c r="G397" s="70"/>
      <c r="H397" s="71"/>
      <c r="I397" s="70"/>
      <c r="J397" s="67"/>
      <c r="K397" s="67"/>
      <c r="L397" s="67"/>
      <c r="M397" s="70"/>
      <c r="N397" s="72"/>
      <c r="O397" s="73"/>
      <c r="P397" s="74"/>
      <c r="Q397" s="74"/>
      <c r="R397" s="71"/>
      <c r="S397" s="72"/>
    </row>
    <row r="398" spans="1:19">
      <c r="A398" s="63"/>
      <c r="B398" s="67"/>
      <c r="C398" s="68"/>
      <c r="D398" s="69"/>
      <c r="E398" s="69"/>
      <c r="F398" s="70"/>
      <c r="G398" s="70"/>
      <c r="H398" s="71"/>
      <c r="I398" s="70"/>
      <c r="J398" s="67"/>
      <c r="K398" s="67"/>
      <c r="L398" s="67"/>
      <c r="M398" s="70"/>
      <c r="N398" s="72"/>
      <c r="O398" s="73"/>
      <c r="P398" s="74"/>
      <c r="Q398" s="74"/>
      <c r="R398" s="71"/>
      <c r="S398" s="72"/>
    </row>
    <row r="399" spans="1:19">
      <c r="A399" s="63"/>
      <c r="B399" s="67"/>
      <c r="C399" s="68"/>
      <c r="D399" s="69"/>
      <c r="E399" s="69"/>
      <c r="F399" s="70"/>
      <c r="G399" s="70"/>
      <c r="H399" s="71"/>
      <c r="I399" s="70"/>
      <c r="J399" s="67"/>
      <c r="K399" s="67"/>
      <c r="L399" s="67"/>
      <c r="M399" s="70"/>
      <c r="N399" s="72"/>
      <c r="O399" s="73"/>
      <c r="P399" s="74"/>
      <c r="Q399" s="74"/>
      <c r="R399" s="71"/>
      <c r="S399" s="72"/>
    </row>
    <row r="400" spans="1:19">
      <c r="A400" s="63"/>
      <c r="B400" s="67"/>
      <c r="C400" s="68"/>
      <c r="D400" s="69"/>
      <c r="E400" s="69"/>
      <c r="F400" s="70"/>
      <c r="G400" s="70"/>
      <c r="H400" s="71"/>
      <c r="I400" s="70"/>
      <c r="J400" s="67"/>
      <c r="K400" s="67"/>
      <c r="L400" s="67"/>
      <c r="M400" s="70"/>
      <c r="N400" s="72"/>
      <c r="O400" s="73"/>
      <c r="P400" s="74"/>
      <c r="Q400" s="74"/>
      <c r="R400" s="71"/>
      <c r="S400" s="72"/>
    </row>
    <row r="401" spans="1:19">
      <c r="A401" s="63"/>
      <c r="B401" s="67"/>
      <c r="C401" s="68"/>
      <c r="D401" s="69"/>
      <c r="E401" s="69"/>
      <c r="F401" s="70"/>
      <c r="G401" s="70"/>
      <c r="H401" s="71"/>
      <c r="I401" s="70"/>
      <c r="J401" s="67"/>
      <c r="K401" s="67"/>
      <c r="L401" s="67"/>
      <c r="M401" s="70"/>
      <c r="N401" s="72"/>
      <c r="O401" s="73"/>
      <c r="P401" s="74"/>
      <c r="Q401" s="74"/>
      <c r="R401" s="71"/>
      <c r="S401" s="72"/>
    </row>
    <row r="402" spans="1:19">
      <c r="A402" s="63"/>
      <c r="B402" s="67"/>
      <c r="C402" s="68"/>
      <c r="D402" s="69"/>
      <c r="E402" s="69"/>
      <c r="F402" s="70"/>
      <c r="G402" s="70"/>
      <c r="H402" s="71"/>
      <c r="I402" s="70"/>
      <c r="J402" s="67"/>
      <c r="K402" s="67"/>
      <c r="L402" s="67"/>
      <c r="M402" s="70"/>
      <c r="N402" s="72"/>
      <c r="O402" s="73"/>
      <c r="P402" s="74"/>
      <c r="Q402" s="74"/>
      <c r="R402" s="71"/>
      <c r="S402" s="72"/>
    </row>
    <row r="403" spans="1:19">
      <c r="A403" s="63"/>
      <c r="B403" s="67"/>
      <c r="C403" s="68"/>
      <c r="D403" s="69"/>
      <c r="E403" s="69"/>
      <c r="F403" s="70"/>
      <c r="G403" s="70"/>
      <c r="H403" s="71"/>
      <c r="I403" s="70"/>
      <c r="J403" s="67"/>
      <c r="K403" s="67"/>
      <c r="L403" s="67"/>
      <c r="M403" s="70"/>
      <c r="N403" s="72"/>
      <c r="O403" s="73"/>
      <c r="P403" s="74"/>
      <c r="Q403" s="74"/>
      <c r="R403" s="71"/>
      <c r="S403" s="72"/>
    </row>
    <row r="404" spans="1:19">
      <c r="A404" s="63"/>
      <c r="B404" s="67"/>
      <c r="C404" s="68"/>
      <c r="D404" s="69"/>
      <c r="E404" s="69"/>
      <c r="F404" s="70"/>
      <c r="G404" s="70"/>
      <c r="H404" s="71"/>
      <c r="I404" s="70"/>
      <c r="J404" s="67"/>
      <c r="K404" s="67"/>
      <c r="L404" s="67"/>
      <c r="M404" s="70"/>
      <c r="N404" s="72"/>
      <c r="O404" s="73"/>
      <c r="P404" s="74"/>
      <c r="Q404" s="74"/>
      <c r="R404" s="71"/>
      <c r="S404" s="72"/>
    </row>
    <row r="405" spans="1:19">
      <c r="A405" s="63"/>
      <c r="B405" s="67"/>
      <c r="C405" s="68"/>
      <c r="D405" s="69"/>
      <c r="E405" s="69"/>
      <c r="F405" s="70"/>
      <c r="G405" s="70"/>
      <c r="H405" s="71"/>
      <c r="I405" s="70"/>
      <c r="J405" s="67"/>
      <c r="K405" s="67"/>
      <c r="L405" s="67"/>
      <c r="M405" s="70"/>
      <c r="N405" s="72"/>
      <c r="O405" s="73"/>
      <c r="P405" s="74"/>
      <c r="Q405" s="74"/>
      <c r="R405" s="71"/>
      <c r="S405" s="72"/>
    </row>
    <row r="406" spans="1:19">
      <c r="A406" s="63"/>
      <c r="B406" s="67"/>
      <c r="C406" s="68"/>
      <c r="D406" s="69"/>
      <c r="E406" s="69"/>
      <c r="F406" s="70"/>
      <c r="G406" s="70"/>
      <c r="H406" s="71"/>
      <c r="I406" s="70"/>
      <c r="J406" s="67"/>
      <c r="K406" s="67"/>
      <c r="L406" s="67"/>
      <c r="M406" s="70"/>
      <c r="N406" s="72"/>
      <c r="O406" s="73"/>
      <c r="P406" s="74"/>
      <c r="Q406" s="74"/>
      <c r="R406" s="71"/>
      <c r="S406" s="72"/>
    </row>
    <row r="407" spans="1:19">
      <c r="A407" s="63"/>
      <c r="B407" s="67"/>
      <c r="C407" s="68"/>
      <c r="D407" s="69"/>
      <c r="E407" s="69"/>
      <c r="F407" s="70"/>
      <c r="G407" s="70"/>
      <c r="H407" s="71"/>
      <c r="I407" s="70"/>
      <c r="J407" s="67"/>
      <c r="K407" s="67"/>
      <c r="L407" s="67"/>
      <c r="M407" s="70"/>
      <c r="N407" s="72"/>
      <c r="O407" s="73"/>
      <c r="P407" s="74"/>
      <c r="Q407" s="74"/>
      <c r="R407" s="71"/>
      <c r="S407" s="72"/>
    </row>
    <row r="408" spans="1:19">
      <c r="A408" s="63"/>
      <c r="B408" s="67"/>
      <c r="C408" s="68"/>
      <c r="D408" s="69"/>
      <c r="E408" s="69"/>
      <c r="F408" s="70"/>
      <c r="G408" s="70"/>
      <c r="H408" s="71"/>
      <c r="I408" s="70"/>
      <c r="J408" s="67"/>
      <c r="K408" s="67"/>
      <c r="L408" s="67"/>
      <c r="M408" s="70"/>
      <c r="N408" s="72"/>
      <c r="O408" s="73"/>
      <c r="P408" s="74"/>
      <c r="Q408" s="74"/>
      <c r="R408" s="71"/>
      <c r="S408" s="72"/>
    </row>
    <row r="409" spans="1:19">
      <c r="A409" s="63"/>
      <c r="B409" s="67"/>
      <c r="C409" s="68"/>
      <c r="D409" s="69"/>
      <c r="E409" s="69"/>
      <c r="F409" s="70"/>
      <c r="G409" s="70"/>
      <c r="H409" s="71"/>
      <c r="I409" s="70"/>
      <c r="J409" s="67"/>
      <c r="K409" s="67"/>
      <c r="L409" s="67"/>
      <c r="M409" s="70"/>
      <c r="N409" s="72"/>
      <c r="O409" s="73"/>
      <c r="P409" s="74"/>
      <c r="Q409" s="74"/>
      <c r="R409" s="71"/>
      <c r="S409" s="72"/>
    </row>
    <row r="410" spans="1:19">
      <c r="A410" s="63"/>
      <c r="B410" s="67"/>
      <c r="C410" s="68"/>
      <c r="D410" s="69"/>
      <c r="E410" s="69"/>
      <c r="F410" s="70"/>
      <c r="G410" s="70"/>
      <c r="H410" s="71"/>
      <c r="I410" s="70"/>
      <c r="J410" s="67"/>
      <c r="K410" s="67"/>
      <c r="L410" s="67"/>
      <c r="M410" s="70"/>
      <c r="N410" s="72"/>
      <c r="O410" s="73"/>
      <c r="P410" s="74"/>
      <c r="Q410" s="74"/>
      <c r="R410" s="71"/>
      <c r="S410" s="72"/>
    </row>
    <row r="411" spans="1:19">
      <c r="A411" s="63"/>
      <c r="B411" s="67"/>
      <c r="C411" s="68"/>
      <c r="D411" s="69"/>
      <c r="E411" s="69"/>
      <c r="F411" s="70"/>
      <c r="G411" s="70"/>
      <c r="H411" s="71"/>
      <c r="I411" s="70"/>
      <c r="J411" s="67"/>
      <c r="K411" s="67"/>
      <c r="L411" s="67"/>
      <c r="M411" s="70"/>
      <c r="N411" s="72"/>
      <c r="O411" s="73"/>
      <c r="P411" s="74"/>
      <c r="Q411" s="74"/>
      <c r="R411" s="71"/>
      <c r="S411" s="72"/>
    </row>
    <row r="412" spans="1:19">
      <c r="A412" s="63"/>
      <c r="B412" s="67"/>
      <c r="C412" s="68"/>
      <c r="D412" s="69"/>
      <c r="E412" s="69"/>
      <c r="F412" s="70"/>
      <c r="G412" s="70"/>
      <c r="H412" s="71"/>
      <c r="I412" s="70"/>
      <c r="J412" s="67"/>
      <c r="K412" s="67"/>
      <c r="L412" s="67"/>
      <c r="M412" s="70"/>
      <c r="N412" s="72"/>
      <c r="O412" s="73"/>
      <c r="P412" s="74"/>
      <c r="Q412" s="74"/>
      <c r="R412" s="71"/>
      <c r="S412" s="72"/>
    </row>
    <row r="413" spans="1:19">
      <c r="A413" s="63"/>
      <c r="B413" s="67"/>
      <c r="C413" s="68"/>
      <c r="D413" s="69"/>
      <c r="E413" s="69"/>
      <c r="F413" s="70"/>
      <c r="G413" s="70"/>
      <c r="H413" s="71"/>
      <c r="I413" s="70"/>
      <c r="J413" s="67"/>
      <c r="K413" s="67"/>
      <c r="L413" s="67"/>
      <c r="M413" s="70"/>
      <c r="N413" s="72"/>
      <c r="O413" s="73"/>
      <c r="P413" s="74"/>
      <c r="Q413" s="74"/>
      <c r="R413" s="71"/>
      <c r="S413" s="72"/>
    </row>
    <row r="414" spans="1:19">
      <c r="A414" s="63"/>
      <c r="B414" s="67"/>
      <c r="C414" s="68"/>
      <c r="D414" s="69"/>
      <c r="E414" s="69"/>
      <c r="F414" s="70"/>
      <c r="G414" s="70"/>
      <c r="H414" s="71"/>
      <c r="I414" s="70"/>
      <c r="J414" s="67"/>
      <c r="K414" s="67"/>
      <c r="L414" s="67"/>
      <c r="M414" s="70"/>
      <c r="N414" s="72"/>
      <c r="O414" s="73"/>
      <c r="P414" s="74"/>
      <c r="Q414" s="74"/>
      <c r="R414" s="71"/>
      <c r="S414" s="72"/>
    </row>
    <row r="415" spans="1:19">
      <c r="A415" s="63"/>
      <c r="B415" s="67"/>
      <c r="C415" s="68"/>
      <c r="D415" s="69"/>
      <c r="E415" s="69"/>
      <c r="F415" s="70"/>
      <c r="G415" s="70"/>
      <c r="H415" s="71"/>
      <c r="I415" s="70"/>
      <c r="J415" s="67"/>
      <c r="K415" s="67"/>
      <c r="L415" s="67"/>
      <c r="M415" s="70"/>
      <c r="N415" s="72"/>
      <c r="O415" s="73"/>
      <c r="P415" s="74"/>
      <c r="Q415" s="74"/>
      <c r="R415" s="71"/>
      <c r="S415" s="72"/>
    </row>
    <row r="416" spans="1:19">
      <c r="A416" s="63"/>
      <c r="B416" s="67"/>
      <c r="C416" s="68"/>
      <c r="D416" s="69"/>
      <c r="E416" s="69"/>
      <c r="F416" s="70"/>
      <c r="G416" s="70"/>
      <c r="H416" s="71"/>
      <c r="I416" s="70"/>
      <c r="J416" s="67"/>
      <c r="K416" s="67"/>
      <c r="L416" s="67"/>
      <c r="M416" s="70"/>
      <c r="N416" s="72"/>
      <c r="O416" s="73"/>
      <c r="P416" s="74"/>
      <c r="Q416" s="74"/>
      <c r="R416" s="71"/>
      <c r="S416" s="72"/>
    </row>
    <row r="417" spans="1:19">
      <c r="A417" s="63"/>
      <c r="B417" s="67"/>
      <c r="C417" s="68"/>
      <c r="D417" s="69"/>
      <c r="E417" s="69"/>
      <c r="F417" s="70"/>
      <c r="G417" s="70"/>
      <c r="H417" s="71"/>
      <c r="I417" s="70"/>
      <c r="J417" s="67"/>
      <c r="K417" s="67"/>
      <c r="L417" s="67"/>
      <c r="M417" s="70"/>
      <c r="N417" s="72"/>
      <c r="O417" s="73"/>
      <c r="P417" s="74"/>
      <c r="Q417" s="74"/>
      <c r="R417" s="71"/>
      <c r="S417" s="72"/>
    </row>
    <row r="418" spans="1:19">
      <c r="A418" s="63"/>
      <c r="B418" s="67"/>
      <c r="C418" s="68"/>
      <c r="D418" s="69"/>
      <c r="E418" s="69"/>
      <c r="F418" s="70"/>
      <c r="G418" s="70"/>
      <c r="H418" s="71"/>
      <c r="I418" s="70"/>
      <c r="J418" s="67"/>
      <c r="K418" s="67"/>
      <c r="L418" s="67"/>
      <c r="M418" s="70"/>
      <c r="N418" s="72"/>
      <c r="O418" s="73"/>
      <c r="P418" s="74"/>
      <c r="Q418" s="74"/>
      <c r="R418" s="71"/>
      <c r="S418" s="72"/>
    </row>
    <row r="419" spans="1:19">
      <c r="A419" s="63"/>
      <c r="B419" s="67"/>
      <c r="C419" s="68"/>
      <c r="D419" s="69"/>
      <c r="E419" s="69"/>
      <c r="F419" s="70"/>
      <c r="G419" s="70"/>
      <c r="H419" s="71"/>
      <c r="I419" s="70"/>
      <c r="J419" s="67"/>
      <c r="K419" s="67"/>
      <c r="L419" s="67"/>
      <c r="M419" s="70"/>
      <c r="N419" s="72"/>
      <c r="O419" s="73"/>
      <c r="P419" s="74"/>
      <c r="Q419" s="74"/>
      <c r="R419" s="71"/>
      <c r="S419" s="72"/>
    </row>
    <row r="420" spans="1:19">
      <c r="A420" s="63"/>
      <c r="B420" s="67"/>
      <c r="C420" s="68"/>
      <c r="D420" s="69"/>
      <c r="E420" s="69"/>
      <c r="F420" s="70"/>
      <c r="G420" s="70"/>
      <c r="H420" s="71"/>
      <c r="I420" s="70"/>
      <c r="J420" s="67"/>
      <c r="K420" s="67"/>
      <c r="L420" s="67"/>
      <c r="M420" s="70"/>
      <c r="N420" s="72"/>
      <c r="O420" s="73"/>
      <c r="P420" s="74"/>
      <c r="Q420" s="74"/>
      <c r="R420" s="71"/>
      <c r="S420" s="72"/>
    </row>
    <row r="421" spans="1:19">
      <c r="A421" s="63"/>
      <c r="B421" s="67"/>
      <c r="C421" s="68"/>
      <c r="D421" s="69"/>
      <c r="E421" s="69"/>
      <c r="F421" s="70"/>
      <c r="G421" s="70"/>
      <c r="H421" s="71"/>
      <c r="I421" s="70"/>
      <c r="J421" s="67"/>
      <c r="K421" s="67"/>
      <c r="L421" s="67"/>
      <c r="M421" s="70"/>
      <c r="N421" s="72"/>
      <c r="O421" s="73"/>
      <c r="P421" s="74"/>
      <c r="Q421" s="74"/>
      <c r="R421" s="71"/>
      <c r="S421" s="72"/>
    </row>
    <row r="422" spans="1:19">
      <c r="A422" s="63"/>
      <c r="B422" s="67"/>
      <c r="C422" s="68"/>
      <c r="D422" s="69"/>
      <c r="E422" s="69"/>
      <c r="F422" s="70"/>
      <c r="G422" s="70"/>
      <c r="H422" s="71"/>
      <c r="I422" s="70"/>
      <c r="J422" s="67"/>
      <c r="K422" s="67"/>
      <c r="L422" s="67"/>
      <c r="M422" s="70"/>
      <c r="N422" s="72"/>
      <c r="O422" s="73"/>
      <c r="P422" s="74"/>
      <c r="Q422" s="74"/>
      <c r="R422" s="71"/>
      <c r="S422" s="72"/>
    </row>
    <row r="423" spans="1:19">
      <c r="A423" s="63"/>
      <c r="B423" s="67"/>
      <c r="C423" s="68"/>
      <c r="D423" s="69"/>
      <c r="E423" s="69"/>
      <c r="F423" s="70"/>
      <c r="G423" s="70"/>
      <c r="H423" s="71"/>
      <c r="I423" s="70"/>
      <c r="J423" s="67"/>
      <c r="K423" s="67"/>
      <c r="L423" s="67"/>
      <c r="M423" s="70"/>
      <c r="N423" s="72"/>
      <c r="O423" s="73"/>
      <c r="P423" s="74"/>
      <c r="Q423" s="74"/>
      <c r="R423" s="71"/>
      <c r="S423" s="72"/>
    </row>
    <row r="424" spans="1:19">
      <c r="A424" s="63"/>
      <c r="B424" s="67"/>
      <c r="C424" s="68"/>
      <c r="D424" s="69"/>
      <c r="E424" s="69"/>
      <c r="F424" s="70"/>
      <c r="G424" s="70"/>
      <c r="H424" s="71"/>
      <c r="I424" s="70"/>
      <c r="J424" s="67"/>
      <c r="K424" s="67"/>
      <c r="L424" s="67"/>
      <c r="M424" s="70"/>
      <c r="N424" s="72"/>
      <c r="O424" s="73"/>
      <c r="P424" s="74"/>
      <c r="Q424" s="74"/>
      <c r="R424" s="71"/>
      <c r="S424" s="72"/>
    </row>
    <row r="425" spans="1:19">
      <c r="A425" s="63"/>
      <c r="B425" s="67"/>
      <c r="C425" s="68"/>
      <c r="D425" s="69"/>
      <c r="E425" s="69"/>
      <c r="F425" s="70"/>
      <c r="G425" s="70"/>
      <c r="H425" s="71"/>
      <c r="I425" s="70"/>
      <c r="J425" s="67"/>
      <c r="K425" s="67"/>
      <c r="L425" s="67"/>
      <c r="M425" s="70"/>
      <c r="N425" s="72"/>
      <c r="O425" s="73"/>
      <c r="P425" s="74"/>
      <c r="Q425" s="74"/>
      <c r="R425" s="71"/>
      <c r="S425" s="72"/>
    </row>
    <row r="426" spans="1:19">
      <c r="A426" s="63"/>
      <c r="B426" s="67"/>
      <c r="C426" s="68"/>
      <c r="D426" s="69"/>
      <c r="E426" s="69"/>
      <c r="F426" s="70"/>
      <c r="G426" s="70"/>
      <c r="H426" s="71"/>
      <c r="I426" s="70"/>
      <c r="J426" s="67"/>
      <c r="K426" s="67"/>
      <c r="L426" s="67"/>
      <c r="M426" s="70"/>
      <c r="N426" s="72"/>
      <c r="O426" s="73"/>
      <c r="P426" s="74"/>
      <c r="Q426" s="74"/>
      <c r="R426" s="71"/>
      <c r="S426" s="72"/>
    </row>
    <row r="427" spans="1:19">
      <c r="A427" s="63"/>
      <c r="B427" s="67"/>
      <c r="C427" s="68"/>
      <c r="D427" s="69"/>
      <c r="E427" s="69"/>
      <c r="F427" s="70"/>
      <c r="G427" s="70"/>
      <c r="H427" s="71"/>
      <c r="I427" s="70"/>
      <c r="J427" s="67"/>
      <c r="K427" s="67"/>
      <c r="L427" s="67"/>
      <c r="M427" s="70"/>
      <c r="N427" s="72"/>
      <c r="O427" s="73"/>
      <c r="P427" s="74"/>
      <c r="Q427" s="74"/>
      <c r="R427" s="71"/>
      <c r="S427" s="72"/>
    </row>
    <row r="428" spans="1:19">
      <c r="A428" s="63"/>
      <c r="B428" s="67"/>
      <c r="C428" s="68"/>
      <c r="D428" s="69"/>
      <c r="E428" s="69"/>
      <c r="F428" s="70"/>
      <c r="G428" s="70"/>
      <c r="H428" s="71"/>
      <c r="I428" s="70"/>
      <c r="J428" s="67"/>
      <c r="K428" s="67"/>
      <c r="L428" s="67"/>
      <c r="M428" s="70"/>
      <c r="N428" s="72"/>
      <c r="O428" s="73"/>
      <c r="P428" s="74"/>
      <c r="Q428" s="74"/>
      <c r="R428" s="71"/>
      <c r="S428" s="72"/>
    </row>
    <row r="429" spans="1:19">
      <c r="A429" s="63"/>
      <c r="B429" s="67"/>
      <c r="C429" s="68"/>
      <c r="D429" s="69"/>
      <c r="E429" s="69"/>
      <c r="F429" s="70"/>
      <c r="G429" s="70"/>
      <c r="H429" s="71"/>
      <c r="I429" s="70"/>
      <c r="J429" s="67"/>
      <c r="K429" s="67"/>
      <c r="L429" s="67"/>
      <c r="M429" s="70"/>
      <c r="N429" s="72"/>
      <c r="O429" s="73"/>
      <c r="P429" s="74"/>
      <c r="Q429" s="74"/>
      <c r="R429" s="71"/>
      <c r="S429" s="72"/>
    </row>
    <row r="430" spans="1:19">
      <c r="A430" s="63"/>
      <c r="B430" s="67"/>
      <c r="C430" s="68"/>
      <c r="D430" s="69"/>
      <c r="E430" s="69"/>
      <c r="F430" s="70"/>
      <c r="G430" s="70"/>
      <c r="H430" s="71"/>
      <c r="I430" s="70"/>
      <c r="J430" s="67"/>
      <c r="K430" s="67"/>
      <c r="L430" s="67"/>
      <c r="M430" s="70"/>
      <c r="N430" s="72"/>
      <c r="O430" s="73"/>
      <c r="P430" s="74"/>
      <c r="Q430" s="74"/>
      <c r="R430" s="71"/>
      <c r="S430" s="72"/>
    </row>
    <row r="431" spans="1:19">
      <c r="A431" s="63"/>
      <c r="B431" s="67"/>
      <c r="C431" s="68"/>
      <c r="D431" s="69"/>
      <c r="E431" s="69"/>
      <c r="F431" s="70"/>
      <c r="G431" s="70"/>
      <c r="H431" s="71"/>
      <c r="I431" s="70"/>
      <c r="J431" s="67"/>
      <c r="K431" s="67"/>
      <c r="L431" s="67"/>
      <c r="M431" s="70"/>
      <c r="N431" s="72"/>
      <c r="O431" s="73"/>
      <c r="P431" s="74"/>
      <c r="Q431" s="74"/>
      <c r="R431" s="71"/>
      <c r="S431" s="72"/>
    </row>
    <row r="432" spans="1:19">
      <c r="A432" s="63"/>
      <c r="B432" s="67"/>
      <c r="C432" s="68"/>
      <c r="D432" s="69"/>
      <c r="E432" s="69"/>
      <c r="F432" s="70"/>
      <c r="G432" s="70"/>
      <c r="H432" s="71"/>
      <c r="I432" s="70"/>
      <c r="J432" s="67"/>
      <c r="K432" s="67"/>
      <c r="L432" s="67"/>
      <c r="M432" s="70"/>
      <c r="N432" s="72"/>
      <c r="O432" s="73"/>
      <c r="P432" s="74"/>
      <c r="Q432" s="74"/>
      <c r="R432" s="71"/>
      <c r="S432" s="72"/>
    </row>
    <row r="433" spans="1:19">
      <c r="A433" s="63"/>
      <c r="B433" s="67"/>
      <c r="C433" s="68"/>
      <c r="D433" s="69"/>
      <c r="E433" s="69"/>
      <c r="F433" s="70"/>
      <c r="G433" s="70"/>
      <c r="H433" s="71"/>
      <c r="I433" s="70"/>
      <c r="J433" s="67"/>
      <c r="K433" s="67"/>
      <c r="L433" s="67"/>
      <c r="M433" s="70"/>
      <c r="N433" s="72"/>
      <c r="O433" s="73"/>
      <c r="P433" s="74"/>
      <c r="Q433" s="74"/>
      <c r="R433" s="71"/>
      <c r="S433" s="72"/>
    </row>
    <row r="434" spans="1:19">
      <c r="A434" s="63"/>
      <c r="B434" s="67"/>
      <c r="C434" s="68"/>
      <c r="D434" s="69"/>
      <c r="E434" s="69"/>
      <c r="F434" s="70"/>
      <c r="G434" s="70"/>
      <c r="H434" s="71"/>
      <c r="I434" s="70"/>
      <c r="J434" s="67"/>
      <c r="K434" s="67"/>
      <c r="L434" s="67"/>
      <c r="M434" s="70"/>
      <c r="N434" s="72"/>
      <c r="O434" s="73"/>
      <c r="P434" s="74"/>
      <c r="Q434" s="74"/>
      <c r="R434" s="71"/>
      <c r="S434" s="72"/>
    </row>
    <row r="435" spans="1:19">
      <c r="A435" s="63"/>
      <c r="B435" s="67"/>
      <c r="C435" s="68"/>
      <c r="D435" s="69"/>
      <c r="E435" s="69"/>
      <c r="F435" s="70"/>
      <c r="G435" s="70"/>
      <c r="H435" s="71"/>
      <c r="I435" s="70"/>
      <c r="J435" s="67"/>
      <c r="K435" s="67"/>
      <c r="L435" s="67"/>
      <c r="M435" s="70"/>
      <c r="N435" s="72"/>
      <c r="O435" s="73"/>
      <c r="P435" s="74"/>
      <c r="Q435" s="74"/>
      <c r="R435" s="71"/>
      <c r="S435" s="72"/>
    </row>
    <row r="436" spans="1:19">
      <c r="A436" s="63"/>
      <c r="B436" s="67"/>
      <c r="C436" s="68"/>
      <c r="D436" s="69"/>
      <c r="E436" s="69"/>
      <c r="F436" s="70"/>
      <c r="G436" s="70"/>
      <c r="H436" s="71"/>
      <c r="I436" s="70"/>
      <c r="J436" s="67"/>
      <c r="K436" s="67"/>
      <c r="L436" s="67"/>
      <c r="M436" s="70"/>
      <c r="N436" s="72"/>
      <c r="O436" s="73"/>
      <c r="P436" s="74"/>
      <c r="Q436" s="74"/>
      <c r="R436" s="71"/>
      <c r="S436" s="72"/>
    </row>
    <row r="437" spans="1:19">
      <c r="A437" s="63"/>
      <c r="B437" s="67"/>
      <c r="C437" s="68"/>
      <c r="D437" s="69"/>
      <c r="E437" s="69"/>
      <c r="F437" s="70"/>
      <c r="G437" s="70"/>
      <c r="H437" s="71"/>
      <c r="I437" s="70"/>
      <c r="J437" s="67"/>
      <c r="K437" s="67"/>
      <c r="L437" s="67"/>
      <c r="M437" s="70"/>
      <c r="N437" s="72"/>
      <c r="O437" s="73"/>
      <c r="P437" s="74"/>
      <c r="Q437" s="74"/>
      <c r="R437" s="71"/>
      <c r="S437" s="72"/>
    </row>
    <row r="438" spans="1:19">
      <c r="A438" s="63"/>
      <c r="B438" s="67"/>
      <c r="C438" s="68"/>
      <c r="D438" s="69"/>
      <c r="E438" s="69"/>
      <c r="F438" s="70"/>
      <c r="G438" s="70"/>
      <c r="H438" s="71"/>
      <c r="I438" s="70"/>
      <c r="J438" s="67"/>
      <c r="K438" s="67"/>
      <c r="L438" s="67"/>
      <c r="M438" s="70"/>
      <c r="N438" s="72"/>
      <c r="O438" s="73"/>
      <c r="P438" s="74"/>
      <c r="Q438" s="74"/>
      <c r="R438" s="71"/>
      <c r="S438" s="72"/>
    </row>
    <row r="439" spans="1:19">
      <c r="A439" s="63"/>
      <c r="B439" s="67"/>
      <c r="C439" s="68"/>
      <c r="D439" s="69"/>
      <c r="E439" s="69"/>
      <c r="F439" s="70"/>
      <c r="G439" s="70"/>
      <c r="H439" s="71"/>
      <c r="I439" s="70"/>
      <c r="J439" s="67"/>
      <c r="K439" s="67"/>
      <c r="L439" s="67"/>
      <c r="M439" s="70"/>
      <c r="N439" s="72"/>
      <c r="O439" s="73"/>
      <c r="P439" s="74"/>
      <c r="Q439" s="74"/>
      <c r="R439" s="71"/>
      <c r="S439" s="72"/>
    </row>
    <row r="440" spans="1:19">
      <c r="A440" s="63"/>
      <c r="B440" s="67"/>
      <c r="C440" s="68"/>
      <c r="D440" s="69"/>
      <c r="E440" s="69"/>
      <c r="F440" s="70"/>
      <c r="G440" s="70"/>
      <c r="H440" s="71"/>
      <c r="I440" s="70"/>
      <c r="J440" s="67"/>
      <c r="K440" s="67"/>
      <c r="L440" s="67"/>
      <c r="M440" s="70"/>
      <c r="N440" s="72"/>
      <c r="O440" s="73"/>
      <c r="P440" s="74"/>
      <c r="Q440" s="74"/>
      <c r="R440" s="71"/>
      <c r="S440" s="72"/>
    </row>
    <row r="441" spans="1:19">
      <c r="A441" s="63"/>
      <c r="B441" s="67"/>
      <c r="C441" s="68"/>
      <c r="D441" s="69"/>
      <c r="E441" s="69"/>
      <c r="F441" s="70"/>
      <c r="G441" s="70"/>
      <c r="H441" s="71"/>
      <c r="I441" s="70"/>
      <c r="J441" s="67"/>
      <c r="K441" s="67"/>
      <c r="L441" s="67"/>
      <c r="M441" s="70"/>
      <c r="N441" s="72"/>
      <c r="O441" s="73"/>
      <c r="P441" s="74"/>
      <c r="Q441" s="74"/>
      <c r="R441" s="71"/>
      <c r="S441" s="72"/>
    </row>
    <row r="442" spans="1:19">
      <c r="A442" s="63"/>
      <c r="B442" s="67"/>
      <c r="C442" s="68"/>
      <c r="D442" s="69"/>
      <c r="E442" s="69"/>
      <c r="F442" s="70"/>
      <c r="G442" s="70"/>
      <c r="H442" s="71"/>
      <c r="I442" s="70"/>
      <c r="J442" s="67"/>
      <c r="K442" s="67"/>
      <c r="L442" s="67"/>
      <c r="M442" s="70"/>
      <c r="N442" s="72"/>
      <c r="O442" s="73"/>
      <c r="P442" s="74"/>
      <c r="Q442" s="74"/>
      <c r="R442" s="71"/>
      <c r="S442" s="72"/>
    </row>
    <row r="443" spans="1:19">
      <c r="A443" s="63"/>
      <c r="B443" s="67"/>
      <c r="C443" s="68"/>
      <c r="D443" s="69"/>
      <c r="E443" s="69"/>
      <c r="F443" s="70"/>
      <c r="G443" s="70"/>
      <c r="H443" s="71"/>
      <c r="I443" s="70"/>
      <c r="J443" s="67"/>
      <c r="K443" s="67"/>
      <c r="L443" s="67"/>
      <c r="M443" s="70"/>
      <c r="N443" s="72"/>
      <c r="O443" s="73"/>
      <c r="P443" s="74"/>
      <c r="Q443" s="74"/>
      <c r="R443" s="71"/>
      <c r="S443" s="72"/>
    </row>
    <row r="444" spans="1:19">
      <c r="A444" s="63"/>
      <c r="B444" s="67"/>
      <c r="C444" s="68"/>
      <c r="D444" s="69"/>
      <c r="E444" s="69"/>
      <c r="F444" s="70"/>
      <c r="G444" s="70"/>
      <c r="H444" s="71"/>
      <c r="I444" s="70"/>
      <c r="J444" s="67"/>
      <c r="K444" s="67"/>
      <c r="L444" s="67"/>
      <c r="M444" s="70"/>
      <c r="N444" s="72"/>
      <c r="O444" s="73"/>
      <c r="P444" s="74"/>
      <c r="Q444" s="74"/>
      <c r="R444" s="71"/>
      <c r="S444" s="72"/>
    </row>
    <row r="445" spans="1:19">
      <c r="A445" s="63"/>
      <c r="B445" s="67"/>
      <c r="C445" s="68"/>
      <c r="D445" s="69"/>
      <c r="E445" s="69"/>
      <c r="F445" s="70"/>
      <c r="G445" s="70"/>
      <c r="H445" s="71"/>
      <c r="I445" s="70"/>
      <c r="J445" s="67"/>
      <c r="K445" s="67"/>
      <c r="L445" s="67"/>
      <c r="M445" s="70"/>
      <c r="N445" s="72"/>
      <c r="O445" s="73"/>
      <c r="P445" s="74"/>
      <c r="Q445" s="74"/>
      <c r="R445" s="71"/>
      <c r="S445" s="72"/>
    </row>
    <row r="446" spans="1:19">
      <c r="A446" s="63"/>
      <c r="B446" s="67"/>
      <c r="C446" s="68"/>
      <c r="D446" s="69"/>
      <c r="E446" s="69"/>
      <c r="F446" s="70"/>
      <c r="G446" s="70"/>
      <c r="H446" s="71"/>
      <c r="I446" s="70"/>
      <c r="J446" s="67"/>
      <c r="K446" s="67"/>
      <c r="L446" s="67"/>
      <c r="M446" s="70"/>
      <c r="N446" s="72"/>
      <c r="O446" s="73"/>
      <c r="P446" s="74"/>
      <c r="Q446" s="74"/>
      <c r="R446" s="71"/>
      <c r="S446" s="72"/>
    </row>
    <row r="447" spans="1:19">
      <c r="A447" s="63"/>
      <c r="B447" s="67"/>
      <c r="C447" s="68"/>
      <c r="D447" s="69"/>
      <c r="E447" s="69"/>
      <c r="F447" s="70"/>
      <c r="G447" s="70"/>
      <c r="H447" s="71"/>
      <c r="I447" s="70"/>
      <c r="J447" s="67"/>
      <c r="K447" s="67"/>
      <c r="L447" s="67"/>
      <c r="M447" s="70"/>
      <c r="N447" s="72"/>
      <c r="O447" s="73"/>
      <c r="P447" s="74"/>
      <c r="Q447" s="74"/>
      <c r="R447" s="71"/>
      <c r="S447" s="72"/>
    </row>
    <row r="448" spans="1:19">
      <c r="A448" s="63"/>
      <c r="B448" s="67"/>
      <c r="C448" s="68"/>
      <c r="D448" s="69"/>
      <c r="E448" s="69"/>
      <c r="F448" s="70"/>
      <c r="G448" s="70"/>
      <c r="H448" s="71"/>
      <c r="I448" s="70"/>
      <c r="J448" s="67"/>
      <c r="K448" s="67"/>
      <c r="L448" s="67"/>
      <c r="M448" s="70"/>
      <c r="N448" s="72"/>
      <c r="O448" s="73"/>
      <c r="P448" s="74"/>
      <c r="Q448" s="74"/>
      <c r="R448" s="71"/>
      <c r="S448" s="72"/>
    </row>
    <row r="449" spans="1:19">
      <c r="A449" s="63"/>
      <c r="B449" s="67"/>
      <c r="C449" s="68"/>
      <c r="D449" s="69"/>
      <c r="E449" s="69"/>
      <c r="F449" s="70"/>
      <c r="G449" s="70"/>
      <c r="H449" s="71"/>
      <c r="I449" s="70"/>
      <c r="J449" s="67"/>
      <c r="K449" s="67"/>
      <c r="L449" s="67"/>
      <c r="M449" s="70"/>
      <c r="N449" s="72"/>
      <c r="O449" s="73"/>
      <c r="P449" s="74"/>
      <c r="Q449" s="74"/>
      <c r="R449" s="71"/>
      <c r="S449" s="72"/>
    </row>
    <row r="450" spans="1:19">
      <c r="A450" s="63"/>
      <c r="B450" s="67"/>
      <c r="C450" s="68"/>
      <c r="D450" s="69"/>
      <c r="E450" s="69"/>
      <c r="F450" s="70"/>
      <c r="G450" s="70"/>
      <c r="H450" s="71"/>
      <c r="I450" s="70"/>
      <c r="J450" s="67"/>
      <c r="K450" s="67"/>
      <c r="L450" s="67"/>
      <c r="M450" s="70"/>
      <c r="N450" s="72"/>
      <c r="O450" s="73"/>
      <c r="P450" s="74"/>
      <c r="Q450" s="74"/>
      <c r="R450" s="71"/>
      <c r="S450" s="72"/>
    </row>
    <row r="451" spans="1:19">
      <c r="A451" s="63"/>
      <c r="B451" s="67"/>
      <c r="C451" s="68"/>
      <c r="D451" s="69"/>
      <c r="E451" s="69"/>
      <c r="F451" s="70"/>
      <c r="G451" s="70"/>
      <c r="H451" s="71"/>
      <c r="I451" s="70"/>
      <c r="J451" s="67"/>
      <c r="K451" s="67"/>
      <c r="L451" s="67"/>
      <c r="M451" s="70"/>
      <c r="N451" s="72"/>
      <c r="O451" s="73"/>
      <c r="P451" s="74"/>
      <c r="Q451" s="74"/>
      <c r="R451" s="71"/>
      <c r="S451" s="72"/>
    </row>
    <row r="452" spans="1:19">
      <c r="A452" s="63"/>
      <c r="B452" s="67"/>
      <c r="C452" s="68"/>
      <c r="D452" s="69"/>
      <c r="E452" s="69"/>
      <c r="F452" s="70"/>
      <c r="G452" s="70"/>
      <c r="H452" s="71"/>
      <c r="I452" s="70"/>
      <c r="J452" s="67"/>
      <c r="K452" s="67"/>
      <c r="L452" s="67"/>
      <c r="M452" s="70"/>
      <c r="N452" s="72"/>
      <c r="O452" s="73"/>
      <c r="P452" s="74"/>
      <c r="Q452" s="74"/>
      <c r="R452" s="71"/>
      <c r="S452" s="72"/>
    </row>
    <row r="453" spans="1:19">
      <c r="A453" s="63"/>
      <c r="B453" s="67"/>
      <c r="C453" s="68"/>
      <c r="D453" s="69"/>
      <c r="E453" s="69"/>
      <c r="F453" s="70"/>
      <c r="G453" s="70"/>
      <c r="H453" s="71"/>
      <c r="I453" s="70"/>
      <c r="J453" s="67"/>
      <c r="K453" s="67"/>
      <c r="L453" s="67"/>
      <c r="M453" s="70"/>
      <c r="N453" s="72"/>
      <c r="O453" s="73"/>
      <c r="P453" s="74"/>
      <c r="Q453" s="74"/>
      <c r="R453" s="71"/>
      <c r="S453" s="72"/>
    </row>
    <row r="454" spans="1:19">
      <c r="A454" s="63"/>
      <c r="B454" s="67"/>
      <c r="C454" s="68"/>
      <c r="D454" s="69"/>
      <c r="E454" s="69"/>
      <c r="F454" s="70"/>
      <c r="G454" s="70"/>
      <c r="H454" s="71"/>
      <c r="I454" s="70"/>
      <c r="J454" s="67"/>
      <c r="K454" s="67"/>
      <c r="L454" s="67"/>
      <c r="M454" s="70"/>
      <c r="N454" s="72"/>
      <c r="O454" s="73"/>
      <c r="P454" s="74"/>
      <c r="Q454" s="74"/>
      <c r="R454" s="71"/>
      <c r="S454" s="72"/>
    </row>
    <row r="455" spans="1:19">
      <c r="A455" s="63"/>
      <c r="B455" s="67"/>
      <c r="C455" s="68"/>
      <c r="D455" s="69"/>
      <c r="E455" s="69"/>
      <c r="F455" s="70"/>
      <c r="G455" s="70"/>
      <c r="H455" s="71"/>
      <c r="I455" s="70"/>
      <c r="J455" s="67"/>
      <c r="K455" s="67"/>
      <c r="L455" s="67"/>
      <c r="M455" s="70"/>
      <c r="N455" s="72"/>
      <c r="O455" s="73"/>
      <c r="P455" s="74"/>
      <c r="Q455" s="74"/>
      <c r="R455" s="71"/>
      <c r="S455" s="72"/>
    </row>
    <row r="456" spans="1:19">
      <c r="A456" s="63"/>
      <c r="B456" s="67"/>
      <c r="C456" s="68"/>
      <c r="D456" s="69"/>
      <c r="E456" s="69"/>
      <c r="F456" s="70"/>
      <c r="G456" s="70"/>
      <c r="H456" s="71"/>
      <c r="I456" s="70"/>
      <c r="J456" s="67"/>
      <c r="K456" s="67"/>
      <c r="L456" s="67"/>
      <c r="M456" s="70"/>
      <c r="N456" s="72"/>
      <c r="O456" s="73"/>
      <c r="P456" s="74"/>
      <c r="Q456" s="74"/>
      <c r="R456" s="71"/>
      <c r="S456" s="72"/>
    </row>
    <row r="457" spans="1:19">
      <c r="A457" s="63"/>
      <c r="B457" s="67"/>
      <c r="C457" s="68"/>
      <c r="D457" s="69"/>
      <c r="E457" s="69"/>
      <c r="F457" s="70"/>
      <c r="G457" s="70"/>
      <c r="H457" s="71"/>
      <c r="I457" s="70"/>
      <c r="J457" s="67"/>
      <c r="K457" s="67"/>
      <c r="L457" s="67"/>
      <c r="M457" s="70"/>
      <c r="N457" s="72"/>
      <c r="O457" s="73"/>
      <c r="P457" s="74"/>
      <c r="Q457" s="74"/>
      <c r="R457" s="71"/>
      <c r="S457" s="72"/>
    </row>
    <row r="458" spans="1:19">
      <c r="A458" s="63"/>
      <c r="B458" s="67"/>
      <c r="C458" s="68"/>
      <c r="D458" s="69"/>
      <c r="E458" s="69"/>
      <c r="F458" s="70"/>
      <c r="G458" s="70"/>
      <c r="H458" s="71"/>
      <c r="I458" s="70"/>
      <c r="J458" s="67"/>
      <c r="K458" s="67"/>
      <c r="L458" s="67"/>
      <c r="M458" s="70"/>
      <c r="N458" s="72"/>
      <c r="O458" s="73"/>
      <c r="P458" s="74"/>
      <c r="Q458" s="74"/>
      <c r="R458" s="71"/>
      <c r="S458" s="72"/>
    </row>
    <row r="459" spans="1:19">
      <c r="A459" s="63"/>
      <c r="B459" s="67"/>
      <c r="C459" s="68"/>
      <c r="D459" s="69"/>
      <c r="E459" s="69"/>
      <c r="F459" s="70"/>
      <c r="G459" s="70"/>
      <c r="H459" s="71"/>
      <c r="I459" s="70"/>
      <c r="J459" s="67"/>
      <c r="K459" s="67"/>
      <c r="L459" s="67"/>
      <c r="M459" s="70"/>
      <c r="N459" s="72"/>
      <c r="O459" s="73"/>
      <c r="P459" s="74"/>
      <c r="Q459" s="74"/>
      <c r="R459" s="71"/>
      <c r="S459" s="72"/>
    </row>
    <row r="460" spans="1:19">
      <c r="A460" s="63"/>
      <c r="B460" s="67"/>
      <c r="C460" s="68"/>
      <c r="D460" s="69"/>
      <c r="E460" s="69"/>
      <c r="F460" s="70"/>
      <c r="G460" s="70"/>
      <c r="H460" s="71"/>
      <c r="I460" s="70"/>
      <c r="J460" s="67"/>
      <c r="K460" s="67"/>
      <c r="L460" s="67"/>
      <c r="M460" s="70"/>
      <c r="N460" s="72"/>
      <c r="O460" s="73"/>
      <c r="P460" s="74"/>
      <c r="Q460" s="74"/>
      <c r="R460" s="71"/>
      <c r="S460" s="72"/>
    </row>
    <row r="461" spans="1:19">
      <c r="A461" s="63"/>
      <c r="B461" s="67"/>
      <c r="C461" s="68"/>
      <c r="D461" s="69"/>
      <c r="E461" s="69"/>
      <c r="F461" s="70"/>
      <c r="G461" s="70"/>
      <c r="H461" s="71"/>
      <c r="I461" s="70"/>
      <c r="J461" s="67"/>
      <c r="K461" s="67"/>
      <c r="L461" s="67"/>
      <c r="M461" s="70"/>
      <c r="N461" s="72"/>
      <c r="O461" s="73"/>
      <c r="P461" s="74"/>
      <c r="Q461" s="74"/>
      <c r="R461" s="71"/>
      <c r="S461" s="72"/>
    </row>
    <row r="462" spans="1:19">
      <c r="A462" s="63"/>
      <c r="B462" s="67"/>
      <c r="C462" s="68"/>
      <c r="D462" s="69"/>
      <c r="E462" s="69"/>
      <c r="F462" s="70"/>
      <c r="G462" s="70"/>
      <c r="H462" s="71"/>
      <c r="I462" s="70"/>
      <c r="J462" s="67"/>
      <c r="K462" s="67"/>
      <c r="L462" s="67"/>
      <c r="M462" s="70"/>
      <c r="N462" s="72"/>
      <c r="O462" s="73"/>
      <c r="P462" s="74"/>
      <c r="Q462" s="74"/>
      <c r="R462" s="71"/>
      <c r="S462" s="72"/>
    </row>
    <row r="463" spans="1:19">
      <c r="A463" s="63"/>
      <c r="B463" s="67"/>
      <c r="C463" s="68"/>
      <c r="D463" s="69"/>
      <c r="E463" s="69"/>
      <c r="F463" s="70"/>
      <c r="G463" s="70"/>
      <c r="H463" s="71"/>
      <c r="I463" s="70"/>
      <c r="J463" s="67"/>
      <c r="K463" s="67"/>
      <c r="L463" s="67"/>
      <c r="M463" s="70"/>
      <c r="N463" s="72"/>
      <c r="O463" s="73"/>
      <c r="P463" s="74"/>
      <c r="Q463" s="74"/>
      <c r="R463" s="71"/>
      <c r="S463" s="72"/>
    </row>
    <row r="464" spans="1:19">
      <c r="A464" s="63"/>
      <c r="B464" s="67"/>
      <c r="C464" s="68"/>
      <c r="D464" s="69"/>
      <c r="E464" s="69"/>
      <c r="F464" s="70"/>
      <c r="G464" s="70"/>
      <c r="H464" s="71"/>
      <c r="I464" s="70"/>
      <c r="J464" s="67"/>
      <c r="K464" s="67"/>
      <c r="L464" s="67"/>
      <c r="M464" s="70"/>
      <c r="N464" s="72"/>
      <c r="O464" s="73"/>
      <c r="P464" s="74"/>
      <c r="Q464" s="74"/>
      <c r="R464" s="71"/>
      <c r="S464" s="72"/>
    </row>
    <row r="465" spans="1:19">
      <c r="A465" s="63"/>
      <c r="B465" s="67"/>
      <c r="C465" s="68"/>
      <c r="D465" s="69"/>
      <c r="E465" s="69"/>
      <c r="F465" s="70"/>
      <c r="G465" s="70"/>
      <c r="H465" s="71"/>
      <c r="I465" s="70"/>
      <c r="J465" s="67"/>
      <c r="K465" s="67"/>
      <c r="L465" s="67"/>
      <c r="M465" s="70"/>
      <c r="N465" s="72"/>
      <c r="O465" s="73"/>
      <c r="P465" s="74"/>
      <c r="Q465" s="74"/>
      <c r="R465" s="71"/>
      <c r="S465" s="72"/>
    </row>
    <row r="466" spans="1:19">
      <c r="A466" s="63"/>
      <c r="B466" s="67"/>
      <c r="C466" s="68"/>
      <c r="D466" s="69"/>
      <c r="E466" s="69"/>
      <c r="F466" s="70"/>
      <c r="G466" s="70"/>
      <c r="H466" s="71"/>
      <c r="I466" s="70"/>
      <c r="J466" s="67"/>
      <c r="K466" s="67"/>
      <c r="L466" s="67"/>
      <c r="M466" s="70"/>
      <c r="N466" s="72"/>
      <c r="O466" s="73"/>
      <c r="P466" s="74"/>
      <c r="Q466" s="74"/>
      <c r="R466" s="71"/>
      <c r="S466" s="72"/>
    </row>
    <row r="467" spans="1:19">
      <c r="A467" s="63"/>
      <c r="B467" s="67"/>
      <c r="C467" s="68"/>
      <c r="D467" s="69"/>
      <c r="E467" s="69"/>
      <c r="F467" s="70"/>
      <c r="G467" s="70"/>
      <c r="H467" s="71"/>
      <c r="I467" s="70"/>
      <c r="J467" s="67"/>
      <c r="K467" s="67"/>
      <c r="L467" s="67"/>
      <c r="M467" s="70"/>
      <c r="N467" s="72"/>
      <c r="O467" s="73"/>
      <c r="P467" s="74"/>
      <c r="Q467" s="74"/>
      <c r="R467" s="71"/>
      <c r="S467" s="72"/>
    </row>
    <row r="468" spans="1:19">
      <c r="A468" s="63"/>
      <c r="B468" s="67"/>
      <c r="C468" s="68"/>
      <c r="D468" s="69"/>
      <c r="E468" s="69"/>
      <c r="F468" s="70"/>
      <c r="G468" s="70"/>
      <c r="H468" s="71"/>
      <c r="I468" s="70"/>
      <c r="J468" s="67"/>
      <c r="K468" s="67"/>
      <c r="L468" s="67"/>
      <c r="M468" s="70"/>
      <c r="N468" s="72"/>
      <c r="O468" s="73"/>
      <c r="P468" s="74"/>
      <c r="Q468" s="74"/>
      <c r="R468" s="71"/>
      <c r="S468" s="72"/>
    </row>
    <row r="469" spans="1:19">
      <c r="A469" s="63"/>
      <c r="B469" s="67"/>
      <c r="C469" s="68"/>
      <c r="D469" s="69"/>
      <c r="E469" s="69"/>
      <c r="F469" s="70"/>
      <c r="G469" s="70"/>
      <c r="H469" s="71"/>
      <c r="I469" s="70"/>
      <c r="J469" s="67"/>
      <c r="K469" s="67"/>
      <c r="L469" s="67"/>
      <c r="M469" s="70"/>
      <c r="N469" s="72"/>
      <c r="O469" s="73"/>
      <c r="P469" s="74"/>
      <c r="Q469" s="74"/>
      <c r="R469" s="71"/>
      <c r="S469" s="72"/>
    </row>
    <row r="470" spans="1:19">
      <c r="A470" s="63"/>
      <c r="B470" s="67"/>
      <c r="C470" s="68"/>
      <c r="D470" s="69"/>
      <c r="E470" s="69"/>
      <c r="F470" s="70"/>
      <c r="G470" s="70"/>
      <c r="H470" s="71"/>
      <c r="I470" s="70"/>
      <c r="J470" s="67"/>
      <c r="K470" s="67"/>
      <c r="L470" s="67"/>
      <c r="M470" s="70"/>
      <c r="N470" s="72"/>
      <c r="O470" s="73"/>
      <c r="P470" s="74"/>
      <c r="Q470" s="74"/>
      <c r="R470" s="71"/>
      <c r="S470" s="72"/>
    </row>
    <row r="471" spans="1:19">
      <c r="A471" s="63"/>
      <c r="B471" s="67"/>
      <c r="C471" s="68"/>
      <c r="D471" s="69"/>
      <c r="E471" s="69"/>
      <c r="F471" s="70"/>
      <c r="G471" s="70"/>
      <c r="H471" s="71"/>
      <c r="I471" s="70"/>
      <c r="J471" s="67"/>
      <c r="K471" s="67"/>
      <c r="L471" s="67"/>
      <c r="M471" s="70"/>
      <c r="N471" s="72"/>
      <c r="O471" s="73"/>
      <c r="P471" s="74"/>
      <c r="Q471" s="74"/>
      <c r="R471" s="71"/>
      <c r="S471" s="72"/>
    </row>
    <row r="472" spans="1:19">
      <c r="A472" s="63"/>
      <c r="B472" s="67"/>
      <c r="C472" s="68"/>
      <c r="D472" s="69"/>
      <c r="E472" s="69"/>
      <c r="F472" s="70"/>
      <c r="G472" s="70"/>
      <c r="H472" s="71"/>
      <c r="I472" s="70"/>
      <c r="J472" s="67"/>
      <c r="K472" s="67"/>
      <c r="L472" s="67"/>
      <c r="M472" s="70"/>
      <c r="N472" s="72"/>
      <c r="O472" s="73"/>
      <c r="P472" s="74"/>
      <c r="Q472" s="74"/>
      <c r="R472" s="71"/>
      <c r="S472" s="72"/>
    </row>
    <row r="473" spans="1:19">
      <c r="A473" s="63"/>
      <c r="B473" s="67"/>
      <c r="C473" s="68"/>
      <c r="D473" s="69"/>
      <c r="E473" s="69"/>
      <c r="F473" s="70"/>
      <c r="G473" s="70"/>
      <c r="H473" s="71"/>
      <c r="I473" s="70"/>
      <c r="J473" s="67"/>
      <c r="K473" s="67"/>
      <c r="L473" s="67"/>
      <c r="M473" s="70"/>
      <c r="N473" s="72"/>
      <c r="O473" s="73"/>
      <c r="P473" s="74"/>
      <c r="Q473" s="74"/>
      <c r="R473" s="71"/>
      <c r="S473" s="72"/>
    </row>
    <row r="474" spans="1:19">
      <c r="A474" s="63"/>
      <c r="B474" s="67"/>
      <c r="C474" s="68"/>
      <c r="D474" s="69"/>
      <c r="E474" s="69"/>
      <c r="F474" s="70"/>
      <c r="G474" s="70"/>
      <c r="H474" s="71"/>
      <c r="I474" s="70"/>
      <c r="J474" s="67"/>
      <c r="K474" s="67"/>
      <c r="L474" s="67"/>
      <c r="M474" s="70"/>
      <c r="N474" s="72"/>
      <c r="O474" s="73"/>
      <c r="P474" s="74"/>
      <c r="Q474" s="74"/>
      <c r="R474" s="71"/>
      <c r="S474" s="72"/>
    </row>
    <row r="475" spans="1:19">
      <c r="A475" s="63"/>
      <c r="B475" s="67"/>
      <c r="C475" s="68"/>
      <c r="D475" s="69"/>
      <c r="E475" s="69"/>
      <c r="F475" s="70"/>
      <c r="G475" s="70"/>
      <c r="H475" s="71"/>
      <c r="I475" s="70"/>
      <c r="J475" s="67"/>
      <c r="K475" s="67"/>
      <c r="L475" s="67"/>
      <c r="M475" s="70"/>
      <c r="N475" s="72"/>
      <c r="O475" s="73"/>
      <c r="P475" s="74"/>
      <c r="Q475" s="74"/>
      <c r="R475" s="71"/>
      <c r="S475" s="72"/>
    </row>
    <row r="476" spans="1:19">
      <c r="A476" s="63"/>
      <c r="B476" s="67"/>
      <c r="C476" s="68"/>
      <c r="D476" s="69"/>
      <c r="E476" s="69"/>
      <c r="F476" s="70"/>
      <c r="G476" s="70"/>
      <c r="H476" s="71"/>
      <c r="I476" s="70"/>
      <c r="J476" s="67"/>
      <c r="K476" s="67"/>
      <c r="L476" s="67"/>
      <c r="M476" s="70"/>
      <c r="N476" s="72"/>
      <c r="O476" s="73"/>
      <c r="P476" s="74"/>
      <c r="Q476" s="74"/>
      <c r="R476" s="71"/>
      <c r="S476" s="72"/>
    </row>
    <row r="477" spans="1:19">
      <c r="A477" s="63"/>
      <c r="B477" s="67"/>
      <c r="C477" s="68"/>
      <c r="D477" s="69"/>
      <c r="E477" s="69"/>
      <c r="F477" s="70"/>
      <c r="G477" s="70"/>
      <c r="H477" s="71"/>
      <c r="I477" s="70"/>
      <c r="J477" s="67"/>
      <c r="K477" s="67"/>
      <c r="L477" s="67"/>
      <c r="M477" s="70"/>
      <c r="N477" s="72"/>
      <c r="O477" s="73"/>
      <c r="P477" s="74"/>
      <c r="Q477" s="74"/>
      <c r="R477" s="71"/>
      <c r="S477" s="72"/>
    </row>
    <row r="478" spans="1:19">
      <c r="A478" s="63"/>
      <c r="B478" s="67"/>
      <c r="C478" s="68"/>
      <c r="D478" s="69"/>
      <c r="E478" s="69"/>
      <c r="F478" s="70"/>
      <c r="G478" s="70"/>
      <c r="H478" s="71"/>
      <c r="I478" s="70"/>
      <c r="J478" s="67"/>
      <c r="K478" s="67"/>
      <c r="L478" s="67"/>
      <c r="M478" s="70"/>
      <c r="N478" s="72"/>
      <c r="O478" s="73"/>
      <c r="P478" s="74"/>
      <c r="Q478" s="74"/>
      <c r="R478" s="71"/>
      <c r="S478" s="72"/>
    </row>
    <row r="479" spans="1:19">
      <c r="A479" s="63"/>
      <c r="B479" s="67"/>
      <c r="C479" s="68"/>
      <c r="D479" s="69"/>
      <c r="E479" s="69"/>
      <c r="F479" s="70"/>
      <c r="G479" s="70"/>
      <c r="H479" s="71"/>
      <c r="I479" s="70"/>
      <c r="J479" s="67"/>
      <c r="K479" s="67"/>
      <c r="L479" s="67"/>
      <c r="M479" s="70"/>
      <c r="N479" s="72"/>
      <c r="O479" s="73"/>
      <c r="P479" s="74"/>
      <c r="Q479" s="74"/>
      <c r="R479" s="71"/>
      <c r="S479" s="72"/>
    </row>
    <row r="480" spans="1:19">
      <c r="A480" s="63"/>
      <c r="B480" s="67"/>
      <c r="C480" s="68"/>
      <c r="D480" s="69"/>
      <c r="E480" s="69"/>
      <c r="F480" s="70"/>
      <c r="G480" s="70"/>
      <c r="H480" s="71"/>
      <c r="I480" s="70"/>
      <c r="J480" s="67"/>
      <c r="K480" s="67"/>
      <c r="L480" s="67"/>
      <c r="M480" s="70"/>
      <c r="N480" s="72"/>
      <c r="O480" s="73"/>
      <c r="P480" s="74"/>
      <c r="Q480" s="74"/>
      <c r="R480" s="71"/>
      <c r="S480" s="72"/>
    </row>
    <row r="481" spans="1:19">
      <c r="A481" s="63"/>
      <c r="B481" s="67"/>
      <c r="C481" s="68"/>
      <c r="D481" s="69"/>
      <c r="E481" s="69"/>
      <c r="F481" s="70"/>
      <c r="G481" s="70"/>
      <c r="H481" s="71"/>
      <c r="I481" s="70"/>
      <c r="J481" s="67"/>
      <c r="K481" s="67"/>
      <c r="L481" s="67"/>
      <c r="M481" s="70"/>
      <c r="N481" s="72"/>
      <c r="O481" s="73"/>
      <c r="P481" s="74"/>
      <c r="Q481" s="74"/>
      <c r="R481" s="71"/>
      <c r="S481" s="72"/>
    </row>
    <row r="482" spans="1:19">
      <c r="A482" s="63"/>
      <c r="B482" s="67"/>
      <c r="C482" s="68"/>
      <c r="D482" s="69"/>
      <c r="E482" s="69"/>
      <c r="F482" s="70"/>
      <c r="G482" s="70"/>
      <c r="H482" s="71"/>
      <c r="I482" s="70"/>
      <c r="J482" s="67"/>
      <c r="K482" s="67"/>
      <c r="L482" s="67"/>
      <c r="M482" s="70"/>
      <c r="N482" s="72"/>
      <c r="O482" s="73"/>
      <c r="P482" s="74"/>
      <c r="Q482" s="74"/>
      <c r="R482" s="71"/>
      <c r="S482" s="72"/>
    </row>
    <row r="483" spans="1:19">
      <c r="A483" s="63"/>
      <c r="B483" s="67"/>
      <c r="C483" s="68"/>
      <c r="D483" s="69"/>
      <c r="E483" s="69"/>
      <c r="F483" s="70"/>
      <c r="G483" s="70"/>
      <c r="H483" s="71"/>
      <c r="I483" s="70"/>
      <c r="J483" s="67"/>
      <c r="K483" s="67"/>
      <c r="L483" s="67"/>
      <c r="M483" s="70"/>
      <c r="N483" s="72"/>
      <c r="O483" s="73"/>
      <c r="P483" s="74"/>
      <c r="Q483" s="74"/>
      <c r="R483" s="71"/>
      <c r="S483" s="72"/>
    </row>
    <row r="484" spans="1:19">
      <c r="A484" s="63"/>
      <c r="B484" s="67"/>
      <c r="C484" s="68"/>
      <c r="D484" s="69"/>
      <c r="E484" s="69"/>
      <c r="F484" s="70"/>
      <c r="G484" s="70"/>
      <c r="H484" s="71"/>
      <c r="I484" s="70"/>
      <c r="J484" s="67"/>
      <c r="K484" s="67"/>
      <c r="L484" s="67"/>
      <c r="M484" s="70"/>
      <c r="N484" s="72"/>
      <c r="O484" s="73"/>
      <c r="P484" s="74"/>
      <c r="Q484" s="74"/>
      <c r="R484" s="71"/>
      <c r="S484" s="72"/>
    </row>
    <row r="485" spans="1:19">
      <c r="A485" s="63"/>
      <c r="B485" s="67"/>
      <c r="C485" s="68"/>
      <c r="D485" s="69"/>
      <c r="E485" s="69"/>
      <c r="F485" s="70"/>
      <c r="G485" s="70"/>
      <c r="H485" s="71"/>
      <c r="I485" s="70"/>
      <c r="J485" s="67"/>
      <c r="K485" s="67"/>
      <c r="L485" s="67"/>
      <c r="M485" s="70"/>
      <c r="N485" s="72"/>
      <c r="O485" s="73"/>
      <c r="P485" s="74"/>
      <c r="Q485" s="74"/>
      <c r="R485" s="71"/>
      <c r="S485" s="72"/>
    </row>
    <row r="486" spans="1:19">
      <c r="A486" s="63"/>
      <c r="B486" s="67"/>
      <c r="C486" s="68"/>
      <c r="D486" s="69"/>
      <c r="E486" s="69"/>
      <c r="F486" s="70"/>
      <c r="G486" s="70"/>
      <c r="H486" s="71"/>
      <c r="I486" s="70"/>
      <c r="J486" s="67"/>
      <c r="K486" s="67"/>
      <c r="L486" s="67"/>
      <c r="M486" s="70"/>
      <c r="N486" s="72"/>
      <c r="O486" s="73"/>
      <c r="P486" s="74"/>
      <c r="Q486" s="74"/>
      <c r="R486" s="71"/>
      <c r="S486" s="72"/>
    </row>
    <row r="487" spans="1:19">
      <c r="A487" s="63"/>
      <c r="B487" s="67"/>
      <c r="C487" s="68"/>
      <c r="D487" s="69"/>
      <c r="E487" s="69"/>
      <c r="F487" s="70"/>
      <c r="G487" s="70"/>
      <c r="H487" s="71"/>
      <c r="I487" s="70"/>
      <c r="J487" s="67"/>
      <c r="K487" s="67"/>
      <c r="L487" s="67"/>
      <c r="M487" s="70"/>
      <c r="N487" s="72"/>
      <c r="O487" s="73"/>
      <c r="P487" s="74"/>
      <c r="Q487" s="74"/>
      <c r="R487" s="71"/>
      <c r="S487" s="72"/>
    </row>
    <row r="488" spans="1:19">
      <c r="A488" s="63"/>
      <c r="B488" s="67"/>
      <c r="C488" s="68"/>
      <c r="D488" s="69"/>
      <c r="E488" s="69"/>
      <c r="F488" s="70"/>
      <c r="G488" s="70"/>
      <c r="H488" s="71"/>
      <c r="I488" s="70"/>
      <c r="J488" s="67"/>
      <c r="K488" s="67"/>
      <c r="L488" s="67"/>
      <c r="M488" s="70"/>
      <c r="N488" s="72"/>
      <c r="O488" s="73"/>
      <c r="P488" s="74"/>
      <c r="Q488" s="74"/>
      <c r="R488" s="71"/>
      <c r="S488" s="72"/>
    </row>
    <row r="489" spans="1:19">
      <c r="A489" s="63"/>
      <c r="B489" s="67"/>
      <c r="C489" s="68"/>
      <c r="D489" s="69"/>
      <c r="E489" s="69"/>
      <c r="F489" s="70"/>
      <c r="G489" s="70"/>
      <c r="H489" s="71"/>
      <c r="I489" s="70"/>
      <c r="J489" s="67"/>
      <c r="K489" s="67"/>
      <c r="L489" s="67"/>
      <c r="M489" s="70"/>
      <c r="N489" s="72"/>
      <c r="O489" s="73"/>
      <c r="P489" s="74"/>
      <c r="Q489" s="74"/>
      <c r="R489" s="71"/>
      <c r="S489" s="72"/>
    </row>
    <row r="490" spans="1:19">
      <c r="A490" s="63"/>
      <c r="B490" s="67"/>
      <c r="C490" s="68"/>
      <c r="D490" s="69"/>
      <c r="E490" s="69"/>
      <c r="F490" s="70"/>
      <c r="G490" s="70"/>
      <c r="H490" s="71"/>
      <c r="I490" s="70"/>
      <c r="J490" s="67"/>
      <c r="K490" s="67"/>
      <c r="L490" s="67"/>
      <c r="M490" s="70"/>
      <c r="N490" s="72"/>
      <c r="O490" s="73"/>
      <c r="P490" s="74"/>
      <c r="Q490" s="74"/>
      <c r="R490" s="71"/>
      <c r="S490" s="72"/>
    </row>
    <row r="491" spans="1:19">
      <c r="A491" s="63"/>
      <c r="B491" s="67"/>
      <c r="C491" s="68"/>
      <c r="D491" s="69"/>
      <c r="E491" s="69"/>
      <c r="F491" s="70"/>
      <c r="G491" s="70"/>
      <c r="H491" s="71"/>
      <c r="I491" s="70"/>
      <c r="J491" s="67"/>
      <c r="K491" s="67"/>
      <c r="L491" s="67"/>
      <c r="M491" s="70"/>
      <c r="N491" s="72"/>
      <c r="O491" s="73"/>
      <c r="P491" s="74"/>
      <c r="Q491" s="74"/>
      <c r="R491" s="71"/>
      <c r="S491" s="72"/>
    </row>
    <row r="492" spans="1:19">
      <c r="A492" s="63"/>
      <c r="B492" s="67"/>
      <c r="C492" s="68"/>
      <c r="D492" s="69"/>
      <c r="E492" s="69"/>
      <c r="F492" s="70"/>
      <c r="G492" s="70"/>
      <c r="H492" s="71"/>
      <c r="I492" s="70"/>
      <c r="J492" s="67"/>
      <c r="K492" s="67"/>
      <c r="L492" s="67"/>
      <c r="M492" s="70"/>
      <c r="N492" s="72"/>
      <c r="O492" s="73"/>
      <c r="P492" s="74"/>
      <c r="Q492" s="74"/>
      <c r="R492" s="71"/>
      <c r="S492" s="72"/>
    </row>
    <row r="493" spans="1:19">
      <c r="A493" s="63"/>
      <c r="B493" s="67"/>
      <c r="C493" s="68"/>
      <c r="D493" s="69"/>
      <c r="E493" s="69"/>
      <c r="F493" s="70"/>
      <c r="G493" s="70"/>
      <c r="H493" s="71"/>
      <c r="I493" s="70"/>
      <c r="J493" s="67"/>
      <c r="K493" s="67"/>
      <c r="L493" s="67"/>
      <c r="M493" s="70"/>
      <c r="N493" s="72"/>
      <c r="O493" s="73"/>
      <c r="P493" s="74"/>
      <c r="Q493" s="74"/>
      <c r="R493" s="71"/>
      <c r="S493" s="72"/>
    </row>
    <row r="494" spans="1:19">
      <c r="A494" s="63"/>
      <c r="B494" s="67"/>
      <c r="C494" s="68"/>
      <c r="D494" s="69"/>
      <c r="E494" s="69"/>
      <c r="F494" s="70"/>
      <c r="G494" s="70"/>
      <c r="H494" s="71"/>
      <c r="I494" s="70"/>
      <c r="J494" s="67"/>
      <c r="K494" s="67"/>
      <c r="L494" s="67"/>
      <c r="M494" s="70"/>
      <c r="N494" s="72"/>
      <c r="O494" s="73"/>
      <c r="P494" s="74"/>
      <c r="Q494" s="74"/>
      <c r="R494" s="71"/>
      <c r="S494" s="72"/>
    </row>
    <row r="495" spans="1:19">
      <c r="A495" s="63"/>
      <c r="B495" s="67"/>
      <c r="C495" s="68"/>
      <c r="D495" s="69"/>
      <c r="E495" s="69"/>
      <c r="F495" s="70"/>
      <c r="G495" s="70"/>
      <c r="H495" s="71"/>
      <c r="I495" s="70"/>
      <c r="J495" s="67"/>
      <c r="K495" s="67"/>
      <c r="L495" s="67"/>
      <c r="M495" s="70"/>
      <c r="N495" s="72"/>
      <c r="O495" s="73"/>
      <c r="P495" s="74"/>
      <c r="Q495" s="74"/>
      <c r="R495" s="71"/>
      <c r="S495" s="72"/>
    </row>
    <row r="496" spans="1:19">
      <c r="A496" s="63"/>
      <c r="B496" s="67"/>
      <c r="C496" s="68"/>
      <c r="D496" s="69"/>
      <c r="E496" s="69"/>
      <c r="F496" s="70"/>
      <c r="G496" s="70"/>
      <c r="H496" s="71"/>
      <c r="I496" s="70"/>
      <c r="J496" s="67"/>
      <c r="K496" s="67"/>
      <c r="L496" s="67"/>
      <c r="M496" s="70"/>
      <c r="N496" s="72"/>
      <c r="O496" s="73"/>
      <c r="P496" s="74"/>
      <c r="Q496" s="74"/>
      <c r="R496" s="71"/>
      <c r="S496" s="72"/>
    </row>
    <row r="497" spans="1:19">
      <c r="A497" s="63"/>
      <c r="B497" s="67"/>
      <c r="C497" s="68"/>
      <c r="D497" s="69"/>
      <c r="E497" s="69"/>
      <c r="F497" s="70"/>
      <c r="G497" s="70"/>
      <c r="H497" s="71"/>
      <c r="I497" s="70"/>
      <c r="J497" s="67"/>
      <c r="K497" s="67"/>
      <c r="L497" s="67"/>
      <c r="M497" s="70"/>
      <c r="N497" s="72"/>
      <c r="O497" s="73"/>
      <c r="P497" s="74"/>
      <c r="Q497" s="74"/>
      <c r="R497" s="71"/>
      <c r="S497" s="72"/>
    </row>
    <row r="498" spans="1:19">
      <c r="A498" s="63"/>
      <c r="B498" s="67"/>
      <c r="C498" s="68"/>
      <c r="D498" s="69"/>
      <c r="E498" s="69"/>
      <c r="F498" s="70"/>
      <c r="G498" s="70"/>
      <c r="H498" s="71"/>
      <c r="I498" s="70"/>
      <c r="J498" s="67"/>
      <c r="K498" s="67"/>
      <c r="L498" s="67"/>
      <c r="M498" s="70"/>
      <c r="N498" s="72"/>
      <c r="O498" s="73"/>
      <c r="P498" s="74"/>
      <c r="Q498" s="74"/>
      <c r="R498" s="71"/>
      <c r="S498" s="72"/>
    </row>
    <row r="499" spans="1:19">
      <c r="A499" s="63"/>
      <c r="B499" s="67"/>
      <c r="C499" s="68"/>
      <c r="D499" s="69"/>
      <c r="E499" s="69"/>
      <c r="F499" s="70"/>
      <c r="G499" s="70"/>
      <c r="H499" s="71"/>
      <c r="I499" s="70"/>
      <c r="J499" s="67"/>
      <c r="K499" s="67"/>
      <c r="L499" s="67"/>
      <c r="M499" s="70"/>
      <c r="N499" s="72"/>
      <c r="O499" s="73"/>
      <c r="P499" s="74"/>
      <c r="Q499" s="74"/>
      <c r="R499" s="71"/>
      <c r="S499" s="72"/>
    </row>
    <row r="500" spans="1:19">
      <c r="A500" s="63"/>
      <c r="B500" s="67"/>
      <c r="C500" s="68"/>
      <c r="D500" s="69"/>
      <c r="E500" s="69"/>
      <c r="F500" s="70"/>
      <c r="G500" s="70"/>
      <c r="H500" s="71"/>
      <c r="I500" s="70"/>
      <c r="J500" s="67"/>
      <c r="K500" s="67"/>
      <c r="L500" s="67"/>
      <c r="M500" s="70"/>
      <c r="N500" s="72"/>
      <c r="O500" s="73"/>
      <c r="P500" s="74"/>
      <c r="Q500" s="74"/>
      <c r="R500" s="71"/>
      <c r="S500" s="72"/>
    </row>
    <row r="501" spans="1:19">
      <c r="A501" s="63"/>
      <c r="B501" s="67"/>
      <c r="C501" s="68"/>
      <c r="D501" s="69"/>
      <c r="E501" s="69"/>
      <c r="F501" s="70"/>
      <c r="G501" s="70"/>
      <c r="H501" s="71"/>
      <c r="I501" s="70"/>
      <c r="J501" s="67"/>
      <c r="K501" s="67"/>
      <c r="L501" s="67"/>
      <c r="M501" s="70"/>
      <c r="N501" s="72"/>
      <c r="O501" s="73"/>
      <c r="P501" s="74"/>
      <c r="Q501" s="74"/>
      <c r="R501" s="71"/>
      <c r="S501" s="72"/>
    </row>
    <row r="502" spans="1:19">
      <c r="A502" s="63"/>
      <c r="B502" s="67"/>
      <c r="C502" s="68"/>
      <c r="D502" s="69"/>
      <c r="E502" s="69"/>
      <c r="F502" s="70"/>
      <c r="G502" s="70"/>
      <c r="H502" s="71"/>
      <c r="I502" s="70"/>
      <c r="J502" s="67"/>
      <c r="K502" s="67"/>
      <c r="L502" s="67"/>
      <c r="M502" s="70"/>
      <c r="N502" s="72"/>
      <c r="O502" s="73"/>
      <c r="P502" s="74"/>
      <c r="Q502" s="74"/>
      <c r="R502" s="71"/>
      <c r="S502" s="72"/>
    </row>
    <row r="503" spans="1:19">
      <c r="A503" s="63"/>
      <c r="B503" s="67"/>
      <c r="C503" s="68"/>
      <c r="D503" s="69"/>
      <c r="E503" s="69"/>
      <c r="F503" s="70"/>
      <c r="G503" s="70"/>
      <c r="H503" s="71"/>
      <c r="I503" s="70"/>
      <c r="J503" s="67"/>
      <c r="K503" s="67"/>
      <c r="L503" s="67"/>
      <c r="M503" s="70"/>
      <c r="N503" s="72"/>
      <c r="O503" s="73"/>
      <c r="P503" s="74"/>
      <c r="Q503" s="74"/>
      <c r="R503" s="71"/>
      <c r="S503" s="72"/>
    </row>
    <row r="504" spans="1:19">
      <c r="A504" s="63"/>
      <c r="B504" s="67"/>
      <c r="C504" s="68"/>
      <c r="D504" s="69"/>
      <c r="E504" s="69"/>
      <c r="F504" s="70"/>
      <c r="G504" s="70"/>
      <c r="H504" s="71"/>
      <c r="I504" s="70"/>
      <c r="J504" s="67"/>
      <c r="K504" s="67"/>
      <c r="L504" s="67"/>
      <c r="M504" s="70"/>
      <c r="N504" s="72"/>
      <c r="O504" s="73"/>
      <c r="P504" s="74"/>
      <c r="Q504" s="74"/>
      <c r="R504" s="71"/>
      <c r="S504" s="72"/>
    </row>
    <row r="505" spans="1:19">
      <c r="A505" s="63"/>
      <c r="B505" s="67"/>
      <c r="C505" s="68"/>
      <c r="D505" s="69"/>
      <c r="E505" s="69"/>
      <c r="F505" s="70"/>
      <c r="G505" s="70"/>
      <c r="H505" s="71"/>
      <c r="I505" s="70"/>
      <c r="J505" s="67"/>
      <c r="K505" s="67"/>
      <c r="L505" s="67"/>
      <c r="M505" s="70"/>
      <c r="N505" s="72"/>
      <c r="O505" s="73"/>
      <c r="P505" s="74"/>
      <c r="Q505" s="74"/>
      <c r="R505" s="71"/>
      <c r="S505" s="72"/>
    </row>
    <row r="506" spans="1:19">
      <c r="A506" s="63"/>
      <c r="B506" s="67"/>
      <c r="C506" s="68"/>
      <c r="D506" s="69"/>
      <c r="E506" s="69"/>
      <c r="F506" s="70"/>
      <c r="G506" s="70"/>
      <c r="H506" s="71"/>
      <c r="I506" s="70"/>
      <c r="J506" s="67"/>
      <c r="K506" s="67"/>
      <c r="L506" s="67"/>
      <c r="M506" s="70"/>
      <c r="N506" s="72"/>
      <c r="O506" s="73"/>
      <c r="P506" s="74"/>
      <c r="Q506" s="74"/>
      <c r="R506" s="71"/>
      <c r="S506" s="72"/>
    </row>
    <row r="507" spans="1:19">
      <c r="A507" s="63"/>
      <c r="B507" s="67"/>
      <c r="C507" s="68"/>
      <c r="D507" s="69"/>
      <c r="E507" s="69"/>
      <c r="F507" s="70"/>
      <c r="G507" s="70"/>
      <c r="H507" s="71"/>
      <c r="I507" s="70"/>
      <c r="J507" s="67"/>
      <c r="K507" s="67"/>
      <c r="L507" s="67"/>
      <c r="M507" s="70"/>
      <c r="N507" s="72"/>
      <c r="O507" s="73"/>
      <c r="P507" s="74"/>
      <c r="Q507" s="74"/>
      <c r="R507" s="71"/>
      <c r="S507" s="72"/>
    </row>
    <row r="508" spans="1:19">
      <c r="A508" s="63"/>
      <c r="B508" s="67"/>
      <c r="C508" s="68"/>
      <c r="D508" s="69"/>
      <c r="E508" s="69"/>
      <c r="F508" s="70"/>
      <c r="G508" s="70"/>
      <c r="H508" s="71"/>
      <c r="I508" s="70"/>
      <c r="J508" s="67"/>
      <c r="K508" s="67"/>
      <c r="L508" s="67"/>
      <c r="M508" s="70"/>
      <c r="N508" s="72"/>
      <c r="O508" s="73"/>
      <c r="P508" s="74"/>
      <c r="Q508" s="74"/>
      <c r="R508" s="71"/>
      <c r="S508" s="72"/>
    </row>
    <row r="509" spans="1:19">
      <c r="A509" s="63"/>
      <c r="B509" s="67"/>
      <c r="C509" s="68"/>
      <c r="D509" s="69"/>
      <c r="E509" s="69"/>
      <c r="F509" s="70"/>
      <c r="G509" s="70"/>
      <c r="H509" s="71"/>
      <c r="I509" s="70"/>
      <c r="J509" s="67"/>
      <c r="K509" s="67"/>
      <c r="L509" s="67"/>
      <c r="M509" s="70"/>
      <c r="N509" s="72"/>
      <c r="O509" s="73"/>
      <c r="P509" s="74"/>
      <c r="Q509" s="74"/>
      <c r="R509" s="71"/>
      <c r="S509" s="72"/>
    </row>
    <row r="510" spans="1:19">
      <c r="A510" s="63"/>
      <c r="B510" s="67"/>
      <c r="C510" s="68"/>
      <c r="D510" s="69"/>
      <c r="E510" s="69"/>
      <c r="F510" s="70"/>
      <c r="G510" s="70"/>
      <c r="H510" s="71"/>
      <c r="I510" s="70"/>
      <c r="J510" s="67"/>
      <c r="K510" s="67"/>
      <c r="L510" s="67"/>
      <c r="M510" s="70"/>
      <c r="N510" s="72"/>
      <c r="O510" s="73"/>
      <c r="P510" s="74"/>
      <c r="Q510" s="74"/>
      <c r="R510" s="71"/>
      <c r="S510" s="72"/>
    </row>
    <row r="511" spans="1:19">
      <c r="A511" s="63"/>
      <c r="B511" s="67"/>
      <c r="C511" s="68"/>
      <c r="D511" s="69"/>
      <c r="E511" s="69"/>
      <c r="F511" s="70"/>
      <c r="G511" s="70"/>
      <c r="H511" s="71"/>
      <c r="I511" s="70"/>
      <c r="J511" s="67"/>
      <c r="K511" s="67"/>
      <c r="L511" s="67"/>
      <c r="M511" s="70"/>
      <c r="N511" s="72"/>
      <c r="O511" s="73"/>
      <c r="P511" s="74"/>
      <c r="Q511" s="74"/>
      <c r="R511" s="71"/>
      <c r="S511" s="72"/>
    </row>
    <row r="512" spans="1:19">
      <c r="A512" s="63"/>
      <c r="B512" s="67"/>
      <c r="C512" s="68"/>
      <c r="D512" s="69"/>
      <c r="E512" s="69"/>
      <c r="F512" s="70"/>
      <c r="G512" s="70"/>
      <c r="H512" s="71"/>
      <c r="I512" s="70"/>
      <c r="J512" s="67"/>
      <c r="K512" s="67"/>
      <c r="L512" s="67"/>
      <c r="M512" s="70"/>
      <c r="N512" s="72"/>
      <c r="O512" s="73"/>
      <c r="P512" s="74"/>
      <c r="Q512" s="74"/>
      <c r="R512" s="71"/>
      <c r="S512" s="72"/>
    </row>
    <row r="513" spans="1:19">
      <c r="A513" s="63"/>
      <c r="B513" s="67"/>
      <c r="C513" s="68"/>
      <c r="D513" s="69"/>
      <c r="E513" s="69"/>
      <c r="F513" s="70"/>
      <c r="G513" s="70"/>
      <c r="H513" s="71"/>
      <c r="I513" s="70"/>
      <c r="J513" s="67"/>
      <c r="K513" s="67"/>
      <c r="L513" s="67"/>
      <c r="M513" s="70"/>
      <c r="N513" s="72"/>
      <c r="O513" s="73"/>
      <c r="P513" s="74"/>
      <c r="Q513" s="74"/>
      <c r="R513" s="71"/>
      <c r="S513" s="72"/>
    </row>
    <row r="514" spans="1:19">
      <c r="A514" s="63"/>
      <c r="B514" s="67"/>
      <c r="C514" s="68"/>
      <c r="D514" s="69"/>
      <c r="E514" s="69"/>
      <c r="F514" s="70"/>
      <c r="G514" s="70"/>
      <c r="H514" s="71"/>
      <c r="I514" s="70"/>
      <c r="J514" s="67"/>
      <c r="K514" s="67"/>
      <c r="L514" s="67"/>
      <c r="M514" s="70"/>
      <c r="N514" s="72"/>
      <c r="O514" s="73"/>
      <c r="P514" s="74"/>
      <c r="Q514" s="74"/>
      <c r="R514" s="71"/>
      <c r="S514" s="72"/>
    </row>
    <row r="515" spans="1:19">
      <c r="A515" s="63"/>
      <c r="B515" s="67"/>
      <c r="C515" s="68"/>
      <c r="D515" s="69"/>
      <c r="E515" s="69"/>
      <c r="F515" s="70"/>
      <c r="G515" s="70"/>
      <c r="H515" s="71"/>
      <c r="I515" s="70"/>
      <c r="J515" s="67"/>
      <c r="K515" s="67"/>
      <c r="L515" s="67"/>
      <c r="M515" s="70"/>
      <c r="N515" s="72"/>
      <c r="O515" s="73"/>
      <c r="P515" s="74"/>
      <c r="Q515" s="74"/>
      <c r="R515" s="71"/>
      <c r="S515" s="72"/>
    </row>
    <row r="516" spans="1:19">
      <c r="A516" s="63"/>
      <c r="B516" s="67"/>
      <c r="C516" s="68"/>
      <c r="D516" s="69"/>
      <c r="E516" s="69"/>
      <c r="F516" s="70"/>
      <c r="G516" s="70"/>
      <c r="H516" s="71"/>
      <c r="I516" s="70"/>
      <c r="J516" s="67"/>
      <c r="K516" s="67"/>
      <c r="L516" s="67"/>
      <c r="M516" s="70"/>
      <c r="N516" s="72"/>
      <c r="O516" s="73"/>
      <c r="P516" s="74"/>
      <c r="Q516" s="74"/>
      <c r="R516" s="71"/>
      <c r="S516" s="72"/>
    </row>
    <row r="517" spans="1:19">
      <c r="A517" s="63"/>
      <c r="B517" s="67"/>
      <c r="C517" s="68"/>
      <c r="D517" s="69"/>
      <c r="E517" s="69"/>
      <c r="F517" s="70"/>
      <c r="G517" s="70"/>
      <c r="H517" s="71"/>
      <c r="I517" s="70"/>
      <c r="J517" s="67"/>
      <c r="K517" s="67"/>
      <c r="L517" s="67"/>
      <c r="M517" s="70"/>
      <c r="N517" s="72"/>
      <c r="O517" s="73"/>
      <c r="P517" s="74"/>
      <c r="Q517" s="74"/>
      <c r="R517" s="71"/>
      <c r="S517" s="72"/>
    </row>
    <row r="518" spans="1:19">
      <c r="A518" s="63"/>
      <c r="B518" s="67"/>
      <c r="C518" s="68"/>
      <c r="D518" s="69"/>
      <c r="E518" s="69"/>
      <c r="F518" s="70"/>
      <c r="G518" s="70"/>
      <c r="H518" s="71"/>
      <c r="I518" s="70"/>
      <c r="J518" s="67"/>
      <c r="K518" s="67"/>
      <c r="L518" s="67"/>
      <c r="M518" s="70"/>
      <c r="N518" s="72"/>
      <c r="O518" s="73"/>
      <c r="P518" s="74"/>
      <c r="Q518" s="74"/>
      <c r="R518" s="71"/>
      <c r="S518" s="72"/>
    </row>
    <row r="519" spans="1:19">
      <c r="A519" s="63"/>
      <c r="B519" s="67"/>
      <c r="C519" s="68"/>
      <c r="D519" s="69"/>
      <c r="E519" s="69"/>
      <c r="F519" s="70"/>
      <c r="G519" s="70"/>
      <c r="H519" s="71"/>
      <c r="I519" s="70"/>
      <c r="J519" s="67"/>
      <c r="K519" s="67"/>
      <c r="L519" s="67"/>
      <c r="M519" s="70"/>
      <c r="N519" s="72"/>
      <c r="O519" s="73"/>
      <c r="P519" s="74"/>
      <c r="Q519" s="74"/>
      <c r="R519" s="71"/>
      <c r="S519" s="72"/>
    </row>
    <row r="520" spans="1:19">
      <c r="A520" s="63"/>
      <c r="B520" s="67"/>
      <c r="C520" s="68"/>
      <c r="D520" s="69"/>
      <c r="E520" s="69"/>
      <c r="F520" s="70"/>
      <c r="G520" s="70"/>
      <c r="H520" s="71"/>
      <c r="I520" s="70"/>
      <c r="J520" s="67"/>
      <c r="K520" s="67"/>
      <c r="L520" s="67"/>
      <c r="M520" s="70"/>
      <c r="N520" s="72"/>
      <c r="O520" s="73"/>
      <c r="P520" s="74"/>
      <c r="Q520" s="74"/>
      <c r="R520" s="71"/>
      <c r="S520" s="72"/>
    </row>
    <row r="521" spans="1:19">
      <c r="A521" s="63"/>
      <c r="B521" s="67"/>
      <c r="C521" s="68"/>
      <c r="D521" s="69"/>
      <c r="E521" s="69"/>
      <c r="F521" s="70"/>
      <c r="G521" s="70"/>
      <c r="H521" s="71"/>
      <c r="I521" s="70"/>
      <c r="J521" s="67"/>
      <c r="K521" s="67"/>
      <c r="L521" s="67"/>
      <c r="M521" s="70"/>
      <c r="N521" s="72"/>
      <c r="O521" s="73"/>
      <c r="P521" s="74"/>
      <c r="Q521" s="74"/>
      <c r="R521" s="71"/>
      <c r="S521" s="72"/>
    </row>
    <row r="522" spans="1:19">
      <c r="A522" s="63"/>
      <c r="B522" s="67"/>
      <c r="C522" s="68"/>
      <c r="D522" s="69"/>
      <c r="E522" s="69"/>
      <c r="F522" s="70"/>
      <c r="G522" s="70"/>
      <c r="H522" s="71"/>
      <c r="I522" s="70"/>
      <c r="J522" s="67"/>
      <c r="K522" s="67"/>
      <c r="L522" s="67"/>
      <c r="M522" s="70"/>
      <c r="N522" s="72"/>
      <c r="O522" s="73"/>
      <c r="P522" s="74"/>
      <c r="Q522" s="74"/>
      <c r="R522" s="71"/>
      <c r="S522" s="72"/>
    </row>
    <row r="523" spans="1:19">
      <c r="A523" s="63"/>
      <c r="B523" s="67"/>
      <c r="C523" s="68"/>
      <c r="D523" s="69"/>
      <c r="E523" s="69"/>
      <c r="F523" s="70"/>
      <c r="G523" s="70"/>
      <c r="H523" s="71"/>
      <c r="I523" s="70"/>
      <c r="J523" s="67"/>
      <c r="K523" s="67"/>
      <c r="L523" s="67"/>
      <c r="M523" s="70"/>
      <c r="N523" s="72"/>
      <c r="O523" s="73"/>
      <c r="P523" s="74"/>
      <c r="Q523" s="74"/>
      <c r="R523" s="71"/>
      <c r="S523" s="72"/>
    </row>
    <row r="524" spans="1:19">
      <c r="A524" s="63"/>
      <c r="B524" s="67"/>
      <c r="C524" s="68"/>
      <c r="D524" s="69"/>
      <c r="E524" s="69"/>
      <c r="F524" s="70"/>
      <c r="G524" s="70"/>
      <c r="H524" s="71"/>
      <c r="I524" s="70"/>
      <c r="J524" s="67"/>
      <c r="K524" s="67"/>
      <c r="L524" s="67"/>
      <c r="M524" s="70"/>
      <c r="N524" s="72"/>
      <c r="O524" s="73"/>
      <c r="P524" s="74"/>
      <c r="Q524" s="74"/>
      <c r="R524" s="71"/>
      <c r="S524" s="72"/>
    </row>
    <row r="525" spans="1:19">
      <c r="A525" s="63"/>
      <c r="B525" s="67"/>
      <c r="C525" s="68"/>
      <c r="D525" s="69"/>
      <c r="E525" s="69"/>
      <c r="F525" s="70"/>
      <c r="G525" s="70"/>
      <c r="H525" s="71"/>
      <c r="I525" s="70"/>
      <c r="J525" s="67"/>
      <c r="K525" s="67"/>
      <c r="L525" s="67"/>
      <c r="M525" s="70"/>
      <c r="N525" s="72"/>
      <c r="O525" s="73"/>
      <c r="P525" s="74"/>
      <c r="Q525" s="74"/>
      <c r="R525" s="71"/>
      <c r="S525" s="72"/>
    </row>
    <row r="526" spans="1:19">
      <c r="A526" s="63"/>
      <c r="B526" s="67"/>
      <c r="C526" s="68"/>
      <c r="D526" s="69"/>
      <c r="E526" s="69"/>
      <c r="F526" s="70"/>
      <c r="G526" s="70"/>
      <c r="H526" s="71"/>
      <c r="I526" s="70"/>
      <c r="J526" s="67"/>
      <c r="K526" s="67"/>
      <c r="L526" s="67"/>
      <c r="M526" s="70"/>
      <c r="N526" s="72"/>
      <c r="O526" s="73"/>
      <c r="P526" s="74"/>
      <c r="Q526" s="74"/>
      <c r="R526" s="71"/>
      <c r="S526" s="72"/>
    </row>
    <row r="527" spans="1:19">
      <c r="A527" s="63"/>
      <c r="B527" s="67"/>
      <c r="C527" s="68"/>
      <c r="D527" s="69"/>
      <c r="E527" s="69"/>
      <c r="F527" s="70"/>
      <c r="G527" s="70"/>
      <c r="H527" s="71"/>
      <c r="I527" s="70"/>
      <c r="J527" s="67"/>
      <c r="K527" s="67"/>
      <c r="L527" s="67"/>
      <c r="M527" s="70"/>
      <c r="N527" s="72"/>
      <c r="O527" s="73"/>
      <c r="P527" s="74"/>
      <c r="Q527" s="74"/>
      <c r="R527" s="71"/>
      <c r="S527" s="72"/>
    </row>
    <row r="528" spans="1:19">
      <c r="A528" s="63"/>
      <c r="B528" s="67"/>
      <c r="C528" s="68"/>
      <c r="D528" s="69"/>
      <c r="E528" s="69"/>
      <c r="F528" s="70"/>
      <c r="G528" s="70"/>
      <c r="H528" s="71"/>
      <c r="I528" s="70"/>
      <c r="J528" s="67"/>
      <c r="K528" s="67"/>
      <c r="L528" s="67"/>
      <c r="M528" s="70"/>
      <c r="N528" s="72"/>
      <c r="O528" s="73"/>
      <c r="P528" s="74"/>
      <c r="Q528" s="74"/>
      <c r="R528" s="71"/>
      <c r="S528" s="72"/>
    </row>
    <row r="529" spans="1:19">
      <c r="A529" s="63"/>
      <c r="B529" s="67"/>
      <c r="C529" s="68"/>
      <c r="D529" s="69"/>
      <c r="E529" s="69"/>
      <c r="F529" s="70"/>
      <c r="G529" s="70"/>
      <c r="H529" s="71"/>
      <c r="I529" s="70"/>
      <c r="J529" s="67"/>
      <c r="K529" s="67"/>
      <c r="L529" s="67"/>
      <c r="M529" s="70"/>
      <c r="N529" s="72"/>
      <c r="O529" s="73"/>
      <c r="P529" s="74"/>
      <c r="Q529" s="74"/>
      <c r="R529" s="71"/>
      <c r="S529" s="72"/>
    </row>
    <row r="530" spans="1:19">
      <c r="A530" s="63"/>
      <c r="B530" s="67"/>
      <c r="C530" s="68"/>
      <c r="D530" s="69"/>
      <c r="E530" s="69"/>
      <c r="F530" s="70"/>
      <c r="G530" s="70"/>
      <c r="H530" s="71"/>
      <c r="I530" s="70"/>
      <c r="J530" s="67"/>
      <c r="K530" s="67"/>
      <c r="L530" s="67"/>
      <c r="M530" s="70"/>
      <c r="N530" s="72"/>
      <c r="O530" s="73"/>
      <c r="P530" s="74"/>
      <c r="Q530" s="74"/>
      <c r="R530" s="71"/>
      <c r="S530" s="72"/>
    </row>
    <row r="531" spans="1:19">
      <c r="A531" s="63"/>
      <c r="B531" s="67"/>
      <c r="C531" s="68"/>
      <c r="D531" s="69"/>
      <c r="E531" s="69"/>
      <c r="F531" s="70"/>
      <c r="G531" s="70"/>
      <c r="H531" s="71"/>
      <c r="I531" s="70"/>
      <c r="J531" s="67"/>
      <c r="K531" s="67"/>
      <c r="L531" s="67"/>
      <c r="M531" s="70"/>
      <c r="N531" s="72"/>
      <c r="O531" s="73"/>
      <c r="P531" s="74"/>
      <c r="Q531" s="74"/>
      <c r="R531" s="71"/>
      <c r="S531" s="72"/>
    </row>
    <row r="532" spans="1:19">
      <c r="A532" s="63"/>
      <c r="B532" s="67"/>
      <c r="C532" s="68"/>
      <c r="D532" s="69"/>
      <c r="E532" s="69"/>
      <c r="F532" s="70"/>
      <c r="G532" s="70"/>
      <c r="H532" s="71"/>
      <c r="I532" s="70"/>
      <c r="J532" s="67"/>
      <c r="K532" s="67"/>
      <c r="L532" s="67"/>
      <c r="M532" s="70"/>
      <c r="N532" s="72"/>
      <c r="O532" s="73"/>
      <c r="P532" s="74"/>
      <c r="Q532" s="74"/>
      <c r="R532" s="71"/>
      <c r="S532" s="72"/>
    </row>
    <row r="533" spans="1:19">
      <c r="A533" s="63"/>
      <c r="B533" s="67"/>
      <c r="C533" s="68"/>
      <c r="D533" s="69"/>
      <c r="E533" s="69"/>
      <c r="F533" s="70"/>
      <c r="G533" s="70"/>
      <c r="H533" s="71"/>
      <c r="I533" s="70"/>
      <c r="J533" s="67"/>
      <c r="K533" s="67"/>
      <c r="L533" s="67"/>
      <c r="M533" s="70"/>
      <c r="N533" s="72"/>
      <c r="O533" s="73"/>
      <c r="P533" s="74"/>
      <c r="Q533" s="74"/>
      <c r="R533" s="71"/>
      <c r="S533" s="72"/>
    </row>
    <row r="534" spans="1:19">
      <c r="A534" s="63"/>
      <c r="B534" s="67"/>
      <c r="C534" s="68"/>
      <c r="D534" s="69"/>
      <c r="E534" s="69"/>
      <c r="F534" s="70"/>
      <c r="G534" s="70"/>
      <c r="H534" s="71"/>
      <c r="I534" s="70"/>
      <c r="J534" s="67"/>
      <c r="K534" s="67"/>
      <c r="L534" s="67"/>
      <c r="M534" s="70"/>
      <c r="N534" s="72"/>
      <c r="O534" s="73"/>
      <c r="P534" s="74"/>
      <c r="Q534" s="74"/>
      <c r="R534" s="71"/>
      <c r="S534" s="72"/>
    </row>
    <row r="535" spans="1:19">
      <c r="A535" s="63"/>
      <c r="B535" s="67"/>
      <c r="C535" s="68"/>
      <c r="D535" s="69"/>
      <c r="E535" s="69"/>
      <c r="F535" s="70"/>
      <c r="G535" s="70"/>
      <c r="H535" s="71"/>
      <c r="I535" s="70"/>
      <c r="J535" s="67"/>
      <c r="K535" s="67"/>
      <c r="L535" s="67"/>
      <c r="M535" s="70"/>
      <c r="N535" s="72"/>
      <c r="O535" s="73"/>
      <c r="P535" s="74"/>
      <c r="Q535" s="74"/>
      <c r="R535" s="71"/>
      <c r="S535" s="72"/>
    </row>
    <row r="536" spans="1:19">
      <c r="A536" s="63"/>
      <c r="B536" s="67"/>
      <c r="C536" s="68"/>
      <c r="D536" s="69"/>
      <c r="E536" s="69"/>
      <c r="F536" s="70"/>
      <c r="G536" s="70"/>
      <c r="H536" s="71"/>
      <c r="I536" s="70"/>
      <c r="J536" s="67"/>
      <c r="K536" s="67"/>
      <c r="L536" s="67"/>
      <c r="M536" s="70"/>
      <c r="N536" s="72"/>
      <c r="O536" s="73"/>
      <c r="P536" s="74"/>
      <c r="Q536" s="74"/>
      <c r="R536" s="71"/>
      <c r="S536" s="72"/>
    </row>
    <row r="537" spans="1:19">
      <c r="A537" s="63"/>
      <c r="B537" s="67"/>
      <c r="C537" s="68"/>
      <c r="D537" s="69"/>
      <c r="E537" s="69"/>
      <c r="F537" s="70"/>
      <c r="G537" s="70"/>
      <c r="H537" s="71"/>
      <c r="I537" s="70"/>
      <c r="J537" s="67"/>
      <c r="K537" s="67"/>
      <c r="L537" s="67"/>
      <c r="M537" s="70"/>
      <c r="N537" s="72"/>
      <c r="O537" s="73"/>
      <c r="P537" s="74"/>
      <c r="Q537" s="74"/>
      <c r="R537" s="71"/>
      <c r="S537" s="72"/>
    </row>
    <row r="538" spans="1:19">
      <c r="A538" s="63"/>
      <c r="B538" s="67"/>
      <c r="C538" s="68"/>
      <c r="D538" s="69"/>
      <c r="E538" s="69"/>
      <c r="F538" s="70"/>
      <c r="G538" s="70"/>
      <c r="H538" s="71"/>
      <c r="I538" s="70"/>
      <c r="J538" s="67"/>
      <c r="K538" s="67"/>
      <c r="L538" s="67"/>
      <c r="M538" s="70"/>
      <c r="N538" s="72"/>
      <c r="O538" s="73"/>
      <c r="P538" s="74"/>
      <c r="Q538" s="74"/>
      <c r="R538" s="71"/>
      <c r="S538" s="72"/>
    </row>
    <row r="539" spans="1:19">
      <c r="A539" s="63"/>
      <c r="B539" s="67"/>
      <c r="C539" s="68"/>
      <c r="D539" s="69"/>
      <c r="E539" s="69"/>
      <c r="F539" s="70"/>
      <c r="G539" s="70"/>
      <c r="H539" s="71"/>
      <c r="I539" s="70"/>
      <c r="J539" s="67"/>
      <c r="K539" s="67"/>
      <c r="L539" s="67"/>
      <c r="M539" s="70"/>
      <c r="N539" s="72"/>
      <c r="O539" s="73"/>
      <c r="P539" s="74"/>
      <c r="Q539" s="74"/>
      <c r="R539" s="71"/>
      <c r="S539" s="72"/>
    </row>
    <row r="540" spans="1:19">
      <c r="A540" s="63"/>
      <c r="B540" s="67"/>
      <c r="C540" s="68"/>
      <c r="D540" s="69"/>
      <c r="E540" s="69"/>
      <c r="F540" s="70"/>
      <c r="G540" s="70"/>
      <c r="H540" s="71"/>
      <c r="I540" s="70"/>
      <c r="J540" s="67"/>
      <c r="K540" s="67"/>
      <c r="L540" s="67"/>
      <c r="M540" s="70"/>
      <c r="N540" s="72"/>
      <c r="O540" s="73"/>
      <c r="P540" s="74"/>
      <c r="Q540" s="74"/>
      <c r="R540" s="71"/>
      <c r="S540" s="72"/>
    </row>
    <row r="541" spans="1:19">
      <c r="A541" s="63"/>
      <c r="B541" s="67"/>
      <c r="C541" s="68"/>
      <c r="D541" s="69"/>
      <c r="E541" s="69"/>
      <c r="F541" s="70"/>
      <c r="G541" s="70"/>
      <c r="H541" s="71"/>
      <c r="I541" s="70"/>
      <c r="J541" s="67"/>
      <c r="K541" s="67"/>
      <c r="L541" s="67"/>
      <c r="M541" s="70"/>
      <c r="N541" s="72"/>
      <c r="O541" s="73"/>
      <c r="P541" s="74"/>
      <c r="Q541" s="74"/>
      <c r="R541" s="71"/>
      <c r="S541" s="72"/>
    </row>
    <row r="542" spans="1:19">
      <c r="A542" s="63"/>
      <c r="B542" s="67"/>
      <c r="C542" s="68"/>
      <c r="D542" s="69"/>
      <c r="E542" s="69"/>
      <c r="F542" s="70"/>
      <c r="G542" s="70"/>
      <c r="H542" s="71"/>
      <c r="I542" s="70"/>
      <c r="J542" s="67"/>
      <c r="K542" s="67"/>
      <c r="L542" s="67"/>
      <c r="M542" s="70"/>
      <c r="N542" s="72"/>
      <c r="O542" s="73"/>
      <c r="P542" s="74"/>
      <c r="Q542" s="74"/>
      <c r="R542" s="71"/>
      <c r="S542" s="72"/>
    </row>
    <row r="543" spans="1:19">
      <c r="A543" s="63"/>
      <c r="B543" s="67"/>
      <c r="C543" s="68"/>
      <c r="D543" s="69"/>
      <c r="E543" s="69"/>
      <c r="F543" s="70"/>
      <c r="G543" s="70"/>
      <c r="H543" s="71"/>
      <c r="I543" s="70"/>
      <c r="J543" s="67"/>
      <c r="K543" s="67"/>
      <c r="L543" s="67"/>
      <c r="M543" s="70"/>
      <c r="N543" s="72"/>
      <c r="O543" s="73"/>
      <c r="P543" s="74"/>
      <c r="Q543" s="74"/>
      <c r="R543" s="71"/>
      <c r="S543" s="72"/>
    </row>
    <row r="544" spans="1:19">
      <c r="A544" s="63"/>
      <c r="B544" s="67"/>
      <c r="C544" s="68"/>
      <c r="D544" s="69"/>
      <c r="E544" s="69"/>
      <c r="F544" s="70"/>
      <c r="G544" s="70"/>
      <c r="H544" s="71"/>
      <c r="I544" s="70"/>
      <c r="J544" s="67"/>
      <c r="K544" s="67"/>
      <c r="L544" s="67"/>
      <c r="M544" s="70"/>
      <c r="N544" s="72"/>
      <c r="O544" s="73"/>
      <c r="P544" s="74"/>
      <c r="Q544" s="74"/>
      <c r="R544" s="71"/>
      <c r="S544" s="72"/>
    </row>
    <row r="545" spans="1:19">
      <c r="A545" s="63"/>
      <c r="B545" s="67"/>
      <c r="C545" s="68"/>
      <c r="D545" s="69"/>
      <c r="E545" s="69"/>
      <c r="F545" s="70"/>
      <c r="G545" s="70"/>
      <c r="H545" s="71"/>
      <c r="I545" s="70"/>
      <c r="J545" s="67"/>
      <c r="K545" s="67"/>
      <c r="L545" s="67"/>
      <c r="M545" s="70"/>
      <c r="N545" s="72"/>
      <c r="O545" s="73"/>
      <c r="P545" s="74"/>
      <c r="Q545" s="74"/>
      <c r="R545" s="71"/>
      <c r="S545" s="72"/>
    </row>
    <row r="546" spans="1:19">
      <c r="A546" s="63"/>
      <c r="B546" s="67"/>
      <c r="C546" s="68"/>
      <c r="D546" s="69"/>
      <c r="E546" s="69"/>
      <c r="F546" s="70"/>
      <c r="G546" s="70"/>
      <c r="H546" s="71"/>
      <c r="I546" s="70"/>
      <c r="J546" s="67"/>
      <c r="K546" s="67"/>
      <c r="L546" s="67"/>
      <c r="M546" s="70"/>
      <c r="N546" s="72"/>
      <c r="O546" s="73"/>
      <c r="P546" s="74"/>
      <c r="Q546" s="74"/>
      <c r="R546" s="71"/>
      <c r="S546" s="72"/>
    </row>
    <row r="547" spans="1:19">
      <c r="A547" s="63"/>
      <c r="B547" s="67"/>
      <c r="C547" s="68"/>
      <c r="D547" s="69"/>
      <c r="E547" s="69"/>
      <c r="F547" s="70"/>
      <c r="G547" s="70"/>
      <c r="H547" s="71"/>
      <c r="I547" s="70"/>
      <c r="J547" s="67"/>
      <c r="K547" s="67"/>
      <c r="L547" s="67"/>
      <c r="M547" s="70"/>
      <c r="N547" s="72"/>
      <c r="O547" s="73"/>
      <c r="P547" s="74"/>
      <c r="Q547" s="74"/>
      <c r="R547" s="71"/>
      <c r="S547" s="72"/>
    </row>
    <row r="548" spans="1:19">
      <c r="A548" s="63"/>
      <c r="B548" s="67"/>
      <c r="C548" s="68"/>
      <c r="D548" s="69"/>
      <c r="E548" s="69"/>
      <c r="F548" s="70"/>
      <c r="G548" s="70"/>
      <c r="H548" s="71"/>
      <c r="I548" s="70"/>
      <c r="J548" s="67"/>
      <c r="K548" s="67"/>
      <c r="L548" s="67"/>
      <c r="M548" s="70"/>
      <c r="N548" s="72"/>
      <c r="O548" s="73"/>
      <c r="P548" s="74"/>
      <c r="Q548" s="74"/>
      <c r="R548" s="71"/>
      <c r="S548" s="72"/>
    </row>
    <row r="549" spans="1:19">
      <c r="A549" s="63"/>
      <c r="B549" s="67"/>
      <c r="C549" s="68"/>
      <c r="D549" s="69"/>
      <c r="E549" s="69"/>
      <c r="F549" s="70"/>
      <c r="G549" s="70"/>
      <c r="H549" s="71"/>
      <c r="I549" s="70"/>
      <c r="J549" s="67"/>
      <c r="K549" s="67"/>
      <c r="L549" s="67"/>
      <c r="M549" s="70"/>
      <c r="N549" s="72"/>
      <c r="O549" s="73"/>
      <c r="P549" s="74"/>
      <c r="Q549" s="74"/>
      <c r="R549" s="71"/>
      <c r="S549" s="72"/>
    </row>
    <row r="550" spans="1:19">
      <c r="A550" s="63"/>
      <c r="B550" s="67"/>
      <c r="C550" s="68"/>
      <c r="D550" s="69"/>
      <c r="E550" s="69"/>
      <c r="F550" s="70"/>
      <c r="G550" s="70"/>
      <c r="H550" s="71"/>
      <c r="I550" s="70"/>
      <c r="J550" s="67"/>
      <c r="K550" s="67"/>
      <c r="L550" s="67"/>
      <c r="M550" s="70"/>
      <c r="N550" s="72"/>
      <c r="O550" s="73"/>
      <c r="P550" s="74"/>
      <c r="Q550" s="74"/>
      <c r="R550" s="71"/>
      <c r="S550" s="72"/>
    </row>
    <row r="551" spans="1:19">
      <c r="A551" s="63"/>
      <c r="B551" s="67"/>
      <c r="C551" s="68"/>
      <c r="D551" s="69"/>
      <c r="E551" s="69"/>
      <c r="F551" s="70"/>
      <c r="G551" s="70"/>
      <c r="H551" s="71"/>
      <c r="I551" s="70"/>
      <c r="J551" s="67"/>
      <c r="K551" s="67"/>
      <c r="L551" s="67"/>
      <c r="M551" s="70"/>
      <c r="N551" s="72"/>
      <c r="O551" s="73"/>
      <c r="P551" s="74"/>
      <c r="Q551" s="74"/>
      <c r="R551" s="71"/>
      <c r="S551" s="72"/>
    </row>
    <row r="552" spans="1:19">
      <c r="A552" s="63"/>
      <c r="B552" s="67"/>
      <c r="C552" s="68"/>
      <c r="D552" s="69"/>
      <c r="E552" s="69"/>
      <c r="F552" s="70"/>
      <c r="G552" s="70"/>
      <c r="H552" s="71"/>
      <c r="I552" s="70"/>
      <c r="J552" s="67"/>
      <c r="K552" s="67"/>
      <c r="L552" s="67"/>
      <c r="M552" s="70"/>
      <c r="N552" s="72"/>
      <c r="O552" s="73"/>
      <c r="P552" s="74"/>
      <c r="Q552" s="74"/>
      <c r="R552" s="71"/>
      <c r="S552" s="72"/>
    </row>
    <row r="553" spans="1:19">
      <c r="A553" s="63"/>
      <c r="B553" s="67"/>
      <c r="C553" s="68"/>
      <c r="D553" s="69"/>
      <c r="E553" s="69"/>
      <c r="F553" s="70"/>
      <c r="G553" s="70"/>
      <c r="H553" s="71"/>
      <c r="I553" s="70"/>
      <c r="J553" s="67"/>
      <c r="K553" s="67"/>
      <c r="L553" s="67"/>
      <c r="M553" s="70"/>
      <c r="N553" s="72"/>
      <c r="O553" s="73"/>
      <c r="P553" s="74"/>
      <c r="Q553" s="74"/>
      <c r="R553" s="71"/>
      <c r="S553" s="72"/>
    </row>
    <row r="554" spans="1:19">
      <c r="A554" s="63"/>
      <c r="B554" s="67"/>
      <c r="C554" s="68"/>
      <c r="D554" s="69"/>
      <c r="E554" s="69"/>
      <c r="F554" s="70"/>
      <c r="G554" s="70"/>
      <c r="H554" s="71"/>
      <c r="I554" s="70"/>
      <c r="J554" s="67"/>
      <c r="K554" s="67"/>
      <c r="L554" s="67"/>
      <c r="M554" s="70"/>
      <c r="N554" s="72"/>
      <c r="O554" s="73"/>
      <c r="P554" s="74"/>
      <c r="Q554" s="74"/>
      <c r="R554" s="71"/>
      <c r="S554" s="72"/>
    </row>
    <row r="555" spans="1:19">
      <c r="A555" s="63"/>
      <c r="B555" s="67"/>
      <c r="C555" s="68"/>
      <c r="D555" s="69"/>
      <c r="E555" s="69"/>
      <c r="F555" s="70"/>
      <c r="G555" s="70"/>
      <c r="H555" s="71"/>
      <c r="I555" s="70"/>
      <c r="J555" s="67"/>
      <c r="K555" s="67"/>
      <c r="L555" s="67"/>
      <c r="M555" s="70"/>
      <c r="N555" s="72"/>
      <c r="O555" s="73"/>
      <c r="P555" s="74"/>
      <c r="Q555" s="74"/>
      <c r="R555" s="71"/>
      <c r="S555" s="72"/>
    </row>
    <row r="556" spans="1:19">
      <c r="A556" s="63"/>
      <c r="B556" s="67"/>
      <c r="C556" s="68"/>
      <c r="D556" s="69"/>
      <c r="E556" s="69"/>
      <c r="F556" s="70"/>
      <c r="G556" s="70"/>
      <c r="H556" s="71"/>
      <c r="I556" s="70"/>
      <c r="J556" s="67"/>
      <c r="K556" s="67"/>
      <c r="L556" s="67"/>
      <c r="M556" s="70"/>
      <c r="N556" s="72"/>
      <c r="O556" s="73"/>
      <c r="P556" s="74"/>
      <c r="Q556" s="74"/>
      <c r="R556" s="71"/>
      <c r="S556" s="72"/>
    </row>
    <row r="557" spans="1:19">
      <c r="A557" s="63"/>
      <c r="B557" s="67"/>
      <c r="C557" s="68"/>
      <c r="D557" s="69"/>
      <c r="E557" s="69"/>
      <c r="F557" s="70"/>
      <c r="G557" s="70"/>
      <c r="H557" s="71"/>
      <c r="I557" s="70"/>
      <c r="J557" s="67"/>
      <c r="K557" s="67"/>
      <c r="L557" s="67"/>
      <c r="M557" s="70"/>
      <c r="N557" s="72"/>
      <c r="O557" s="73"/>
      <c r="P557" s="74"/>
      <c r="Q557" s="74"/>
      <c r="R557" s="71"/>
      <c r="S557" s="72"/>
    </row>
    <row r="558" spans="1:19">
      <c r="A558" s="63"/>
      <c r="B558" s="67"/>
      <c r="C558" s="68"/>
      <c r="D558" s="69"/>
      <c r="E558" s="69"/>
      <c r="F558" s="70"/>
      <c r="G558" s="70"/>
      <c r="H558" s="71"/>
      <c r="I558" s="70"/>
      <c r="J558" s="67"/>
      <c r="K558" s="67"/>
      <c r="L558" s="67"/>
      <c r="M558" s="70"/>
      <c r="N558" s="72"/>
      <c r="O558" s="73"/>
      <c r="P558" s="74"/>
      <c r="Q558" s="74"/>
      <c r="R558" s="71"/>
      <c r="S558" s="72"/>
    </row>
    <row r="559" spans="1:19">
      <c r="A559" s="63"/>
      <c r="B559" s="67"/>
      <c r="C559" s="68"/>
      <c r="D559" s="69"/>
      <c r="E559" s="69"/>
      <c r="F559" s="70"/>
      <c r="G559" s="70"/>
      <c r="H559" s="71"/>
      <c r="I559" s="70"/>
      <c r="J559" s="67"/>
      <c r="K559" s="67"/>
      <c r="L559" s="67"/>
      <c r="M559" s="70"/>
      <c r="N559" s="72"/>
      <c r="O559" s="73"/>
      <c r="P559" s="74"/>
      <c r="Q559" s="74"/>
      <c r="R559" s="71"/>
      <c r="S559" s="72"/>
    </row>
    <row r="560" spans="1:19">
      <c r="A560" s="63"/>
      <c r="B560" s="67"/>
      <c r="C560" s="68"/>
      <c r="D560" s="69"/>
      <c r="E560" s="69"/>
      <c r="F560" s="70"/>
      <c r="G560" s="70"/>
      <c r="H560" s="71"/>
      <c r="I560" s="70"/>
      <c r="J560" s="67"/>
      <c r="K560" s="67"/>
      <c r="L560" s="67"/>
      <c r="M560" s="70"/>
      <c r="N560" s="72"/>
      <c r="O560" s="73"/>
      <c r="P560" s="74"/>
      <c r="Q560" s="74"/>
      <c r="R560" s="71"/>
      <c r="S560" s="72"/>
    </row>
    <row r="561" spans="1:19">
      <c r="A561" s="63"/>
      <c r="B561" s="67"/>
      <c r="C561" s="68"/>
      <c r="D561" s="69"/>
      <c r="E561" s="69"/>
      <c r="F561" s="70"/>
      <c r="G561" s="70"/>
      <c r="H561" s="71"/>
      <c r="I561" s="70"/>
      <c r="J561" s="67"/>
      <c r="K561" s="67"/>
      <c r="L561" s="67"/>
      <c r="M561" s="70"/>
      <c r="N561" s="72"/>
      <c r="O561" s="73"/>
      <c r="P561" s="74"/>
      <c r="Q561" s="74"/>
      <c r="R561" s="71"/>
      <c r="S561" s="72"/>
    </row>
    <row r="562" spans="1:19">
      <c r="A562" s="63"/>
      <c r="B562" s="67"/>
      <c r="C562" s="68"/>
      <c r="D562" s="69"/>
      <c r="E562" s="69"/>
      <c r="F562" s="70"/>
      <c r="G562" s="70"/>
      <c r="H562" s="71"/>
      <c r="I562" s="70"/>
      <c r="J562" s="67"/>
      <c r="K562" s="67"/>
      <c r="L562" s="67"/>
      <c r="M562" s="70"/>
      <c r="N562" s="72"/>
      <c r="O562" s="73"/>
      <c r="P562" s="74"/>
      <c r="Q562" s="74"/>
      <c r="R562" s="71"/>
      <c r="S562" s="72"/>
    </row>
    <row r="563" spans="1:19">
      <c r="A563" s="63"/>
      <c r="B563" s="67"/>
      <c r="C563" s="68"/>
      <c r="D563" s="69"/>
      <c r="E563" s="69"/>
      <c r="F563" s="70"/>
      <c r="G563" s="70"/>
      <c r="H563" s="71"/>
      <c r="I563" s="70"/>
      <c r="J563" s="67"/>
      <c r="K563" s="67"/>
      <c r="L563" s="67"/>
      <c r="M563" s="70"/>
      <c r="N563" s="72"/>
      <c r="O563" s="73"/>
      <c r="P563" s="74"/>
      <c r="Q563" s="74"/>
      <c r="R563" s="71"/>
      <c r="S563" s="72"/>
    </row>
    <row r="564" spans="1:19">
      <c r="A564" s="63"/>
      <c r="B564" s="67"/>
      <c r="C564" s="68"/>
      <c r="D564" s="69"/>
      <c r="E564" s="69"/>
      <c r="F564" s="70"/>
      <c r="G564" s="70"/>
      <c r="H564" s="71"/>
      <c r="I564" s="70"/>
      <c r="J564" s="67"/>
      <c r="K564" s="67"/>
      <c r="L564" s="67"/>
      <c r="M564" s="70"/>
      <c r="N564" s="72"/>
      <c r="O564" s="73"/>
      <c r="P564" s="74"/>
      <c r="Q564" s="74"/>
      <c r="R564" s="71"/>
      <c r="S564" s="72"/>
    </row>
    <row r="565" spans="1:19">
      <c r="A565" s="63"/>
      <c r="B565" s="67"/>
      <c r="C565" s="68"/>
      <c r="D565" s="69"/>
      <c r="E565" s="69"/>
      <c r="F565" s="70"/>
      <c r="G565" s="70"/>
      <c r="H565" s="71"/>
      <c r="I565" s="70"/>
      <c r="J565" s="67"/>
      <c r="K565" s="67"/>
      <c r="L565" s="67"/>
      <c r="M565" s="70"/>
      <c r="N565" s="72"/>
      <c r="O565" s="73"/>
      <c r="P565" s="74"/>
      <c r="Q565" s="74"/>
      <c r="R565" s="71"/>
      <c r="S565" s="72"/>
    </row>
    <row r="566" spans="1:19">
      <c r="A566" s="63"/>
      <c r="B566" s="67"/>
      <c r="C566" s="68"/>
      <c r="D566" s="69"/>
      <c r="E566" s="69"/>
      <c r="F566" s="70"/>
      <c r="G566" s="70"/>
      <c r="H566" s="71"/>
      <c r="I566" s="70"/>
      <c r="J566" s="67"/>
      <c r="K566" s="67"/>
      <c r="L566" s="67"/>
      <c r="M566" s="70"/>
      <c r="N566" s="72"/>
      <c r="O566" s="73"/>
      <c r="P566" s="74"/>
      <c r="Q566" s="74"/>
      <c r="R566" s="71"/>
      <c r="S566" s="72"/>
    </row>
    <row r="567" spans="1:19">
      <c r="A567" s="63"/>
      <c r="B567" s="67"/>
      <c r="C567" s="68"/>
      <c r="D567" s="69"/>
      <c r="E567" s="69"/>
      <c r="F567" s="70"/>
      <c r="G567" s="70"/>
      <c r="H567" s="71"/>
      <c r="I567" s="70"/>
      <c r="J567" s="67"/>
      <c r="K567" s="67"/>
      <c r="L567" s="67"/>
      <c r="M567" s="70"/>
      <c r="N567" s="72"/>
      <c r="O567" s="73"/>
      <c r="P567" s="74"/>
      <c r="Q567" s="74"/>
      <c r="R567" s="71"/>
      <c r="S567" s="72"/>
    </row>
    <row r="568" spans="1:19">
      <c r="A568" s="63"/>
      <c r="B568" s="67"/>
      <c r="C568" s="68"/>
      <c r="D568" s="69"/>
      <c r="E568" s="69"/>
      <c r="F568" s="70"/>
      <c r="G568" s="70"/>
      <c r="H568" s="71"/>
      <c r="I568" s="70"/>
      <c r="J568" s="67"/>
      <c r="K568" s="67"/>
      <c r="L568" s="67"/>
      <c r="M568" s="70"/>
      <c r="N568" s="72"/>
      <c r="O568" s="73"/>
      <c r="P568" s="74"/>
      <c r="Q568" s="74"/>
      <c r="R568" s="71"/>
      <c r="S568" s="72"/>
    </row>
    <row r="569" spans="1:19">
      <c r="A569" s="63"/>
      <c r="B569" s="67"/>
      <c r="C569" s="68"/>
      <c r="D569" s="69"/>
      <c r="E569" s="69"/>
      <c r="F569" s="70"/>
      <c r="G569" s="70"/>
      <c r="H569" s="71"/>
      <c r="I569" s="70"/>
      <c r="J569" s="67"/>
      <c r="K569" s="67"/>
      <c r="L569" s="67"/>
      <c r="M569" s="70"/>
      <c r="N569" s="72"/>
      <c r="O569" s="73"/>
      <c r="P569" s="74"/>
      <c r="Q569" s="74"/>
      <c r="R569" s="71"/>
      <c r="S569" s="72"/>
    </row>
    <row r="570" spans="1:19">
      <c r="A570" s="63"/>
      <c r="B570" s="67"/>
      <c r="C570" s="68"/>
      <c r="D570" s="69"/>
      <c r="E570" s="69"/>
      <c r="F570" s="70"/>
      <c r="G570" s="70"/>
      <c r="H570" s="71"/>
      <c r="I570" s="70"/>
      <c r="J570" s="67"/>
      <c r="K570" s="67"/>
      <c r="L570" s="67"/>
      <c r="M570" s="70"/>
      <c r="N570" s="72"/>
      <c r="O570" s="73"/>
      <c r="P570" s="74"/>
      <c r="Q570" s="74"/>
      <c r="R570" s="71"/>
      <c r="S570" s="72"/>
    </row>
    <row r="571" spans="1:19">
      <c r="A571" s="63"/>
      <c r="B571" s="67"/>
      <c r="C571" s="68"/>
      <c r="D571" s="69"/>
      <c r="E571" s="69"/>
      <c r="F571" s="70"/>
      <c r="G571" s="70"/>
      <c r="H571" s="71"/>
      <c r="I571" s="70"/>
      <c r="J571" s="67"/>
      <c r="K571" s="67"/>
      <c r="L571" s="67"/>
      <c r="M571" s="70"/>
      <c r="N571" s="72"/>
      <c r="O571" s="73"/>
      <c r="P571" s="74"/>
      <c r="Q571" s="74"/>
      <c r="R571" s="71"/>
      <c r="S571" s="72"/>
    </row>
    <row r="572" spans="1:19">
      <c r="A572" s="63"/>
      <c r="B572" s="67"/>
      <c r="C572" s="68"/>
      <c r="D572" s="69"/>
      <c r="E572" s="69"/>
      <c r="F572" s="70"/>
      <c r="G572" s="70"/>
      <c r="H572" s="71"/>
      <c r="I572" s="70"/>
      <c r="J572" s="67"/>
      <c r="K572" s="67"/>
      <c r="L572" s="67"/>
      <c r="M572" s="70"/>
      <c r="N572" s="72"/>
      <c r="O572" s="73"/>
      <c r="P572" s="74"/>
      <c r="Q572" s="74"/>
      <c r="R572" s="71"/>
      <c r="S572" s="72"/>
    </row>
    <row r="573" spans="1:19">
      <c r="A573" s="63"/>
      <c r="B573" s="67"/>
      <c r="C573" s="68"/>
      <c r="D573" s="69"/>
      <c r="E573" s="69"/>
      <c r="F573" s="70"/>
      <c r="G573" s="70"/>
      <c r="H573" s="71"/>
      <c r="I573" s="70"/>
      <c r="J573" s="67"/>
      <c r="K573" s="67"/>
      <c r="L573" s="67"/>
      <c r="M573" s="70"/>
      <c r="N573" s="72"/>
      <c r="O573" s="73"/>
      <c r="P573" s="74"/>
      <c r="Q573" s="74"/>
      <c r="R573" s="71"/>
      <c r="S573" s="72"/>
    </row>
    <row r="574" spans="1:19">
      <c r="A574" s="63"/>
      <c r="B574" s="67"/>
      <c r="C574" s="68"/>
      <c r="D574" s="69"/>
      <c r="E574" s="69"/>
      <c r="F574" s="70"/>
      <c r="G574" s="70"/>
      <c r="H574" s="71"/>
      <c r="I574" s="70"/>
      <c r="J574" s="67"/>
      <c r="K574" s="67"/>
      <c r="L574" s="67"/>
      <c r="M574" s="70"/>
      <c r="N574" s="72"/>
      <c r="O574" s="73"/>
      <c r="P574" s="74"/>
      <c r="Q574" s="74"/>
      <c r="R574" s="71"/>
      <c r="S574" s="72"/>
    </row>
    <row r="575" spans="1:19">
      <c r="A575" s="63"/>
      <c r="B575" s="67"/>
      <c r="C575" s="68"/>
      <c r="D575" s="69"/>
      <c r="E575" s="69"/>
      <c r="F575" s="70"/>
      <c r="G575" s="70"/>
      <c r="H575" s="71"/>
      <c r="I575" s="70"/>
      <c r="J575" s="67"/>
      <c r="K575" s="67"/>
      <c r="L575" s="67"/>
      <c r="M575" s="70"/>
      <c r="N575" s="72"/>
      <c r="O575" s="73"/>
      <c r="P575" s="74"/>
      <c r="Q575" s="74"/>
      <c r="R575" s="71"/>
      <c r="S575" s="72"/>
    </row>
    <row r="576" spans="1:19">
      <c r="A576" s="63"/>
      <c r="B576" s="67"/>
      <c r="C576" s="68"/>
      <c r="D576" s="69"/>
      <c r="E576" s="69"/>
      <c r="F576" s="70"/>
      <c r="G576" s="70"/>
      <c r="H576" s="71"/>
      <c r="I576" s="70"/>
      <c r="J576" s="67"/>
      <c r="K576" s="67"/>
      <c r="L576" s="67"/>
      <c r="M576" s="70"/>
      <c r="N576" s="72"/>
      <c r="O576" s="73"/>
      <c r="P576" s="74"/>
      <c r="Q576" s="74"/>
      <c r="R576" s="71"/>
      <c r="S576" s="72"/>
    </row>
    <row r="577" spans="1:19">
      <c r="A577" s="63"/>
      <c r="B577" s="67"/>
      <c r="C577" s="68"/>
      <c r="D577" s="69"/>
      <c r="E577" s="69"/>
      <c r="F577" s="70"/>
      <c r="G577" s="70"/>
      <c r="H577" s="71"/>
      <c r="I577" s="70"/>
      <c r="J577" s="67"/>
      <c r="K577" s="67"/>
      <c r="L577" s="67"/>
      <c r="M577" s="70"/>
      <c r="N577" s="72"/>
      <c r="O577" s="73"/>
      <c r="P577" s="74"/>
      <c r="Q577" s="74"/>
      <c r="R577" s="71"/>
      <c r="S577" s="72"/>
    </row>
    <row r="578" spans="1:19">
      <c r="A578" s="63"/>
      <c r="B578" s="67"/>
      <c r="C578" s="68"/>
      <c r="D578" s="69"/>
      <c r="E578" s="69"/>
      <c r="F578" s="70"/>
      <c r="G578" s="70"/>
      <c r="H578" s="71"/>
      <c r="I578" s="70"/>
      <c r="J578" s="67"/>
      <c r="K578" s="67"/>
      <c r="L578" s="67"/>
      <c r="M578" s="70"/>
      <c r="N578" s="72"/>
      <c r="O578" s="73"/>
      <c r="P578" s="74"/>
      <c r="Q578" s="74"/>
      <c r="R578" s="71"/>
      <c r="S578" s="72"/>
    </row>
    <row r="579" spans="1:19">
      <c r="A579" s="63"/>
      <c r="B579" s="67"/>
      <c r="C579" s="68"/>
      <c r="D579" s="69"/>
      <c r="E579" s="69"/>
      <c r="F579" s="70"/>
      <c r="G579" s="70"/>
      <c r="H579" s="71"/>
      <c r="I579" s="70"/>
      <c r="J579" s="67"/>
      <c r="K579" s="67"/>
      <c r="L579" s="67"/>
      <c r="M579" s="70"/>
      <c r="N579" s="72"/>
      <c r="O579" s="73"/>
      <c r="P579" s="74"/>
      <c r="Q579" s="74"/>
      <c r="R579" s="71"/>
      <c r="S579" s="72"/>
    </row>
    <row r="580" spans="1:19">
      <c r="A580" s="63"/>
      <c r="B580" s="67"/>
      <c r="C580" s="68"/>
      <c r="D580" s="69"/>
      <c r="E580" s="69"/>
      <c r="F580" s="70"/>
      <c r="G580" s="70"/>
      <c r="H580" s="71"/>
      <c r="I580" s="70"/>
      <c r="J580" s="67"/>
      <c r="K580" s="67"/>
      <c r="L580" s="67"/>
      <c r="M580" s="70"/>
      <c r="N580" s="72"/>
      <c r="O580" s="73"/>
      <c r="P580" s="74"/>
      <c r="Q580" s="74"/>
      <c r="R580" s="71"/>
      <c r="S580" s="72"/>
    </row>
    <row r="581" spans="1:19">
      <c r="A581" s="63"/>
      <c r="B581" s="67"/>
      <c r="C581" s="68"/>
      <c r="D581" s="69"/>
      <c r="E581" s="69"/>
      <c r="F581" s="70"/>
      <c r="G581" s="70"/>
      <c r="H581" s="71"/>
      <c r="I581" s="70"/>
      <c r="J581" s="67"/>
      <c r="K581" s="67"/>
      <c r="L581" s="67"/>
      <c r="M581" s="70"/>
      <c r="N581" s="72"/>
      <c r="O581" s="73"/>
      <c r="P581" s="74"/>
      <c r="Q581" s="74"/>
      <c r="R581" s="71"/>
      <c r="S581" s="72"/>
    </row>
    <row r="582" spans="1:19">
      <c r="A582" s="63"/>
      <c r="B582" s="67"/>
      <c r="C582" s="68"/>
      <c r="D582" s="69"/>
      <c r="E582" s="69"/>
      <c r="F582" s="70"/>
      <c r="G582" s="70"/>
      <c r="H582" s="71"/>
      <c r="I582" s="70"/>
      <c r="J582" s="67"/>
      <c r="K582" s="67"/>
      <c r="L582" s="67"/>
      <c r="M582" s="70"/>
      <c r="N582" s="72"/>
      <c r="O582" s="73"/>
      <c r="P582" s="74"/>
      <c r="Q582" s="74"/>
      <c r="R582" s="71"/>
      <c r="S582" s="72"/>
    </row>
    <row r="583" spans="1:19">
      <c r="A583" s="63"/>
      <c r="B583" s="67"/>
      <c r="C583" s="68"/>
      <c r="D583" s="69"/>
      <c r="E583" s="69"/>
      <c r="F583" s="70"/>
      <c r="G583" s="70"/>
      <c r="H583" s="71"/>
      <c r="I583" s="70"/>
      <c r="J583" s="67"/>
      <c r="K583" s="67"/>
      <c r="L583" s="67"/>
      <c r="M583" s="70"/>
      <c r="N583" s="72"/>
      <c r="O583" s="73"/>
      <c r="P583" s="74"/>
      <c r="Q583" s="74"/>
      <c r="R583" s="71"/>
      <c r="S583" s="72"/>
    </row>
    <row r="584" spans="1:19">
      <c r="A584" s="63"/>
      <c r="B584" s="67"/>
      <c r="C584" s="68"/>
      <c r="D584" s="69"/>
      <c r="E584" s="69"/>
      <c r="F584" s="70"/>
      <c r="G584" s="70"/>
      <c r="H584" s="71"/>
      <c r="I584" s="70"/>
      <c r="J584" s="67"/>
      <c r="K584" s="67"/>
      <c r="L584" s="67"/>
      <c r="M584" s="70"/>
      <c r="N584" s="72"/>
      <c r="O584" s="73"/>
      <c r="P584" s="74"/>
      <c r="Q584" s="74"/>
      <c r="R584" s="71"/>
      <c r="S584" s="72"/>
    </row>
    <row r="585" spans="1:19">
      <c r="A585" s="63"/>
      <c r="B585" s="67"/>
      <c r="C585" s="68"/>
      <c r="D585" s="69"/>
      <c r="E585" s="69"/>
      <c r="F585" s="70"/>
      <c r="G585" s="70"/>
      <c r="H585" s="71"/>
      <c r="I585" s="70"/>
      <c r="J585" s="67"/>
      <c r="K585" s="67"/>
      <c r="L585" s="67"/>
      <c r="M585" s="70"/>
      <c r="N585" s="72"/>
      <c r="O585" s="73"/>
      <c r="P585" s="74"/>
      <c r="Q585" s="74"/>
      <c r="R585" s="71"/>
      <c r="S585" s="72"/>
    </row>
    <row r="586" spans="1:19">
      <c r="A586" s="63"/>
      <c r="B586" s="67"/>
      <c r="C586" s="68"/>
      <c r="D586" s="69"/>
      <c r="E586" s="69"/>
      <c r="F586" s="70"/>
      <c r="G586" s="70"/>
      <c r="H586" s="71"/>
      <c r="I586" s="70"/>
      <c r="J586" s="67"/>
      <c r="K586" s="67"/>
      <c r="L586" s="67"/>
      <c r="M586" s="70"/>
      <c r="N586" s="72"/>
      <c r="O586" s="73"/>
      <c r="P586" s="74"/>
      <c r="Q586" s="74"/>
      <c r="R586" s="71"/>
      <c r="S586" s="72"/>
    </row>
    <row r="587" spans="1:19">
      <c r="A587" s="63"/>
      <c r="B587" s="67"/>
      <c r="C587" s="68"/>
      <c r="D587" s="69"/>
      <c r="E587" s="69"/>
      <c r="F587" s="70"/>
      <c r="G587" s="70"/>
      <c r="H587" s="71"/>
      <c r="I587" s="70"/>
      <c r="J587" s="67"/>
      <c r="K587" s="67"/>
      <c r="L587" s="67"/>
      <c r="M587" s="70"/>
      <c r="N587" s="72"/>
      <c r="O587" s="73"/>
      <c r="P587" s="74"/>
      <c r="Q587" s="74"/>
      <c r="R587" s="71"/>
      <c r="S587" s="72"/>
    </row>
    <row r="588" spans="1:19">
      <c r="A588" s="63"/>
      <c r="B588" s="67"/>
      <c r="C588" s="68"/>
      <c r="D588" s="69"/>
      <c r="E588" s="69"/>
      <c r="F588" s="70"/>
      <c r="G588" s="70"/>
      <c r="H588" s="71"/>
      <c r="I588" s="70"/>
      <c r="J588" s="67"/>
      <c r="K588" s="67"/>
      <c r="L588" s="67"/>
      <c r="M588" s="70"/>
      <c r="N588" s="72"/>
      <c r="O588" s="73"/>
      <c r="P588" s="74"/>
      <c r="Q588" s="74"/>
      <c r="R588" s="71"/>
      <c r="S588" s="72"/>
    </row>
    <row r="589" spans="1:19">
      <c r="A589" s="63"/>
      <c r="B589" s="67"/>
      <c r="C589" s="68"/>
      <c r="D589" s="69"/>
      <c r="E589" s="69"/>
      <c r="F589" s="70"/>
      <c r="G589" s="70"/>
      <c r="H589" s="71"/>
      <c r="I589" s="70"/>
      <c r="J589" s="67"/>
      <c r="K589" s="67"/>
      <c r="L589" s="67"/>
      <c r="M589" s="70"/>
      <c r="N589" s="72"/>
      <c r="O589" s="73"/>
      <c r="P589" s="74"/>
      <c r="Q589" s="74"/>
      <c r="R589" s="71"/>
      <c r="S589" s="72"/>
    </row>
    <row r="590" spans="1:19">
      <c r="A590" s="63"/>
      <c r="B590" s="67"/>
      <c r="C590" s="68"/>
      <c r="D590" s="69"/>
      <c r="E590" s="69"/>
      <c r="F590" s="70"/>
      <c r="G590" s="70"/>
      <c r="H590" s="71"/>
      <c r="I590" s="70"/>
      <c r="J590" s="67"/>
      <c r="K590" s="67"/>
      <c r="L590" s="67"/>
      <c r="M590" s="70"/>
      <c r="N590" s="72"/>
      <c r="O590" s="73"/>
      <c r="P590" s="74"/>
      <c r="Q590" s="74"/>
      <c r="R590" s="71"/>
      <c r="S590" s="72"/>
    </row>
    <row r="591" spans="1:19">
      <c r="A591" s="63"/>
      <c r="B591" s="67"/>
      <c r="C591" s="68"/>
      <c r="D591" s="69"/>
      <c r="E591" s="69"/>
      <c r="F591" s="70"/>
      <c r="G591" s="70"/>
      <c r="H591" s="71"/>
      <c r="I591" s="70"/>
      <c r="J591" s="67"/>
      <c r="K591" s="67"/>
      <c r="L591" s="67"/>
      <c r="M591" s="70"/>
      <c r="N591" s="72"/>
      <c r="O591" s="73"/>
      <c r="P591" s="74"/>
      <c r="Q591" s="74"/>
      <c r="R591" s="71"/>
      <c r="S591" s="72"/>
    </row>
    <row r="592" spans="1:19">
      <c r="A592" s="63"/>
      <c r="B592" s="67"/>
      <c r="C592" s="68"/>
      <c r="D592" s="69"/>
      <c r="E592" s="69"/>
      <c r="F592" s="70"/>
      <c r="G592" s="70"/>
      <c r="H592" s="71"/>
      <c r="I592" s="70"/>
      <c r="J592" s="67"/>
      <c r="K592" s="67"/>
      <c r="L592" s="67"/>
      <c r="M592" s="70"/>
      <c r="N592" s="72"/>
      <c r="O592" s="73"/>
      <c r="P592" s="74"/>
      <c r="Q592" s="74"/>
      <c r="R592" s="71"/>
      <c r="S592" s="72"/>
    </row>
    <row r="593" spans="1:19">
      <c r="A593" s="63"/>
      <c r="B593" s="67"/>
      <c r="C593" s="68"/>
      <c r="D593" s="69"/>
      <c r="E593" s="69"/>
      <c r="F593" s="70"/>
      <c r="G593" s="70"/>
      <c r="H593" s="71"/>
      <c r="I593" s="70"/>
      <c r="J593" s="67"/>
      <c r="K593" s="67"/>
      <c r="L593" s="67"/>
      <c r="M593" s="70"/>
      <c r="N593" s="72"/>
      <c r="O593" s="73"/>
      <c r="P593" s="74"/>
      <c r="Q593" s="74"/>
      <c r="R593" s="71"/>
      <c r="S593" s="72"/>
    </row>
    <row r="594" spans="1:19">
      <c r="A594" s="63"/>
      <c r="B594" s="67"/>
      <c r="C594" s="68"/>
      <c r="D594" s="69"/>
      <c r="E594" s="69"/>
      <c r="F594" s="70"/>
      <c r="G594" s="70"/>
      <c r="H594" s="71"/>
      <c r="I594" s="70"/>
      <c r="J594" s="67"/>
      <c r="K594" s="67"/>
      <c r="L594" s="67"/>
      <c r="M594" s="70"/>
      <c r="N594" s="72"/>
      <c r="O594" s="73"/>
      <c r="P594" s="74"/>
      <c r="Q594" s="74"/>
      <c r="R594" s="71"/>
      <c r="S594" s="72"/>
    </row>
    <row r="595" spans="1:19">
      <c r="A595" s="63"/>
      <c r="B595" s="67"/>
      <c r="C595" s="68"/>
      <c r="D595" s="69"/>
      <c r="E595" s="69"/>
      <c r="F595" s="70"/>
      <c r="G595" s="70"/>
      <c r="H595" s="71"/>
      <c r="I595" s="70"/>
      <c r="J595" s="67"/>
      <c r="K595" s="67"/>
      <c r="L595" s="67"/>
      <c r="M595" s="70"/>
      <c r="N595" s="72"/>
      <c r="O595" s="73"/>
      <c r="P595" s="74"/>
      <c r="Q595" s="74"/>
      <c r="R595" s="71"/>
      <c r="S595" s="72"/>
    </row>
    <row r="596" spans="1:19">
      <c r="A596" s="63"/>
      <c r="B596" s="67"/>
      <c r="C596" s="68"/>
      <c r="D596" s="69"/>
      <c r="E596" s="69"/>
      <c r="F596" s="70"/>
      <c r="G596" s="70"/>
      <c r="H596" s="71"/>
      <c r="I596" s="70"/>
      <c r="J596" s="67"/>
      <c r="K596" s="67"/>
      <c r="L596" s="67"/>
      <c r="M596" s="70"/>
      <c r="N596" s="72"/>
      <c r="O596" s="73"/>
      <c r="P596" s="74"/>
      <c r="Q596" s="74"/>
      <c r="R596" s="71"/>
      <c r="S596" s="72"/>
    </row>
    <row r="597" spans="1:19">
      <c r="A597" s="63"/>
      <c r="B597" s="67"/>
      <c r="C597" s="68"/>
      <c r="D597" s="69"/>
      <c r="E597" s="69"/>
      <c r="F597" s="70"/>
      <c r="G597" s="70"/>
      <c r="H597" s="71"/>
      <c r="I597" s="70"/>
      <c r="J597" s="67"/>
      <c r="K597" s="67"/>
      <c r="L597" s="67"/>
      <c r="M597" s="70"/>
      <c r="N597" s="72"/>
      <c r="O597" s="73"/>
      <c r="P597" s="74"/>
      <c r="Q597" s="74"/>
      <c r="R597" s="71"/>
      <c r="S597" s="72"/>
    </row>
    <row r="598" spans="1:19">
      <c r="A598" s="63"/>
      <c r="B598" s="63"/>
      <c r="C598" s="63"/>
      <c r="D598" s="63"/>
      <c r="E598" s="63"/>
      <c r="F598" s="63"/>
      <c r="G598" s="63"/>
      <c r="H598" s="63"/>
      <c r="I598" s="63"/>
      <c r="J598" s="63"/>
      <c r="K598" s="63"/>
      <c r="L598" s="63"/>
      <c r="M598" s="63"/>
      <c r="N598" s="63"/>
      <c r="O598" s="63"/>
      <c r="P598" s="63"/>
      <c r="Q598" s="63"/>
      <c r="R598" s="63"/>
      <c r="S598" s="63"/>
    </row>
    <row r="599" spans="1:19">
      <c r="A599" s="63"/>
      <c r="B599" s="63"/>
      <c r="C599" s="63"/>
      <c r="D599" s="63"/>
      <c r="E599" s="63"/>
      <c r="F599" s="63"/>
      <c r="G599" s="63"/>
      <c r="H599" s="63"/>
      <c r="I599" s="63"/>
      <c r="J599" s="63"/>
      <c r="K599" s="63"/>
      <c r="L599" s="63"/>
      <c r="M599" s="63"/>
      <c r="N599" s="63"/>
      <c r="O599" s="63"/>
      <c r="P599" s="63"/>
      <c r="Q599" s="63"/>
      <c r="R599" s="63"/>
      <c r="S599" s="63"/>
    </row>
    <row r="600" spans="1:19">
      <c r="A600" s="63"/>
      <c r="B600" s="63"/>
      <c r="C600" s="63"/>
      <c r="D600" s="63"/>
      <c r="E600" s="63"/>
      <c r="F600" s="63"/>
      <c r="G600" s="63"/>
      <c r="H600" s="63"/>
      <c r="I600" s="63"/>
      <c r="J600" s="63"/>
      <c r="K600" s="63"/>
      <c r="L600" s="63"/>
      <c r="M600" s="63"/>
      <c r="N600" s="63"/>
      <c r="O600" s="63"/>
      <c r="P600" s="63"/>
      <c r="Q600" s="63"/>
      <c r="R600" s="63"/>
      <c r="S600" s="63"/>
    </row>
    <row r="601" spans="1:19">
      <c r="A601" s="63"/>
      <c r="B601" s="63"/>
      <c r="C601" s="63"/>
      <c r="D601" s="63"/>
      <c r="E601" s="63"/>
      <c r="F601" s="63"/>
      <c r="G601" s="63"/>
      <c r="H601" s="63"/>
      <c r="I601" s="63"/>
      <c r="J601" s="63"/>
      <c r="K601" s="63"/>
      <c r="L601" s="63"/>
      <c r="M601" s="63"/>
      <c r="N601" s="63"/>
      <c r="O601" s="63"/>
      <c r="P601" s="63"/>
      <c r="Q601" s="63"/>
      <c r="R601" s="63"/>
      <c r="S601" s="63"/>
    </row>
    <row r="602" spans="1:19">
      <c r="A602" s="63"/>
      <c r="B602" s="63"/>
      <c r="C602" s="63"/>
      <c r="D602" s="63"/>
      <c r="E602" s="63"/>
      <c r="F602" s="63"/>
      <c r="G602" s="63"/>
      <c r="H602" s="63"/>
      <c r="I602" s="63"/>
      <c r="J602" s="63"/>
      <c r="K602" s="63"/>
      <c r="L602" s="63"/>
      <c r="M602" s="63"/>
      <c r="N602" s="63"/>
      <c r="O602" s="63"/>
      <c r="P602" s="63"/>
      <c r="Q602" s="63"/>
      <c r="R602" s="63"/>
      <c r="S602" s="63"/>
    </row>
    <row r="603" spans="1:19">
      <c r="A603" s="63"/>
      <c r="B603" s="63"/>
      <c r="C603" s="63"/>
      <c r="D603" s="63"/>
      <c r="E603" s="63"/>
      <c r="F603" s="63"/>
      <c r="G603" s="63"/>
      <c r="H603" s="63"/>
      <c r="I603" s="63"/>
      <c r="J603" s="63"/>
      <c r="K603" s="63"/>
      <c r="L603" s="63"/>
      <c r="M603" s="63"/>
      <c r="N603" s="63"/>
      <c r="O603" s="63"/>
      <c r="P603" s="63"/>
      <c r="Q603" s="63"/>
      <c r="R603" s="63"/>
      <c r="S603" s="63"/>
    </row>
  </sheetData>
  <mergeCells count="2">
    <mergeCell ref="A1:N1"/>
    <mergeCell ref="O1:S1"/>
  </mergeCells>
  <phoneticPr fontId="3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Zakresy nazwane</vt:lpstr>
      </vt:variant>
      <vt:variant>
        <vt:i4>1</vt:i4>
      </vt:variant>
    </vt:vector>
  </HeadingPairs>
  <TitlesOfParts>
    <vt:vector size="4" baseType="lpstr">
      <vt:lpstr>POMOC</vt:lpstr>
      <vt:lpstr>Handlówka</vt:lpstr>
      <vt:lpstr>Profile</vt:lpstr>
      <vt:lpstr>Handlówka!Obszar_wydruku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AAA</dc:creator>
  <cp:lastModifiedBy>Krzysiek</cp:lastModifiedBy>
  <cp:lastPrinted>2018-12-03T12:08:08Z</cp:lastPrinted>
  <dcterms:created xsi:type="dcterms:W3CDTF">2015-02-11T06:44:04Z</dcterms:created>
  <dcterms:modified xsi:type="dcterms:W3CDTF">2023-06-30T13:31:06Z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ta zatwierdzenia">
    <vt:filetime>2022-02-04T23:00:00Z</vt:filetime>
  </property>
  <property fmtid="{D5CDD505-2E9C-101B-9397-08002B2CF9AE}" pid="3" name="data edytowania">
    <vt:filetime>2022-02-04T23:00:00Z</vt:filetime>
  </property>
  <property fmtid="{D5CDD505-2E9C-101B-9397-08002B2CF9AE}" pid="4" name="edytowal">
    <vt:lpwstr>Krzysztof Wróblewski</vt:lpwstr>
  </property>
  <property fmtid="{D5CDD505-2E9C-101B-9397-08002B2CF9AE}" pid="5" name="archiwum">
    <vt:i4>0</vt:i4>
  </property>
</Properties>
</file>