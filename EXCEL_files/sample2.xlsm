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en_skoroszyt"/>
  <bookViews>
    <workbookView xWindow="28680" yWindow="-120" windowWidth="29040" windowHeight="15840" tabRatio="297" activeTab="1"/>
  </bookViews>
  <sheets>
    <sheet name="POMOC" sheetId="1" r:id="rId1"/>
    <sheet name="DETALE" sheetId="4" r:id="rId2"/>
    <sheet name="PARAMETRY" sheetId="7" r:id="rId3"/>
  </sheets>
  <functionGroups/>
  <definedNames>
    <definedName name="_xlnm._FilterDatabase" localSheetId="1" hidden="1">DETALE!$A$5:$BD$402</definedName>
    <definedName name="_xlnm.Print_Area" localSheetId="1">DETALE!$A$1:$AS$5</definedName>
  </definedNames>
  <calcPr calcId="124519"/>
  <fileRecoveryPr autoRecover="0"/>
</workbook>
</file>

<file path=xl/calcChain.xml><?xml version="1.0" encoding="utf-8"?>
<calcChain xmlns="http://schemas.openxmlformats.org/spreadsheetml/2006/main">
  <c r="AL402" i="4"/>
  <c r="AN402" s="1"/>
  <c r="AM402"/>
  <c r="AL388" l="1"/>
  <c r="AN388" s="1"/>
  <c r="AM388"/>
  <c r="AL389"/>
  <c r="AM389"/>
  <c r="AL390"/>
  <c r="AM390"/>
  <c r="AL391"/>
  <c r="AN391" s="1"/>
  <c r="AM391"/>
  <c r="AL392"/>
  <c r="AN392" s="1"/>
  <c r="AM392"/>
  <c r="AL393"/>
  <c r="AN393" s="1"/>
  <c r="AM393"/>
  <c r="AL394"/>
  <c r="AM394"/>
  <c r="AL395"/>
  <c r="AN395" s="1"/>
  <c r="AM395"/>
  <c r="AL396"/>
  <c r="AN396" s="1"/>
  <c r="AM396"/>
  <c r="AL397"/>
  <c r="AN397" s="1"/>
  <c r="AM397"/>
  <c r="AL398"/>
  <c r="AN398" s="1"/>
  <c r="AM398"/>
  <c r="AL399"/>
  <c r="AN399" s="1"/>
  <c r="AM399"/>
  <c r="AL400"/>
  <c r="AN400" s="1"/>
  <c r="AM400"/>
  <c r="AL401"/>
  <c r="AN401" s="1"/>
  <c r="AM401"/>
  <c r="AL385"/>
  <c r="AM385"/>
  <c r="AL386"/>
  <c r="AN386" s="1"/>
  <c r="AM386"/>
  <c r="AL387"/>
  <c r="AN387" s="1"/>
  <c r="AM387"/>
  <c r="AN390" l="1"/>
  <c r="AN385"/>
  <c r="AN389"/>
  <c r="AN394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51"/>
  <c r="AM252"/>
  <c r="AM253"/>
  <c r="AM254"/>
  <c r="AM255"/>
  <c r="AM256"/>
  <c r="AM257"/>
  <c r="AM258"/>
  <c r="AM259"/>
  <c r="AM260"/>
  <c r="AM261"/>
  <c r="AM262"/>
  <c r="AM263"/>
  <c r="AM264"/>
  <c r="AM265"/>
  <c r="AM266"/>
  <c r="AM267"/>
  <c r="AM268"/>
  <c r="AM269"/>
  <c r="AM270"/>
  <c r="AM271"/>
  <c r="AM272"/>
  <c r="AM273"/>
  <c r="AM274"/>
  <c r="AM275"/>
  <c r="AM276"/>
  <c r="AM277"/>
  <c r="AM278"/>
  <c r="AM279"/>
  <c r="AM280"/>
  <c r="AM281"/>
  <c r="AM282"/>
  <c r="AM283"/>
  <c r="AM284"/>
  <c r="AM285"/>
  <c r="AM286"/>
  <c r="AM287"/>
  <c r="AM288"/>
  <c r="AM289"/>
  <c r="AM290"/>
  <c r="AM291"/>
  <c r="AM292"/>
  <c r="AM293"/>
  <c r="AM294"/>
  <c r="AM295"/>
  <c r="AM296"/>
  <c r="AM297"/>
  <c r="AM298"/>
  <c r="AM299"/>
  <c r="AM300"/>
  <c r="AM301"/>
  <c r="AM302"/>
  <c r="AM303"/>
  <c r="AM304"/>
  <c r="AM305"/>
  <c r="AM306"/>
  <c r="AM307"/>
  <c r="AM308"/>
  <c r="AM309"/>
  <c r="AM310"/>
  <c r="AM311"/>
  <c r="AM312"/>
  <c r="AM313"/>
  <c r="AM314"/>
  <c r="AM315"/>
  <c r="AM316"/>
  <c r="AM317"/>
  <c r="AM318"/>
  <c r="AM319"/>
  <c r="AM320"/>
  <c r="AM321"/>
  <c r="AM322"/>
  <c r="AM323"/>
  <c r="AM324"/>
  <c r="AM325"/>
  <c r="AM326"/>
  <c r="AM327"/>
  <c r="AM328"/>
  <c r="AM329"/>
  <c r="AM330"/>
  <c r="AM331"/>
  <c r="AM332"/>
  <c r="AM333"/>
  <c r="AM334"/>
  <c r="AM335"/>
  <c r="AM336"/>
  <c r="AM337"/>
  <c r="AM338"/>
  <c r="AM339"/>
  <c r="AM340"/>
  <c r="AM341"/>
  <c r="AM342"/>
  <c r="AM343"/>
  <c r="AM344"/>
  <c r="AM345"/>
  <c r="AM346"/>
  <c r="AM347"/>
  <c r="AM348"/>
  <c r="AM349"/>
  <c r="AM350"/>
  <c r="AM351"/>
  <c r="AM352"/>
  <c r="AM353"/>
  <c r="AM354"/>
  <c r="AM355"/>
  <c r="AM356"/>
  <c r="AM357"/>
  <c r="AM358"/>
  <c r="AM359"/>
  <c r="AM360"/>
  <c r="AM361"/>
  <c r="AM362"/>
  <c r="AM363"/>
  <c r="AM364"/>
  <c r="AM365"/>
  <c r="AM366"/>
  <c r="AM367"/>
  <c r="AM368"/>
  <c r="AM369"/>
  <c r="AM370"/>
  <c r="AM371"/>
  <c r="AM372"/>
  <c r="AM373"/>
  <c r="AM374"/>
  <c r="AM375"/>
  <c r="AM376"/>
  <c r="AM377"/>
  <c r="AM378"/>
  <c r="AM379"/>
  <c r="AM380"/>
  <c r="AM381"/>
  <c r="AM382"/>
  <c r="AM383"/>
  <c r="AM384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AL254" l="1"/>
  <c r="AN254" s="1"/>
  <c r="AL255"/>
  <c r="AN255" s="1"/>
  <c r="AL256"/>
  <c r="AN256" s="1"/>
  <c r="AL257"/>
  <c r="AN257" s="1"/>
  <c r="AL258"/>
  <c r="AN258" s="1"/>
  <c r="AL259"/>
  <c r="AN259" s="1"/>
  <c r="AL260"/>
  <c r="AN260" s="1"/>
  <c r="AL261"/>
  <c r="AN261" s="1"/>
  <c r="AL262"/>
  <c r="AN262" s="1"/>
  <c r="AL263"/>
  <c r="AN263" s="1"/>
  <c r="AL264"/>
  <c r="AN264" s="1"/>
  <c r="AL265"/>
  <c r="AL266"/>
  <c r="AN266" s="1"/>
  <c r="AL267"/>
  <c r="AN267" s="1"/>
  <c r="AL268"/>
  <c r="AN268" s="1"/>
  <c r="AL269"/>
  <c r="AN269" s="1"/>
  <c r="AL270"/>
  <c r="AN270" s="1"/>
  <c r="AL271"/>
  <c r="AN271" s="1"/>
  <c r="AL272"/>
  <c r="AN272" s="1"/>
  <c r="AL273"/>
  <c r="AN273" s="1"/>
  <c r="AL274"/>
  <c r="AN274" s="1"/>
  <c r="AL275"/>
  <c r="AN275" s="1"/>
  <c r="AL276"/>
  <c r="AN276" s="1"/>
  <c r="AL277"/>
  <c r="AN277" s="1"/>
  <c r="AL278"/>
  <c r="AN278" s="1"/>
  <c r="AL279"/>
  <c r="AN279" s="1"/>
  <c r="AL280"/>
  <c r="AN280" s="1"/>
  <c r="AL281"/>
  <c r="AL282"/>
  <c r="AN282" s="1"/>
  <c r="AL283"/>
  <c r="AN283" s="1"/>
  <c r="AL284"/>
  <c r="AN284" s="1"/>
  <c r="AL285"/>
  <c r="AN285" s="1"/>
  <c r="AL286"/>
  <c r="AN286" s="1"/>
  <c r="AL287"/>
  <c r="AN287" s="1"/>
  <c r="AL288"/>
  <c r="AN288" s="1"/>
  <c r="AL289"/>
  <c r="AN289" s="1"/>
  <c r="AL290"/>
  <c r="AN290" s="1"/>
  <c r="AL291"/>
  <c r="AN291" s="1"/>
  <c r="AL292"/>
  <c r="AN292" s="1"/>
  <c r="AL293"/>
  <c r="AN293" s="1"/>
  <c r="AL294"/>
  <c r="AN294" s="1"/>
  <c r="AL295"/>
  <c r="AN295" s="1"/>
  <c r="AL296"/>
  <c r="AN296" s="1"/>
  <c r="AL297"/>
  <c r="AL298"/>
  <c r="AL299"/>
  <c r="AN299" s="1"/>
  <c r="AL300"/>
  <c r="AN300" s="1"/>
  <c r="AL301"/>
  <c r="AN301" s="1"/>
  <c r="AL302"/>
  <c r="AN302" s="1"/>
  <c r="AL303"/>
  <c r="AN303" s="1"/>
  <c r="AL304"/>
  <c r="AN304" s="1"/>
  <c r="AL305"/>
  <c r="AL306"/>
  <c r="AN306" s="1"/>
  <c r="AL307"/>
  <c r="AN307" s="1"/>
  <c r="AL308"/>
  <c r="AN308" s="1"/>
  <c r="AL309"/>
  <c r="AN309" s="1"/>
  <c r="AL310"/>
  <c r="AN310" s="1"/>
  <c r="AL311"/>
  <c r="AN311" s="1"/>
  <c r="AL312"/>
  <c r="AN312" s="1"/>
  <c r="AL313"/>
  <c r="AL314"/>
  <c r="AN314" s="1"/>
  <c r="AL315"/>
  <c r="AN315" s="1"/>
  <c r="AL316"/>
  <c r="AN316" s="1"/>
  <c r="AL317"/>
  <c r="AN317" s="1"/>
  <c r="AL318"/>
  <c r="AN318" s="1"/>
  <c r="AL319"/>
  <c r="AN319" s="1"/>
  <c r="AL320"/>
  <c r="AN320" s="1"/>
  <c r="AL321"/>
  <c r="AN321" s="1"/>
  <c r="AL322"/>
  <c r="AN322" s="1"/>
  <c r="AL323"/>
  <c r="AN323" s="1"/>
  <c r="AL324"/>
  <c r="AN324" s="1"/>
  <c r="AL325"/>
  <c r="AN325" s="1"/>
  <c r="AL326"/>
  <c r="AN326" s="1"/>
  <c r="AL327"/>
  <c r="AN327" s="1"/>
  <c r="AL328"/>
  <c r="AN328" s="1"/>
  <c r="AL329"/>
  <c r="AL330"/>
  <c r="AL331"/>
  <c r="AN331" s="1"/>
  <c r="AL332"/>
  <c r="AN332" s="1"/>
  <c r="AL333"/>
  <c r="AN333" s="1"/>
  <c r="AL334"/>
  <c r="AN334" s="1"/>
  <c r="AL335"/>
  <c r="AN335" s="1"/>
  <c r="AL336"/>
  <c r="AN336" s="1"/>
  <c r="AL337"/>
  <c r="AN337" s="1"/>
  <c r="AL338"/>
  <c r="AN338" s="1"/>
  <c r="AL339"/>
  <c r="AN339" s="1"/>
  <c r="AL340"/>
  <c r="AN340" s="1"/>
  <c r="AL341"/>
  <c r="AN341" s="1"/>
  <c r="AL342"/>
  <c r="AN342" s="1"/>
  <c r="AL343"/>
  <c r="AN343" s="1"/>
  <c r="AL344"/>
  <c r="AN344" s="1"/>
  <c r="AL345"/>
  <c r="AL346"/>
  <c r="AN346" s="1"/>
  <c r="AL347"/>
  <c r="AL348"/>
  <c r="AN348" s="1"/>
  <c r="AL349"/>
  <c r="AN349" s="1"/>
  <c r="AL350"/>
  <c r="AN350" s="1"/>
  <c r="AL351"/>
  <c r="AN351" s="1"/>
  <c r="AL352"/>
  <c r="AN352" s="1"/>
  <c r="AL353"/>
  <c r="AN353" s="1"/>
  <c r="AL354"/>
  <c r="AN354" s="1"/>
  <c r="AL355"/>
  <c r="AN355" s="1"/>
  <c r="AL356"/>
  <c r="AN356" s="1"/>
  <c r="AL357"/>
  <c r="AL358"/>
  <c r="AN358" s="1"/>
  <c r="AL359"/>
  <c r="AN359" s="1"/>
  <c r="AL360"/>
  <c r="AN360" s="1"/>
  <c r="AL361"/>
  <c r="AN361" s="1"/>
  <c r="AL362"/>
  <c r="AN362" s="1"/>
  <c r="AL363"/>
  <c r="AN363" s="1"/>
  <c r="AL364"/>
  <c r="AN364" s="1"/>
  <c r="AL365"/>
  <c r="AN365" s="1"/>
  <c r="AL366"/>
  <c r="AN366" s="1"/>
  <c r="AL367"/>
  <c r="AN367" s="1"/>
  <c r="AL368"/>
  <c r="AN368" s="1"/>
  <c r="AL369"/>
  <c r="AN369" s="1"/>
  <c r="AL370"/>
  <c r="AN370" s="1"/>
  <c r="AL371"/>
  <c r="AN371" s="1"/>
  <c r="AL372"/>
  <c r="AN372" s="1"/>
  <c r="AL373"/>
  <c r="AN373" s="1"/>
  <c r="AL374"/>
  <c r="AN374" s="1"/>
  <c r="AL375"/>
  <c r="AN375" s="1"/>
  <c r="AL376"/>
  <c r="AN376" s="1"/>
  <c r="AL377"/>
  <c r="AN377" s="1"/>
  <c r="AL378"/>
  <c r="AN378" s="1"/>
  <c r="AL379"/>
  <c r="AN379" s="1"/>
  <c r="AL380"/>
  <c r="AN380" s="1"/>
  <c r="AL381"/>
  <c r="AN381" s="1"/>
  <c r="AL382"/>
  <c r="AN382" s="1"/>
  <c r="AL383"/>
  <c r="AN383" s="1"/>
  <c r="AL384"/>
  <c r="AN384" s="1"/>
  <c r="AN297" l="1"/>
  <c r="AN265"/>
  <c r="AN330"/>
  <c r="AN329"/>
  <c r="AN281"/>
  <c r="AN347"/>
  <c r="AN357"/>
  <c r="AN305"/>
  <c r="AN345"/>
  <c r="AN298"/>
  <c r="AN313"/>
  <c r="AL247"/>
  <c r="AL248"/>
  <c r="AL249"/>
  <c r="AN249" s="1"/>
  <c r="AL250"/>
  <c r="AL251"/>
  <c r="AN251" s="1"/>
  <c r="AL252"/>
  <c r="AN252" s="1"/>
  <c r="AL253"/>
  <c r="AL177"/>
  <c r="AN177" s="1"/>
  <c r="AL178"/>
  <c r="AN178" s="1"/>
  <c r="AL179"/>
  <c r="AN179" s="1"/>
  <c r="AL180"/>
  <c r="AN180" s="1"/>
  <c r="AL181"/>
  <c r="AN181" s="1"/>
  <c r="AL182"/>
  <c r="AL183"/>
  <c r="AL184"/>
  <c r="AN184" s="1"/>
  <c r="AL185"/>
  <c r="AN185" s="1"/>
  <c r="AL186"/>
  <c r="AL187"/>
  <c r="AL188"/>
  <c r="AN188" s="1"/>
  <c r="AL189"/>
  <c r="AN189" s="1"/>
  <c r="AL190"/>
  <c r="AN190" s="1"/>
  <c r="AL191"/>
  <c r="AL192"/>
  <c r="AN192" s="1"/>
  <c r="AL193"/>
  <c r="AN193" s="1"/>
  <c r="AL194"/>
  <c r="AN194" s="1"/>
  <c r="AL195"/>
  <c r="AN195" s="1"/>
  <c r="AL196"/>
  <c r="AN196" s="1"/>
  <c r="AL197"/>
  <c r="AN197" s="1"/>
  <c r="AL198"/>
  <c r="AN198" s="1"/>
  <c r="AL199"/>
  <c r="AN199" s="1"/>
  <c r="AL200"/>
  <c r="AL201"/>
  <c r="AL202"/>
  <c r="AN202" s="1"/>
  <c r="AL203"/>
  <c r="AL204"/>
  <c r="AN204" s="1"/>
  <c r="AL205"/>
  <c r="AN205" s="1"/>
  <c r="AL206"/>
  <c r="AN206" s="1"/>
  <c r="AL207"/>
  <c r="AN207" s="1"/>
  <c r="AL208"/>
  <c r="AN208" s="1"/>
  <c r="AL209"/>
  <c r="AL210"/>
  <c r="AL211"/>
  <c r="AN211" s="1"/>
  <c r="AL212"/>
  <c r="AN212" s="1"/>
  <c r="AL213"/>
  <c r="AN213" s="1"/>
  <c r="AL214"/>
  <c r="AN214" s="1"/>
  <c r="AL215"/>
  <c r="AN215" s="1"/>
  <c r="AL216"/>
  <c r="AN216" s="1"/>
  <c r="AL217"/>
  <c r="AN217" s="1"/>
  <c r="AL218"/>
  <c r="AN218" s="1"/>
  <c r="AL219"/>
  <c r="AL220"/>
  <c r="AN220" s="1"/>
  <c r="AL221"/>
  <c r="AN221" s="1"/>
  <c r="AL222"/>
  <c r="AN222" s="1"/>
  <c r="AL223"/>
  <c r="AN223" s="1"/>
  <c r="AL224"/>
  <c r="AN224" s="1"/>
  <c r="AL225"/>
  <c r="AN225" s="1"/>
  <c r="AL226"/>
  <c r="AN226" s="1"/>
  <c r="AL227"/>
  <c r="AN227" s="1"/>
  <c r="AL228"/>
  <c r="AL229"/>
  <c r="AL230"/>
  <c r="AL231"/>
  <c r="AN231" s="1"/>
  <c r="AL232"/>
  <c r="AL233"/>
  <c r="AL234"/>
  <c r="AL235"/>
  <c r="AL236"/>
  <c r="AN236" s="1"/>
  <c r="AL237"/>
  <c r="AN237" s="1"/>
  <c r="AL238"/>
  <c r="AN238" s="1"/>
  <c r="AL239"/>
  <c r="AN239" s="1"/>
  <c r="AL240"/>
  <c r="AN240" s="1"/>
  <c r="AL241"/>
  <c r="AN241" s="1"/>
  <c r="AL242"/>
  <c r="AN242" s="1"/>
  <c r="AL243"/>
  <c r="AN243" s="1"/>
  <c r="AL244"/>
  <c r="AN244" s="1"/>
  <c r="AL245"/>
  <c r="AN245" s="1"/>
  <c r="AL246"/>
  <c r="AN246" s="1"/>
  <c r="AL176"/>
  <c r="AL175"/>
  <c r="AL174"/>
  <c r="AN174" s="1"/>
  <c r="AL173"/>
  <c r="AN173" s="1"/>
  <c r="AL172"/>
  <c r="AN172" s="1"/>
  <c r="AL171"/>
  <c r="AN171" s="1"/>
  <c r="AL170"/>
  <c r="AN170" s="1"/>
  <c r="AL169"/>
  <c r="AN169" s="1"/>
  <c r="AL168"/>
  <c r="AN168" s="1"/>
  <c r="AL167"/>
  <c r="AN167" s="1"/>
  <c r="AL166"/>
  <c r="AN166" s="1"/>
  <c r="AL165"/>
  <c r="AL164"/>
  <c r="AL163"/>
  <c r="AL162"/>
  <c r="AN162" s="1"/>
  <c r="AL161"/>
  <c r="AL160"/>
  <c r="AL159"/>
  <c r="AL158"/>
  <c r="AN158" s="1"/>
  <c r="AL157"/>
  <c r="AN157" s="1"/>
  <c r="AL156"/>
  <c r="AN156" s="1"/>
  <c r="AL155"/>
  <c r="AN155" s="1"/>
  <c r="AL154"/>
  <c r="AN154" s="1"/>
  <c r="AL153"/>
  <c r="AL152"/>
  <c r="AN152" s="1"/>
  <c r="AL151"/>
  <c r="AN151" s="1"/>
  <c r="AL150"/>
  <c r="AN150" s="1"/>
  <c r="AL149"/>
  <c r="AL148"/>
  <c r="AL147"/>
  <c r="AN147" s="1"/>
  <c r="AL146"/>
  <c r="AN146" s="1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S118"/>
  <c r="S119"/>
  <c r="S120"/>
  <c r="S121"/>
  <c r="S122"/>
  <c r="T118"/>
  <c r="T119"/>
  <c r="T120"/>
  <c r="T121"/>
  <c r="T122"/>
  <c r="W118"/>
  <c r="W119"/>
  <c r="W120"/>
  <c r="W121"/>
  <c r="W122"/>
  <c r="X118"/>
  <c r="X119"/>
  <c r="X120"/>
  <c r="X121"/>
  <c r="X122"/>
  <c r="Y118"/>
  <c r="Y119"/>
  <c r="Y120"/>
  <c r="Y121"/>
  <c r="Y122"/>
  <c r="Z118"/>
  <c r="Z119"/>
  <c r="Z120"/>
  <c r="Z121"/>
  <c r="Z122"/>
  <c r="AA118"/>
  <c r="AA119"/>
  <c r="AA120"/>
  <c r="AA121"/>
  <c r="AA122"/>
  <c r="AB118"/>
  <c r="AB119"/>
  <c r="AB120"/>
  <c r="AB121"/>
  <c r="AB122"/>
  <c r="AC118"/>
  <c r="AC119"/>
  <c r="AC120"/>
  <c r="AC121"/>
  <c r="AC122"/>
  <c r="AD118"/>
  <c r="AD119"/>
  <c r="AD120"/>
  <c r="AD121"/>
  <c r="AD122"/>
  <c r="S105"/>
  <c r="S106"/>
  <c r="S107"/>
  <c r="S108"/>
  <c r="S109"/>
  <c r="S110"/>
  <c r="S111"/>
  <c r="S112"/>
  <c r="S113"/>
  <c r="S114"/>
  <c r="S115"/>
  <c r="S116"/>
  <c r="S117"/>
  <c r="T105"/>
  <c r="T106"/>
  <c r="T107"/>
  <c r="T108"/>
  <c r="T109"/>
  <c r="T110"/>
  <c r="T111"/>
  <c r="T112"/>
  <c r="T113"/>
  <c r="T114"/>
  <c r="T115"/>
  <c r="T116"/>
  <c r="T117"/>
  <c r="W105"/>
  <c r="W106"/>
  <c r="W107"/>
  <c r="W108"/>
  <c r="W109"/>
  <c r="W110"/>
  <c r="W111"/>
  <c r="W112"/>
  <c r="W113"/>
  <c r="W114"/>
  <c r="W115"/>
  <c r="W116"/>
  <c r="W117"/>
  <c r="X105"/>
  <c r="X106"/>
  <c r="X107"/>
  <c r="X108"/>
  <c r="X109"/>
  <c r="X110"/>
  <c r="X111"/>
  <c r="X112"/>
  <c r="X113"/>
  <c r="X114"/>
  <c r="X115"/>
  <c r="X116"/>
  <c r="X117"/>
  <c r="Y105"/>
  <c r="Y106"/>
  <c r="Y107"/>
  <c r="Y108"/>
  <c r="Y109"/>
  <c r="Y110"/>
  <c r="Y111"/>
  <c r="Y112"/>
  <c r="Y113"/>
  <c r="Y114"/>
  <c r="Y115"/>
  <c r="Y116"/>
  <c r="Y117"/>
  <c r="Z105"/>
  <c r="Z106"/>
  <c r="Z107"/>
  <c r="Z108"/>
  <c r="Z109"/>
  <c r="Z110"/>
  <c r="Z111"/>
  <c r="Z112"/>
  <c r="Z113"/>
  <c r="Z114"/>
  <c r="Z115"/>
  <c r="Z116"/>
  <c r="Z117"/>
  <c r="AA105"/>
  <c r="AA106"/>
  <c r="AA107"/>
  <c r="AA108"/>
  <c r="AA109"/>
  <c r="AA110"/>
  <c r="AA111"/>
  <c r="AA112"/>
  <c r="AA113"/>
  <c r="AA114"/>
  <c r="AA115"/>
  <c r="AA116"/>
  <c r="AA117"/>
  <c r="AB105"/>
  <c r="AB106"/>
  <c r="AB107"/>
  <c r="AB108"/>
  <c r="AB109"/>
  <c r="AB110"/>
  <c r="AB111"/>
  <c r="AB112"/>
  <c r="AB113"/>
  <c r="AB114"/>
  <c r="AB115"/>
  <c r="AB116"/>
  <c r="AB117"/>
  <c r="AC105"/>
  <c r="AC106"/>
  <c r="AC107"/>
  <c r="AC108"/>
  <c r="AC109"/>
  <c r="AC110"/>
  <c r="AC111"/>
  <c r="AC112"/>
  <c r="AC113"/>
  <c r="AC114"/>
  <c r="AC115"/>
  <c r="AC116"/>
  <c r="AC117"/>
  <c r="AD105"/>
  <c r="AD106"/>
  <c r="AD107"/>
  <c r="AD108"/>
  <c r="AD109"/>
  <c r="AD110"/>
  <c r="AD111"/>
  <c r="AD112"/>
  <c r="AD113"/>
  <c r="AD114"/>
  <c r="AD115"/>
  <c r="AD116"/>
  <c r="AD117"/>
  <c r="U104"/>
  <c r="U103"/>
  <c r="U102"/>
  <c r="U101"/>
  <c r="U100"/>
  <c r="U99"/>
  <c r="U98"/>
  <c r="U97"/>
  <c r="U96"/>
  <c r="U95"/>
  <c r="U94"/>
  <c r="U93"/>
  <c r="U92"/>
  <c r="U91"/>
  <c r="U90"/>
  <c r="U89"/>
  <c r="U88"/>
  <c r="U87"/>
  <c r="U86"/>
  <c r="U85"/>
  <c r="U84"/>
  <c r="U83"/>
  <c r="U82"/>
  <c r="U81"/>
  <c r="U80"/>
  <c r="U79"/>
  <c r="U78"/>
  <c r="U77"/>
  <c r="U76"/>
  <c r="U75"/>
  <c r="U74"/>
  <c r="U73"/>
  <c r="U72"/>
  <c r="U71"/>
  <c r="U70"/>
  <c r="U69"/>
  <c r="U68"/>
  <c r="U67"/>
  <c r="U66"/>
  <c r="U65"/>
  <c r="U64"/>
  <c r="U63"/>
  <c r="U62"/>
  <c r="U61"/>
  <c r="U60"/>
  <c r="U59"/>
  <c r="U58"/>
  <c r="U57"/>
  <c r="U56"/>
  <c r="U55"/>
  <c r="U54"/>
  <c r="U53"/>
  <c r="U52"/>
  <c r="U51"/>
  <c r="U50"/>
  <c r="U49"/>
  <c r="U48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S47"/>
  <c r="T47"/>
  <c r="V47"/>
  <c r="W47"/>
  <c r="X47"/>
  <c r="Y47"/>
  <c r="Z47"/>
  <c r="AA47"/>
  <c r="AB47"/>
  <c r="AC47"/>
  <c r="AD47"/>
  <c r="S46"/>
  <c r="T46"/>
  <c r="V46"/>
  <c r="W46"/>
  <c r="X46"/>
  <c r="Y46"/>
  <c r="Z46"/>
  <c r="AA46"/>
  <c r="AB46"/>
  <c r="AC46"/>
  <c r="AD46"/>
  <c r="S45"/>
  <c r="T45"/>
  <c r="V45"/>
  <c r="W45"/>
  <c r="X45"/>
  <c r="Y45"/>
  <c r="Z45"/>
  <c r="AA45"/>
  <c r="AB45"/>
  <c r="AC45"/>
  <c r="AD45"/>
  <c r="S44"/>
  <c r="T44"/>
  <c r="V44"/>
  <c r="W44"/>
  <c r="X44"/>
  <c r="Y44"/>
  <c r="Z44"/>
  <c r="AA44"/>
  <c r="AB44"/>
  <c r="AC44"/>
  <c r="AD44"/>
  <c r="S41"/>
  <c r="S42"/>
  <c r="S43"/>
  <c r="T41"/>
  <c r="T42"/>
  <c r="T43"/>
  <c r="V41"/>
  <c r="V42"/>
  <c r="V43"/>
  <c r="W41"/>
  <c r="W42"/>
  <c r="W43"/>
  <c r="X41"/>
  <c r="X42"/>
  <c r="X43"/>
  <c r="Y41"/>
  <c r="Y42"/>
  <c r="Y43"/>
  <c r="Z41"/>
  <c r="Z42"/>
  <c r="Z43"/>
  <c r="AA41"/>
  <c r="AA42"/>
  <c r="AA43"/>
  <c r="AB41"/>
  <c r="AB42"/>
  <c r="AB43"/>
  <c r="AC41"/>
  <c r="AC42"/>
  <c r="AC43"/>
  <c r="AD41"/>
  <c r="AD42"/>
  <c r="AD43"/>
  <c r="S36"/>
  <c r="S37"/>
  <c r="S38"/>
  <c r="S39"/>
  <c r="S40"/>
  <c r="T36"/>
  <c r="T37"/>
  <c r="T38"/>
  <c r="T39"/>
  <c r="T40"/>
  <c r="V36"/>
  <c r="V37"/>
  <c r="V38"/>
  <c r="V39"/>
  <c r="V40"/>
  <c r="W36"/>
  <c r="W37"/>
  <c r="W38"/>
  <c r="W39"/>
  <c r="W40"/>
  <c r="X36"/>
  <c r="X37"/>
  <c r="X38"/>
  <c r="X39"/>
  <c r="X40"/>
  <c r="Y36"/>
  <c r="Y37"/>
  <c r="Y38"/>
  <c r="Y39"/>
  <c r="Y40"/>
  <c r="Z36"/>
  <c r="Z37"/>
  <c r="Z38"/>
  <c r="Z39"/>
  <c r="Z40"/>
  <c r="AA36"/>
  <c r="AA37"/>
  <c r="AA38"/>
  <c r="AA39"/>
  <c r="AA40"/>
  <c r="AB36"/>
  <c r="AB37"/>
  <c r="AB38"/>
  <c r="AB39"/>
  <c r="AB40"/>
  <c r="AC36"/>
  <c r="AC37"/>
  <c r="AC38"/>
  <c r="AC39"/>
  <c r="AC40"/>
  <c r="AD36"/>
  <c r="AD37"/>
  <c r="AD38"/>
  <c r="AD39"/>
  <c r="AD40"/>
  <c r="S29"/>
  <c r="S30"/>
  <c r="S31"/>
  <c r="S32"/>
  <c r="S33"/>
  <c r="S34"/>
  <c r="S35"/>
  <c r="T29"/>
  <c r="T30"/>
  <c r="T31"/>
  <c r="T32"/>
  <c r="T33"/>
  <c r="T34"/>
  <c r="T35"/>
  <c r="V29"/>
  <c r="V30"/>
  <c r="V31"/>
  <c r="V32"/>
  <c r="V33"/>
  <c r="V34"/>
  <c r="V35"/>
  <c r="W29"/>
  <c r="W30"/>
  <c r="W31"/>
  <c r="W32"/>
  <c r="W33"/>
  <c r="W34"/>
  <c r="W35"/>
  <c r="X29"/>
  <c r="X30"/>
  <c r="X31"/>
  <c r="X32"/>
  <c r="X33"/>
  <c r="X34"/>
  <c r="X35"/>
  <c r="Y29"/>
  <c r="Y30"/>
  <c r="Y31"/>
  <c r="Y32"/>
  <c r="Y33"/>
  <c r="Y34"/>
  <c r="Y35"/>
  <c r="Z29"/>
  <c r="Z30"/>
  <c r="Z31"/>
  <c r="Z32"/>
  <c r="Z33"/>
  <c r="Z34"/>
  <c r="Z35"/>
  <c r="AA29"/>
  <c r="AA30"/>
  <c r="AA31"/>
  <c r="AA32"/>
  <c r="AA33"/>
  <c r="AA34"/>
  <c r="AA35"/>
  <c r="AB29"/>
  <c r="AB30"/>
  <c r="AB31"/>
  <c r="AB32"/>
  <c r="AB33"/>
  <c r="AB34"/>
  <c r="AB35"/>
  <c r="AC29"/>
  <c r="AC30"/>
  <c r="AC31"/>
  <c r="AC32"/>
  <c r="AC33"/>
  <c r="AC34"/>
  <c r="AC35"/>
  <c r="AD29"/>
  <c r="AD30"/>
  <c r="AD31"/>
  <c r="AD32"/>
  <c r="AD33"/>
  <c r="AD34"/>
  <c r="AD35"/>
  <c r="R16"/>
  <c r="R17"/>
  <c r="S16"/>
  <c r="S17"/>
  <c r="S18"/>
  <c r="S19"/>
  <c r="S20"/>
  <c r="S21"/>
  <c r="S22"/>
  <c r="S23"/>
  <c r="S24"/>
  <c r="S25"/>
  <c r="S26"/>
  <c r="S27"/>
  <c r="S28"/>
  <c r="T16"/>
  <c r="T17"/>
  <c r="T18"/>
  <c r="T19"/>
  <c r="T20"/>
  <c r="T21"/>
  <c r="T22"/>
  <c r="T23"/>
  <c r="T24"/>
  <c r="T25"/>
  <c r="T26"/>
  <c r="T27"/>
  <c r="T28"/>
  <c r="V16"/>
  <c r="V17"/>
  <c r="V18"/>
  <c r="V19"/>
  <c r="V20"/>
  <c r="V21"/>
  <c r="V22"/>
  <c r="V23"/>
  <c r="V24"/>
  <c r="V25"/>
  <c r="V26"/>
  <c r="V27"/>
  <c r="V28"/>
  <c r="W16"/>
  <c r="W17"/>
  <c r="W18"/>
  <c r="W19"/>
  <c r="W20"/>
  <c r="W21"/>
  <c r="W22"/>
  <c r="W23"/>
  <c r="W24"/>
  <c r="W25"/>
  <c r="W26"/>
  <c r="W27"/>
  <c r="W28"/>
  <c r="X16"/>
  <c r="X17"/>
  <c r="X18"/>
  <c r="X19"/>
  <c r="X20"/>
  <c r="X21"/>
  <c r="X22"/>
  <c r="X23"/>
  <c r="X24"/>
  <c r="X25"/>
  <c r="X26"/>
  <c r="X27"/>
  <c r="X28"/>
  <c r="Y16"/>
  <c r="Y17"/>
  <c r="Y18"/>
  <c r="Y19"/>
  <c r="Y20"/>
  <c r="Y21"/>
  <c r="Y22"/>
  <c r="Y23"/>
  <c r="Y24"/>
  <c r="Y25"/>
  <c r="Y26"/>
  <c r="Y27"/>
  <c r="Y28"/>
  <c r="Z16"/>
  <c r="Z17"/>
  <c r="Z18"/>
  <c r="Z19"/>
  <c r="Z20"/>
  <c r="Z21"/>
  <c r="Z22"/>
  <c r="Z23"/>
  <c r="Z24"/>
  <c r="Z25"/>
  <c r="Z26"/>
  <c r="Z27"/>
  <c r="Z28"/>
  <c r="AA16"/>
  <c r="AA17"/>
  <c r="AA18"/>
  <c r="AA19"/>
  <c r="AA20"/>
  <c r="AA21"/>
  <c r="AA22"/>
  <c r="AA23"/>
  <c r="AA24"/>
  <c r="AA25"/>
  <c r="AA26"/>
  <c r="AA27"/>
  <c r="AA28"/>
  <c r="AB16"/>
  <c r="AB17"/>
  <c r="AB18"/>
  <c r="AB19"/>
  <c r="AB20"/>
  <c r="AB21"/>
  <c r="AB22"/>
  <c r="AB23"/>
  <c r="AB24"/>
  <c r="AB25"/>
  <c r="AB26"/>
  <c r="AB27"/>
  <c r="AB28"/>
  <c r="AC16"/>
  <c r="AC17"/>
  <c r="AC18"/>
  <c r="AC19"/>
  <c r="AC20"/>
  <c r="AC21"/>
  <c r="AC22"/>
  <c r="AC23"/>
  <c r="AC24"/>
  <c r="AC25"/>
  <c r="AC26"/>
  <c r="AC27"/>
  <c r="AC28"/>
  <c r="AD16"/>
  <c r="AD17"/>
  <c r="AD18"/>
  <c r="AD19"/>
  <c r="AD20"/>
  <c r="AD21"/>
  <c r="AD22"/>
  <c r="AD23"/>
  <c r="AD24"/>
  <c r="AD25"/>
  <c r="AD26"/>
  <c r="AD27"/>
  <c r="AD28"/>
  <c r="U6"/>
  <c r="V6"/>
  <c r="U7"/>
  <c r="V7"/>
  <c r="U8"/>
  <c r="V8"/>
  <c r="U9"/>
  <c r="V9"/>
  <c r="V10"/>
  <c r="V11"/>
  <c r="V12"/>
  <c r="V13"/>
  <c r="V14"/>
  <c r="V15"/>
  <c r="AM15"/>
  <c r="AM14"/>
  <c r="AM13"/>
  <c r="AM12"/>
  <c r="AM11"/>
  <c r="AM10"/>
  <c r="AM9"/>
  <c r="AM8"/>
  <c r="AM7"/>
  <c r="AM6"/>
  <c r="AE6"/>
  <c r="AF6"/>
  <c r="AG6"/>
  <c r="AH6"/>
  <c r="AI6"/>
  <c r="AJ6"/>
  <c r="AK6"/>
  <c r="AE7"/>
  <c r="AF7"/>
  <c r="AG7"/>
  <c r="AH7"/>
  <c r="AI7"/>
  <c r="AJ7"/>
  <c r="AK7"/>
  <c r="AE8"/>
  <c r="AF8"/>
  <c r="AG8"/>
  <c r="AH8"/>
  <c r="AI8"/>
  <c r="AJ8"/>
  <c r="AK8"/>
  <c r="AE9"/>
  <c r="AF9"/>
  <c r="AG9"/>
  <c r="AH9"/>
  <c r="AI9"/>
  <c r="AJ9"/>
  <c r="AK9"/>
  <c r="AE10"/>
  <c r="AF10"/>
  <c r="AG10"/>
  <c r="AH10"/>
  <c r="AI10"/>
  <c r="AJ10"/>
  <c r="AK10"/>
  <c r="AE11"/>
  <c r="AF11"/>
  <c r="AG11"/>
  <c r="AH11"/>
  <c r="AI11"/>
  <c r="AJ11"/>
  <c r="AK11"/>
  <c r="AE12"/>
  <c r="AF12"/>
  <c r="AG12"/>
  <c r="AH12"/>
  <c r="AI12"/>
  <c r="AJ12"/>
  <c r="AK12"/>
  <c r="AE13"/>
  <c r="AF13"/>
  <c r="AG13"/>
  <c r="AH13"/>
  <c r="AI13"/>
  <c r="AJ13"/>
  <c r="AK13"/>
  <c r="AE14"/>
  <c r="AF14"/>
  <c r="AG14"/>
  <c r="AH14"/>
  <c r="AI14"/>
  <c r="AJ14"/>
  <c r="AK14"/>
  <c r="AE15"/>
  <c r="AF15"/>
  <c r="AG15"/>
  <c r="AH15"/>
  <c r="AI15"/>
  <c r="AJ15"/>
  <c r="AK15"/>
  <c r="R10"/>
  <c r="R11"/>
  <c r="R12"/>
  <c r="R13"/>
  <c r="R14"/>
  <c r="R15"/>
  <c r="S6"/>
  <c r="S7"/>
  <c r="S8"/>
  <c r="S9"/>
  <c r="S10"/>
  <c r="S11"/>
  <c r="S12"/>
  <c r="S13"/>
  <c r="S14"/>
  <c r="S15"/>
  <c r="T6"/>
  <c r="T7"/>
  <c r="T8"/>
  <c r="T9"/>
  <c r="T10"/>
  <c r="T11"/>
  <c r="T12"/>
  <c r="T13"/>
  <c r="T14"/>
  <c r="T15"/>
  <c r="W6"/>
  <c r="W7"/>
  <c r="W8"/>
  <c r="W9"/>
  <c r="W10"/>
  <c r="W11"/>
  <c r="W12"/>
  <c r="W13"/>
  <c r="W14"/>
  <c r="W15"/>
  <c r="X6"/>
  <c r="X7"/>
  <c r="X8"/>
  <c r="X9"/>
  <c r="X10"/>
  <c r="X11"/>
  <c r="X12"/>
  <c r="X13"/>
  <c r="X14"/>
  <c r="X15"/>
  <c r="Y6"/>
  <c r="Y7"/>
  <c r="Y8"/>
  <c r="Y9"/>
  <c r="Y10"/>
  <c r="Y11"/>
  <c r="Y12"/>
  <c r="Y13"/>
  <c r="Y14"/>
  <c r="Y15"/>
  <c r="Z6"/>
  <c r="Z7"/>
  <c r="Z8"/>
  <c r="Z9"/>
  <c r="Z10"/>
  <c r="Z11"/>
  <c r="Z12"/>
  <c r="Z13"/>
  <c r="Z14"/>
  <c r="Z15"/>
  <c r="AA6"/>
  <c r="AA7"/>
  <c r="AA8"/>
  <c r="AA9"/>
  <c r="AA10"/>
  <c r="AA11"/>
  <c r="AA12"/>
  <c r="AA13"/>
  <c r="AA14"/>
  <c r="AA15"/>
  <c r="AB6"/>
  <c r="AB7"/>
  <c r="AB8"/>
  <c r="AB9"/>
  <c r="AB10"/>
  <c r="AB11"/>
  <c r="AB12"/>
  <c r="AB13"/>
  <c r="AB14"/>
  <c r="AB15"/>
  <c r="AC6"/>
  <c r="AC7"/>
  <c r="AC8"/>
  <c r="AC9"/>
  <c r="AC10"/>
  <c r="AC11"/>
  <c r="AC12"/>
  <c r="AC13"/>
  <c r="AC14"/>
  <c r="AC15"/>
  <c r="AD6"/>
  <c r="AD7"/>
  <c r="AD8"/>
  <c r="AD9"/>
  <c r="AD10"/>
  <c r="AD11"/>
  <c r="AD12"/>
  <c r="AD13"/>
  <c r="AD14"/>
  <c r="AD15"/>
  <c r="A2"/>
  <c r="AL108" l="1"/>
  <c r="AN108" s="1"/>
  <c r="AL139"/>
  <c r="AN139" s="1"/>
  <c r="AL117"/>
  <c r="AN117" s="1"/>
  <c r="AL110"/>
  <c r="AN110" s="1"/>
  <c r="AL40"/>
  <c r="AN40" s="1"/>
  <c r="AL47"/>
  <c r="AN47" s="1"/>
  <c r="AL98"/>
  <c r="AN98" s="1"/>
  <c r="AL37"/>
  <c r="AN37" s="1"/>
  <c r="AL76"/>
  <c r="AN76" s="1"/>
  <c r="AL136"/>
  <c r="AN136" s="1"/>
  <c r="AL55"/>
  <c r="AN55" s="1"/>
  <c r="AL138"/>
  <c r="AN138" s="1"/>
  <c r="AL57"/>
  <c r="AN57" s="1"/>
  <c r="AL122"/>
  <c r="AN122" s="1"/>
  <c r="AL134"/>
  <c r="AN134" s="1"/>
  <c r="AL121"/>
  <c r="AN121" s="1"/>
  <c r="AL64"/>
  <c r="AN64" s="1"/>
  <c r="AL120"/>
  <c r="AN120" s="1"/>
  <c r="AL63"/>
  <c r="AN63" s="1"/>
  <c r="AL29"/>
  <c r="AN29" s="1"/>
  <c r="AL70"/>
  <c r="AN70" s="1"/>
  <c r="AL50"/>
  <c r="AN50" s="1"/>
  <c r="AL46"/>
  <c r="AN46" s="1"/>
  <c r="AL89"/>
  <c r="AN89" s="1"/>
  <c r="AL123"/>
  <c r="AN123" s="1"/>
  <c r="AL132"/>
  <c r="AN132" s="1"/>
  <c r="AL68"/>
  <c r="AN68" s="1"/>
  <c r="AL31"/>
  <c r="AN31" s="1"/>
  <c r="AL32"/>
  <c r="AN32" s="1"/>
  <c r="AL10"/>
  <c r="AN10" s="1"/>
  <c r="AL119"/>
  <c r="AN119" s="1"/>
  <c r="AL38"/>
  <c r="AN38" s="1"/>
  <c r="AL115"/>
  <c r="AN115" s="1"/>
  <c r="AL113"/>
  <c r="AN113" s="1"/>
  <c r="AL112"/>
  <c r="AN112" s="1"/>
  <c r="AL105"/>
  <c r="AN105" s="1"/>
  <c r="AL144"/>
  <c r="AN144" s="1"/>
  <c r="AL19"/>
  <c r="AN19" s="1"/>
  <c r="AL87"/>
  <c r="AN87" s="1"/>
  <c r="AL80"/>
  <c r="AN80" s="1"/>
  <c r="AL60"/>
  <c r="AN60" s="1"/>
  <c r="AL143"/>
  <c r="AN143" s="1"/>
  <c r="AL92"/>
  <c r="AN92" s="1"/>
  <c r="AL95"/>
  <c r="AN95" s="1"/>
  <c r="AL93"/>
  <c r="AN93" s="1"/>
  <c r="AL107"/>
  <c r="AN107" s="1"/>
  <c r="AL90"/>
  <c r="AN90" s="1"/>
  <c r="AL67"/>
  <c r="AN67" s="1"/>
  <c r="AL54"/>
  <c r="AN54" s="1"/>
  <c r="AL91"/>
  <c r="AN91" s="1"/>
  <c r="AL39"/>
  <c r="AN39" s="1"/>
  <c r="AL14"/>
  <c r="AN14" s="1"/>
  <c r="AL43"/>
  <c r="AN43" s="1"/>
  <c r="AL71"/>
  <c r="AN71" s="1"/>
  <c r="AL48"/>
  <c r="AN48" s="1"/>
  <c r="AL141"/>
  <c r="AN141" s="1"/>
  <c r="AL18"/>
  <c r="AN18" s="1"/>
  <c r="AL24"/>
  <c r="AN24" s="1"/>
  <c r="AL30"/>
  <c r="AN30" s="1"/>
  <c r="AL69"/>
  <c r="AN69" s="1"/>
  <c r="AL45"/>
  <c r="AN45" s="1"/>
  <c r="AL72"/>
  <c r="AN72" s="1"/>
  <c r="AL116"/>
  <c r="AN116" s="1"/>
  <c r="AL42"/>
  <c r="AN42" s="1"/>
  <c r="AL35"/>
  <c r="AN35" s="1"/>
  <c r="AL51"/>
  <c r="AN51" s="1"/>
  <c r="AL104"/>
  <c r="AN104" s="1"/>
  <c r="AL65"/>
  <c r="AN65" s="1"/>
  <c r="AL124"/>
  <c r="AN124" s="1"/>
  <c r="AL133"/>
  <c r="AN133" s="1"/>
  <c r="AL130"/>
  <c r="AN130" s="1"/>
  <c r="AL28"/>
  <c r="AN28" s="1"/>
  <c r="AL21"/>
  <c r="AN21" s="1"/>
  <c r="AL34"/>
  <c r="AN34" s="1"/>
  <c r="AL85"/>
  <c r="AN85" s="1"/>
  <c r="AL84"/>
  <c r="AN84" s="1"/>
  <c r="AL131"/>
  <c r="AN131" s="1"/>
  <c r="AL129"/>
  <c r="AN129" s="1"/>
  <c r="AL7"/>
  <c r="AN7" s="1"/>
  <c r="AL75"/>
  <c r="AN75" s="1"/>
  <c r="AL83"/>
  <c r="AN83" s="1"/>
  <c r="AL140"/>
  <c r="AN140" s="1"/>
  <c r="AL6"/>
  <c r="AN6" s="1"/>
  <c r="AL20"/>
  <c r="AN20" s="1"/>
  <c r="AL26"/>
  <c r="AN26" s="1"/>
  <c r="AL102"/>
  <c r="AN102" s="1"/>
  <c r="AL82"/>
  <c r="AN82" s="1"/>
  <c r="AL62"/>
  <c r="AN62" s="1"/>
  <c r="AL145"/>
  <c r="AN145" s="1"/>
  <c r="AL126"/>
  <c r="AN126" s="1"/>
  <c r="AL15"/>
  <c r="AN15" s="1"/>
  <c r="AL25"/>
  <c r="AN25" s="1"/>
  <c r="AL101"/>
  <c r="AN101" s="1"/>
  <c r="AL81"/>
  <c r="AN81" s="1"/>
  <c r="AL61"/>
  <c r="AN61" s="1"/>
  <c r="AL17"/>
  <c r="AN17" s="1"/>
  <c r="AL58"/>
  <c r="AN58" s="1"/>
  <c r="AL111"/>
  <c r="AN111" s="1"/>
  <c r="AL118"/>
  <c r="AN118" s="1"/>
  <c r="AL125"/>
  <c r="AN125" s="1"/>
  <c r="AL137"/>
  <c r="AN137" s="1"/>
  <c r="AL16"/>
  <c r="AN16" s="1"/>
  <c r="AL44"/>
  <c r="AN44" s="1"/>
  <c r="AL99"/>
  <c r="AN99" s="1"/>
  <c r="AL79"/>
  <c r="AN79" s="1"/>
  <c r="AL59"/>
  <c r="AN59" s="1"/>
  <c r="AL109"/>
  <c r="AN109" s="1"/>
  <c r="AL41"/>
  <c r="AN41" s="1"/>
  <c r="AL127"/>
  <c r="AN127" s="1"/>
  <c r="AL128"/>
  <c r="AN128" s="1"/>
  <c r="AL23"/>
  <c r="AN23" s="1"/>
  <c r="AL22"/>
  <c r="AN22" s="1"/>
  <c r="AL97"/>
  <c r="AN97" s="1"/>
  <c r="AL78"/>
  <c r="AN78" s="1"/>
  <c r="AL135"/>
  <c r="AN135" s="1"/>
  <c r="AL9"/>
  <c r="AN9" s="1"/>
  <c r="AL94"/>
  <c r="AN94" s="1"/>
  <c r="AL8"/>
  <c r="AN8" s="1"/>
  <c r="AL36"/>
  <c r="AN36" s="1"/>
  <c r="AL56"/>
  <c r="AN56" s="1"/>
  <c r="AL73"/>
  <c r="AN73" s="1"/>
  <c r="AL77"/>
  <c r="AN77" s="1"/>
  <c r="AL74"/>
  <c r="AN74" s="1"/>
  <c r="AL53"/>
  <c r="AN53" s="1"/>
  <c r="AL142"/>
  <c r="AN142" s="1"/>
  <c r="AL27"/>
  <c r="AN27" s="1"/>
  <c r="AL13"/>
  <c r="AN13" s="1"/>
  <c r="AL88"/>
  <c r="AN88" s="1"/>
  <c r="AL49"/>
  <c r="AN49" s="1"/>
  <c r="AL106"/>
  <c r="AN106" s="1"/>
  <c r="AL12"/>
  <c r="AN12" s="1"/>
  <c r="AL11"/>
  <c r="AN11" s="1"/>
  <c r="AL33"/>
  <c r="AN33" s="1"/>
  <c r="AL52"/>
  <c r="AN52" s="1"/>
  <c r="AL86"/>
  <c r="AN86" s="1"/>
  <c r="AL66"/>
  <c r="AN66" s="1"/>
  <c r="AL103"/>
  <c r="AN103" s="1"/>
  <c r="AL100"/>
  <c r="AN100" s="1"/>
  <c r="AL96"/>
  <c r="AN96" s="1"/>
  <c r="AL114"/>
  <c r="AN114" s="1"/>
  <c r="AN163"/>
  <c r="AN186"/>
  <c r="AN253"/>
  <c r="AN203"/>
  <c r="AN187"/>
  <c r="AN234"/>
  <c r="AN219"/>
  <c r="AN149"/>
  <c r="AN235"/>
  <c r="AN232"/>
  <c r="AN200"/>
  <c r="AN182"/>
  <c r="AN248"/>
  <c r="AN229"/>
  <c r="AN247"/>
  <c r="AN210"/>
  <c r="AN175"/>
  <c r="AN191"/>
  <c r="AN161"/>
  <c r="AN250"/>
  <c r="AN159"/>
  <c r="AN233"/>
  <c r="AN148"/>
  <c r="AN160"/>
  <c r="AN230"/>
  <c r="AN183"/>
  <c r="AN201"/>
  <c r="AN164"/>
  <c r="AN165"/>
  <c r="AN176"/>
  <c r="AN228"/>
  <c r="AN209"/>
  <c r="AN153"/>
</calcChain>
</file>

<file path=xl/sharedStrings.xml><?xml version="1.0" encoding="utf-8"?>
<sst xmlns="http://schemas.openxmlformats.org/spreadsheetml/2006/main" count="6492" uniqueCount="1302">
  <si>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</si>
  <si>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</si>
  <si>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</si>
  <si>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</si>
  <si>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</si>
  <si>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</si>
  <si>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</si>
  <si>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</si>
  <si>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</si>
  <si>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</si>
  <si>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</si>
  <si>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</si>
  <si>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</si>
  <si>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</si>
  <si>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</si>
  <si>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</si>
  <si>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</si>
  <si>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Numer zamówienia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</si>
  <si>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</si>
  <si>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</si>
  <si>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</si>
  <si>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</si>
  <si>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</si>
  <si>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</si>
  <si>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</si>
  <si>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</si>
  <si>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</si>
  <si>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</si>
  <si>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</si>
  <si>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</si>
  <si>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</si>
  <si>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</si>
  <si>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</si>
  <si>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Materiał</t>
  </si>
  <si>
    <t>Uwagi:</t>
  </si>
  <si>
    <t>Inspektor Jakości</t>
  </si>
  <si>
    <t>DOSTAWCA</t>
  </si>
  <si>
    <t>.PDF</t>
  </si>
  <si>
    <t>.DXF</t>
  </si>
  <si>
    <t>.STEP</t>
  </si>
  <si>
    <t>Obróbka</t>
  </si>
  <si>
    <t>Obróbka cieplna</t>
  </si>
  <si>
    <t>Powłoka</t>
  </si>
  <si>
    <t xml:space="preserve">Wymagana data dostawy 
</t>
  </si>
  <si>
    <t>Opis</t>
  </si>
  <si>
    <t>Ścieżka ===&gt;&gt;</t>
  </si>
  <si>
    <t>xxx</t>
  </si>
  <si>
    <t>Uwagi Inspektora</t>
  </si>
  <si>
    <t>Data inspekcji</t>
  </si>
  <si>
    <t>Nr. Kat.</t>
  </si>
  <si>
    <t>MAGAZYN</t>
  </si>
  <si>
    <t>Do Zamówienia</t>
  </si>
  <si>
    <t xml:space="preserve">Nr. Części </t>
  </si>
  <si>
    <t>ID. Części</t>
  </si>
  <si>
    <t>Rewizja</t>
  </si>
  <si>
    <t>Komentarz</t>
  </si>
  <si>
    <t>Braki</t>
  </si>
  <si>
    <t>Notatki</t>
  </si>
  <si>
    <t>Data wpisania
dd-mm-yyyy</t>
  </si>
  <si>
    <t>17</t>
  </si>
  <si>
    <t>18</t>
  </si>
  <si>
    <t>19</t>
  </si>
  <si>
    <t>20</t>
  </si>
  <si>
    <t>Nie dodawać i nie usuwać kolumn. Zmiany będą skutkować błędami MAKRA!
Niepotrzebne kolumny proszę ukrywać.</t>
  </si>
  <si>
    <t>Stany detalu</t>
  </si>
  <si>
    <t>Detal anulowano</t>
  </si>
  <si>
    <t>Detal wstrzymano</t>
  </si>
  <si>
    <t>Detal testowy</t>
  </si>
  <si>
    <t>Przeróbka</t>
  </si>
  <si>
    <t>1.</t>
  </si>
  <si>
    <t>2.</t>
  </si>
  <si>
    <t>3.</t>
  </si>
  <si>
    <t>4.</t>
  </si>
  <si>
    <t>kolor błędu</t>
  </si>
  <si>
    <t>nazwisko</t>
  </si>
  <si>
    <t>id części</t>
  </si>
  <si>
    <t>rewizja</t>
  </si>
  <si>
    <t>opis</t>
  </si>
  <si>
    <t>obróbka</t>
  </si>
  <si>
    <t>index</t>
  </si>
  <si>
    <t>-</t>
  </si>
  <si>
    <t>obróbka cieplna</t>
  </si>
  <si>
    <t>powłoka</t>
  </si>
  <si>
    <t>ilość suma</t>
  </si>
  <si>
    <t>ilość start</t>
  </si>
  <si>
    <t>numer zamówienia</t>
  </si>
  <si>
    <t>uwagi</t>
  </si>
  <si>
    <t>ANULOWANO</t>
  </si>
  <si>
    <t>WSTRZYMANO</t>
  </si>
  <si>
    <t>pusty</t>
  </si>
  <si>
    <t>pusty lub -</t>
  </si>
  <si>
    <t>niepusty</t>
  </si>
  <si>
    <t>ile kolumn</t>
  </si>
  <si>
    <t>sprawdzaj wiersze
od (min 6)
do (0 jeśli do końca)</t>
  </si>
  <si>
    <t>BŁĄD</t>
  </si>
  <si>
    <t>&gt; 0</t>
  </si>
  <si>
    <t>&lt; 0</t>
  </si>
  <si>
    <t>wyróżnij</t>
  </si>
  <si>
    <t>data czas</t>
  </si>
  <si>
    <t>magazyn</t>
  </si>
  <si>
    <t>do zamówienia</t>
  </si>
  <si>
    <t>= 0</t>
  </si>
  <si>
    <t>= 0, artykuł istnieje</t>
  </si>
  <si>
    <t>= 0, artykuj nie istnieje</t>
  </si>
  <si>
    <t>wymagana data dostawy</t>
  </si>
  <si>
    <t>dostawca</t>
  </si>
  <si>
    <t>Nr. Części  
/ TYP ALFANUMERYCZNIE</t>
  </si>
  <si>
    <t>Nr. Kat. 
/ TYP NUMERYCZNIE</t>
  </si>
  <si>
    <t>Materiał 
/ PRODUCENT</t>
  </si>
  <si>
    <t>PRT-A0065981</t>
  </si>
  <si>
    <t>A</t>
  </si>
  <si>
    <t>Osłona 3</t>
  </si>
  <si>
    <t>1704-01-PRT-A0065981-A-Osłona 3</t>
  </si>
  <si>
    <t>PC /poliweglan</t>
  </si>
  <si>
    <t>Laser</t>
  </si>
  <si>
    <t>Modernizacja wygrodzenia 1704 - BMW G60</t>
  </si>
  <si>
    <t>PRT-A0062094</t>
  </si>
  <si>
    <t>Płytka łącząca</t>
  </si>
  <si>
    <t>1927-000-PRT-A0062094-A-Płytka łącząca</t>
  </si>
  <si>
    <t>S235JR/1.0037</t>
  </si>
  <si>
    <t>Malować RAL 7045 (ciemny szary)</t>
  </si>
  <si>
    <t xml:space="preserve">Ilość według listy </t>
  </si>
  <si>
    <t>PRT-A0065974</t>
  </si>
  <si>
    <t>Osłona 2</t>
  </si>
  <si>
    <t>1704-01-PRT-A0065974-A-Osłona 2</t>
  </si>
  <si>
    <t>PRT-A0065972</t>
  </si>
  <si>
    <t>Osłona</t>
  </si>
  <si>
    <t>1704-01-PRT-A0065972-A-Osłona</t>
  </si>
  <si>
    <t>K. Lak</t>
  </si>
  <si>
    <t>3</t>
  </si>
  <si>
    <t>7</t>
  </si>
  <si>
    <t>8</t>
  </si>
  <si>
    <t>10</t>
  </si>
  <si>
    <t>Z:\3. MS\2011,2013 - VW ECRAFTER   ID BUZ NAR\5 - RYSUNKI</t>
  </si>
  <si>
    <t>PDF</t>
  </si>
  <si>
    <t>DXF</t>
  </si>
  <si>
    <t>STEP</t>
  </si>
  <si>
    <t>000 - Elementy Wspólne</t>
  </si>
  <si>
    <t>1704 - Drzwi serwisowe</t>
  </si>
  <si>
    <t>000 - Elementy Wspólne2</t>
  </si>
  <si>
    <t>100 - Podmontaż Dźwigni</t>
  </si>
  <si>
    <t>200 - Podmontaż wspornika</t>
  </si>
  <si>
    <t>300 - Podmontaż mikrostyków</t>
  </si>
  <si>
    <t>400 - Modernizacja Narzędzia ID BUZ na ID BUZ NAR</t>
  </si>
  <si>
    <t>500 - Modernizacja Chwytaków ID BUZ na ID BUZ NAR</t>
  </si>
  <si>
    <t>000.MAG.22.M8</t>
  </si>
  <si>
    <t>Kostka zderzaka</t>
  </si>
  <si>
    <t>45/1.0530</t>
  </si>
  <si>
    <t>Promatik</t>
  </si>
  <si>
    <t>Czernić</t>
  </si>
  <si>
    <t>PRT-A0068851</t>
  </si>
  <si>
    <t>Płyta dolna</t>
  </si>
  <si>
    <t>2011-400-PRT-A0068851-A-Płyta dolna</t>
  </si>
  <si>
    <t>PA6/3.1325</t>
  </si>
  <si>
    <t>Skrawanie</t>
  </si>
  <si>
    <t>Anodować</t>
  </si>
  <si>
    <t>PRT-A0068849</t>
  </si>
  <si>
    <t>Mocowanie siłownika 1</t>
  </si>
  <si>
    <t>2011-400-PRT-A0068849-A-Mocowanie siłownika 1</t>
  </si>
  <si>
    <t>PRT-A0068848</t>
  </si>
  <si>
    <t>Mocowanie siłownika 2</t>
  </si>
  <si>
    <t>2011-400-PRT-A0068848-A-Mocowanie siłownika 2</t>
  </si>
  <si>
    <t>PRT-A0068847</t>
  </si>
  <si>
    <t>Płyta pionowa</t>
  </si>
  <si>
    <t>2011-400-PRT-A0068847-A-Płyta pionowa</t>
  </si>
  <si>
    <t>PRT-A0068852</t>
  </si>
  <si>
    <t xml:space="preserve">Tulejka </t>
  </si>
  <si>
    <t xml:space="preserve">2011-400-PRT-A0068852-A-Tulejka </t>
  </si>
  <si>
    <t>C45/1.0503</t>
  </si>
  <si>
    <t>PRT-A0068850</t>
  </si>
  <si>
    <t>Uchwyt sprzęgła</t>
  </si>
  <si>
    <t>2011-400-PRT-A0068850-A-Uchwyt sprzęgła</t>
  </si>
  <si>
    <t xml:space="preserve"> </t>
  </si>
  <si>
    <t>PRT-A0068846</t>
  </si>
  <si>
    <t>Uchwyt sprzęgła 2</t>
  </si>
  <si>
    <t>2011-400-PRT-A0068846-A-Uchwyt sprzęgła 2</t>
  </si>
  <si>
    <t>PRT-A0068844</t>
  </si>
  <si>
    <t>Płytka boczna</t>
  </si>
  <si>
    <t>2011-400-PRT-A0068844-A-Płytka boczna</t>
  </si>
  <si>
    <t>PRT-A0068842</t>
  </si>
  <si>
    <t>2011-400-PRT-A0068842-A-Mocowanie wypychacza</t>
  </si>
  <si>
    <t>PRT-A0068841</t>
  </si>
  <si>
    <t>Gniazdo górne pina</t>
  </si>
  <si>
    <t>2011-400-PRT-A0068841-A-Gniazdo górne pina</t>
  </si>
  <si>
    <t>Gniazdo górne pina-Lustro</t>
  </si>
  <si>
    <t>2011-400-PRT-A0068841-A-Gniazdo górne pina-Lustro</t>
  </si>
  <si>
    <t>PRT-A0068857</t>
  </si>
  <si>
    <t>Tuleja prowadząca</t>
  </si>
  <si>
    <t>2011-400-PRT-A0068857-A-Tuleja prowadząca</t>
  </si>
  <si>
    <t>B101 /CuSn10P</t>
  </si>
  <si>
    <t>PRT-A0068858</t>
  </si>
  <si>
    <t>Gniazdo pina</t>
  </si>
  <si>
    <t>2011-400-PRT-A0068858-A-Gniazdo pina</t>
  </si>
  <si>
    <t>40H/1.7035</t>
  </si>
  <si>
    <t>PRT-A0068856</t>
  </si>
  <si>
    <t>Tuleja końcowa</t>
  </si>
  <si>
    <t>2011-400-PRT-A0068856-A-Tuleja końcowa</t>
  </si>
  <si>
    <t>PRT-A0068855</t>
  </si>
  <si>
    <t>Wałek gwintowany</t>
  </si>
  <si>
    <t>2011-400-PRT-A0068855-A-Wałek gwintowany</t>
  </si>
  <si>
    <t>PRT-A0068854</t>
  </si>
  <si>
    <t>Nakrętka</t>
  </si>
  <si>
    <t>2011-400-PRT-A0068854-A-Nakrętka</t>
  </si>
  <si>
    <t>PRT-A0068853</t>
  </si>
  <si>
    <t>Nakrętka 2</t>
  </si>
  <si>
    <t>2011-400-PRT-A0068853-A-Nakrętka 2</t>
  </si>
  <si>
    <t>PRT-A0068845</t>
  </si>
  <si>
    <t>Blaszka boczna</t>
  </si>
  <si>
    <t>2011-400-PRT-A0068845-A-Blaszka boczna</t>
  </si>
  <si>
    <t>0H18N9/1.4301</t>
  </si>
  <si>
    <t>M. Ziętal</t>
  </si>
  <si>
    <t>400-Narzędzie Ecrafter tył</t>
  </si>
  <si>
    <t>40 HRC±2HRC</t>
  </si>
  <si>
    <t>Mocowanie wypychacza</t>
  </si>
  <si>
    <t>32 HRC±2HRC</t>
  </si>
  <si>
    <t>PRT-A0068777</t>
  </si>
  <si>
    <t>2011-400-PRT-A0068777-A-Mocowanie prowadnika 2</t>
  </si>
  <si>
    <t>PRT-A0068776</t>
  </si>
  <si>
    <t>2011-400-PRT-A0068776-A-Mocowanie prowadnika</t>
  </si>
  <si>
    <t>PRT-A0068787</t>
  </si>
  <si>
    <t>Wałek docisku</t>
  </si>
  <si>
    <t>2011-400-PRT-A0068787-A-Wałek docisku</t>
  </si>
  <si>
    <t>REXROTH</t>
  </si>
  <si>
    <t>PRT-A0068781</t>
  </si>
  <si>
    <t>Dystans blokady</t>
  </si>
  <si>
    <t>2011-400-PRT-A0068781-A-Dystans blokady</t>
  </si>
  <si>
    <t>PA9/3.4365</t>
  </si>
  <si>
    <t>PRT-A0068785</t>
  </si>
  <si>
    <t>2011-400-PRT-A0068785-A-Płyta pionowa</t>
  </si>
  <si>
    <t>PRT-A0068784</t>
  </si>
  <si>
    <t>Płytka dolna</t>
  </si>
  <si>
    <t>2011-400-PRT-A0068784-A-Płytka dolna</t>
  </si>
  <si>
    <t>PRT-A0068783</t>
  </si>
  <si>
    <t>Płytka przednia</t>
  </si>
  <si>
    <t>2011-400-PRT-A0068783-A-Płytka przednia</t>
  </si>
  <si>
    <t>PRT-A0068782</t>
  </si>
  <si>
    <t>Żebro 2</t>
  </si>
  <si>
    <t>2011-400-PRT-A0068782-A-Żebro 2</t>
  </si>
  <si>
    <t>PRT-A0068780</t>
  </si>
  <si>
    <t>Mocowanie siłownika</t>
  </si>
  <si>
    <t>2011-400-PRT-A0068780-A-Mocowanie siłownika</t>
  </si>
  <si>
    <t>PRT-A0068779</t>
  </si>
  <si>
    <t>Mocowanie sprzęgła</t>
  </si>
  <si>
    <t>2011-400-PRT-A0068779-A-Mocowanie sprzęgła</t>
  </si>
  <si>
    <t>PRT-A0068778</t>
  </si>
  <si>
    <t>Żebro</t>
  </si>
  <si>
    <t>2011-400-PRT-A0068778-A-Żebro</t>
  </si>
  <si>
    <t>PRT-A0068786</t>
  </si>
  <si>
    <t>Oprawa łożysk</t>
  </si>
  <si>
    <t>2011-400-PRT-A0068786-A-Oprawa łożysk</t>
  </si>
  <si>
    <t>Mocowanie prowadnika 2</t>
  </si>
  <si>
    <t>Mocowanie prowadnika</t>
  </si>
  <si>
    <t>PRT-A0068862</t>
  </si>
  <si>
    <t>Płyta narzędzia</t>
  </si>
  <si>
    <t>2011-400-PRT-A0068862-A-Płyta narzędzia</t>
  </si>
  <si>
    <t>PRT-A0068861</t>
  </si>
  <si>
    <t>Płytka narożna</t>
  </si>
  <si>
    <t>2011-400-PRT-A0068861-A-Płytka narożna</t>
  </si>
  <si>
    <t>Cynkować na czarno</t>
  </si>
  <si>
    <t>PRT-A0068860</t>
  </si>
  <si>
    <t>Płytka środkowa</t>
  </si>
  <si>
    <t>2011-400-PRT-A0068860-A-Płytka środkowa</t>
  </si>
  <si>
    <t>PRT-A0068859</t>
  </si>
  <si>
    <t>Ślizg</t>
  </si>
  <si>
    <t>2011-400-PRT-A0068859-A-Ślizg</t>
  </si>
  <si>
    <t>P.P</t>
  </si>
  <si>
    <t>2011-800-PRT-A0069838-A-Uchwyt czujnika</t>
  </si>
  <si>
    <t>Uchwyt czujnika</t>
  </si>
  <si>
    <t>PRT-A0069838</t>
  </si>
  <si>
    <t>PRT-A0069838-Lustro</t>
  </si>
  <si>
    <t>2011-800-PRT-A0069838-A-Uchwyt czujnika-Lustro</t>
  </si>
  <si>
    <t>ZKZ</t>
  </si>
  <si>
    <t>OSŁONY  PC</t>
  </si>
  <si>
    <t>PCz</t>
  </si>
  <si>
    <t xml:space="preserve"> PRT-A0070324 </t>
  </si>
  <si>
    <t>2011-300-PRT-A0070324-A-Uchwyt czujnika</t>
  </si>
  <si>
    <t>Spiroflex</t>
  </si>
  <si>
    <t>Z/2011/laser-cz1/PCz/2023</t>
  </si>
  <si>
    <t>000.MAG.50 - M6 x30</t>
  </si>
  <si>
    <t>H</t>
  </si>
  <si>
    <t>Śruba separująca</t>
  </si>
  <si>
    <t>PROMATIK</t>
  </si>
  <si>
    <t>000.MAG.50 - M5x30</t>
  </si>
  <si>
    <t>C</t>
  </si>
  <si>
    <t>Śruba separujaca</t>
  </si>
  <si>
    <t>000.MAG.22.M6H</t>
  </si>
  <si>
    <t>000.MAG.22.M6</t>
  </si>
  <si>
    <t>B</t>
  </si>
  <si>
    <t>000.MAG.22M6</t>
  </si>
  <si>
    <t>PRT-A0069934</t>
  </si>
  <si>
    <t>Blacha wzmacniająca</t>
  </si>
  <si>
    <t>2011-200-PRT-A0069934-A-Blacha wzmacniająca</t>
  </si>
  <si>
    <t>PRT-A0069927</t>
  </si>
  <si>
    <t>PRT-A0069926</t>
  </si>
  <si>
    <t>PRT-A0069925</t>
  </si>
  <si>
    <t>PRT-A0069923</t>
  </si>
  <si>
    <t>Blaszka amortyzatora</t>
  </si>
  <si>
    <t>2011-200-PRT-A0069923-A-Blaszka amortyzatora</t>
  </si>
  <si>
    <t>PRT-A0069922</t>
  </si>
  <si>
    <t>Blacha amortyzatorów</t>
  </si>
  <si>
    <t>2011-200-PRT-A0069922-A-Blacha amortyzatorów</t>
  </si>
  <si>
    <t>PRT-A0070322</t>
  </si>
  <si>
    <t>Gniazdo RH cz2</t>
  </si>
  <si>
    <t>2011-200-PRT-A0070322-A-Gniazdo RH cz2</t>
  </si>
  <si>
    <t>POM</t>
  </si>
  <si>
    <t>PRT-A0070317</t>
  </si>
  <si>
    <t>Gniazdo RH cz1</t>
  </si>
  <si>
    <t>2011-200-PRT-A0070317-A-Gniazdo RH cz1</t>
  </si>
  <si>
    <t>PRT-A0069982</t>
  </si>
  <si>
    <t>Gniazdo LH cz2</t>
  </si>
  <si>
    <t>2011-200-PRT-A0069982-A-Gniazdo LH cz2</t>
  </si>
  <si>
    <t>PRT-A0069975</t>
  </si>
  <si>
    <t>Gniazdo LH cz1</t>
  </si>
  <si>
    <t>2011-200-PRT-A0069975-A-Gniazdo LH cz1</t>
  </si>
  <si>
    <t>PRT-A0069928</t>
  </si>
  <si>
    <t>2011-200-PRT-A0069928-A-Wspornik siłownika obrotowego</t>
  </si>
  <si>
    <t>PA38/3.2315</t>
  </si>
  <si>
    <t>PRT-A0070378</t>
  </si>
  <si>
    <t>Płytka adaptera</t>
  </si>
  <si>
    <t>2011-200-PRT-A0070378-A-Płytka adaptera</t>
  </si>
  <si>
    <t>PA13/3.3547</t>
  </si>
  <si>
    <t>PRT-A0070366</t>
  </si>
  <si>
    <t>PRT-A0070313</t>
  </si>
  <si>
    <t>2011-200-PRT-A0070313-A-Podstawka gniazda ECrafter RH</t>
  </si>
  <si>
    <t>PRT-A0069974</t>
  </si>
  <si>
    <t>2011-200-PRT-A0069974-A-Podstawka gniazda ECrafter LH</t>
  </si>
  <si>
    <t>PRT-A0069970</t>
  </si>
  <si>
    <t>Płyta pod gniazdami</t>
  </si>
  <si>
    <t>2011-200-PRT-A0069970-A-Płyta pod gniazdami</t>
  </si>
  <si>
    <t>PRT-A0069929</t>
  </si>
  <si>
    <t>Dystans docisku</t>
  </si>
  <si>
    <t>2011-200-PRT-A0069929-A-Dystans docisku</t>
  </si>
  <si>
    <t>PRT-A0069921</t>
  </si>
  <si>
    <t>Podstawa szyny</t>
  </si>
  <si>
    <t>2011-200-PRT-A0069921-A-Podstawa szyny</t>
  </si>
  <si>
    <t>PRT-A0069917</t>
  </si>
  <si>
    <t>Zastrzał osi Z</t>
  </si>
  <si>
    <t>2011-200-PRT-A0069917-A-Zastrzał osi Z</t>
  </si>
  <si>
    <t>PRT-A0069916</t>
  </si>
  <si>
    <t>2011-200-PRT-A0069916-A-Mocowanie sprzęgła oś Z</t>
  </si>
  <si>
    <t>PRT-A0069913</t>
  </si>
  <si>
    <t>Płyta szyn osi Z</t>
  </si>
  <si>
    <t>2011-200-PRT-A0069913-A-Płyta szyn osi Z</t>
  </si>
  <si>
    <t>PRT-A0069912</t>
  </si>
  <si>
    <t>2011-200-PRT-A0069912-A-Podstawa szyny</t>
  </si>
  <si>
    <t>PRT-A0069910</t>
  </si>
  <si>
    <t>Płyta suportu</t>
  </si>
  <si>
    <t>2011-200-PRT-A0069910-A-Płyta suportu</t>
  </si>
  <si>
    <t>PRT-A0069906</t>
  </si>
  <si>
    <t>Płyta prasy</t>
  </si>
  <si>
    <t>2011-200-PRT-A0069906-A-Płyta prasy</t>
  </si>
  <si>
    <t>PRT-A0070388</t>
  </si>
  <si>
    <t>Wspornik siłownika</t>
  </si>
  <si>
    <t>2011-200-PRT-A0070388-A-Wspornik siłownika</t>
  </si>
  <si>
    <t>PRT-A0069915</t>
  </si>
  <si>
    <t>2011-200-PRT-A0069915-A-Adapter stołu obrotowego</t>
  </si>
  <si>
    <t>PRT-A0070506</t>
  </si>
  <si>
    <t>2011-200-PRT-A0070506-A-Osłona dolna podmontażu</t>
  </si>
  <si>
    <t>DC01/1.0330</t>
  </si>
  <si>
    <t>PRT-A0070368</t>
  </si>
  <si>
    <t>Klin</t>
  </si>
  <si>
    <t>2011-200-PRT-A0070368-A-Klin</t>
  </si>
  <si>
    <t>PRT-A0070361</t>
  </si>
  <si>
    <t>2011-200-PRT-A0070361-A-Podstawa gniazda podmontażu</t>
  </si>
  <si>
    <t>PRT-A0070004</t>
  </si>
  <si>
    <t>Kostka podpierajaca</t>
  </si>
  <si>
    <t>2011-200-PRT-A0070004-A-Kostka podpierajaca</t>
  </si>
  <si>
    <t>PRT-A0069999</t>
  </si>
  <si>
    <t>Kosteczka regulacyjna</t>
  </si>
  <si>
    <t>2011-200-PRT-A0069999-A-Kosteczka regulacyjna</t>
  </si>
  <si>
    <t>PRT-A0069937</t>
  </si>
  <si>
    <t>PRT-A0069933</t>
  </si>
  <si>
    <t>2011-200-PRT-A0069933-A-Kostka amortyzatora Z</t>
  </si>
  <si>
    <t>PRT-A0069930</t>
  </si>
  <si>
    <t>2011-200-PRT-A0069930-A-Przedłużka podciśnienia 1</t>
  </si>
  <si>
    <t>PRT-A0069924</t>
  </si>
  <si>
    <t>Kosteczka oporowa</t>
  </si>
  <si>
    <t>2011-200-PRT-A0069924-A-Kosteczka oporowa</t>
  </si>
  <si>
    <t>PRT-A0069908</t>
  </si>
  <si>
    <t>Wałek stempla</t>
  </si>
  <si>
    <t>2011-200-PRT-A0069908-A-Wałek stempla</t>
  </si>
  <si>
    <t>PRT-A0069935</t>
  </si>
  <si>
    <t>Kostka zderzaka osi Z</t>
  </si>
  <si>
    <t>2011-200-PRT-A0069935-A-Kostka zderzaka osi Z</t>
  </si>
  <si>
    <t>PRT-A0069919</t>
  </si>
  <si>
    <t>2011-200-PRT-A0069919-A-Kostka zderzaka</t>
  </si>
  <si>
    <t>PRT-A0070349</t>
  </si>
  <si>
    <t>Gniazdko blaszek</t>
  </si>
  <si>
    <t>2011-200-PRT-A0070349-A-Gniazdko blaszek</t>
  </si>
  <si>
    <t>4H13/1.4034</t>
  </si>
  <si>
    <t>Piaskować</t>
  </si>
  <si>
    <t>PRT-A0070417</t>
  </si>
  <si>
    <t>Osłona siłownika</t>
  </si>
  <si>
    <t>2011-200-PRT-A0070417-A-Osłona siłownika</t>
  </si>
  <si>
    <t>PRT-A0070375</t>
  </si>
  <si>
    <t>Gniazdko switchów</t>
  </si>
  <si>
    <t>2011-200-PRT-A0070375-A-Gniazdko switchów</t>
  </si>
  <si>
    <t>PRT-A0069989</t>
  </si>
  <si>
    <t>Podpórka</t>
  </si>
  <si>
    <t>2011-200-PRT-A0069989-A-Podpórka</t>
  </si>
  <si>
    <t>PRT-A0069907</t>
  </si>
  <si>
    <t>Stempel prasy</t>
  </si>
  <si>
    <t>2011-200-PRT-A0069907-A-Stempel prasy</t>
  </si>
  <si>
    <t>PRT-A0070409</t>
  </si>
  <si>
    <t>Osłonka</t>
  </si>
  <si>
    <t>2011-200-PRT-A0070409-A-Osłonka</t>
  </si>
  <si>
    <t>PRT-A0070407</t>
  </si>
  <si>
    <t>Osłonka boczna</t>
  </si>
  <si>
    <t>2011-200-PRT-A0070407-A-Osłonka boczna</t>
  </si>
  <si>
    <t>PRT-A0070407-Lustro</t>
  </si>
  <si>
    <t>2011-200-PRT-A0070407-Lustro-A-Osłonka boczna</t>
  </si>
  <si>
    <t>PRT-A0070022</t>
  </si>
  <si>
    <t>Uchwyt gniazda</t>
  </si>
  <si>
    <t>2011-200-PRT-A0070022-A-Uchwyt gniazda</t>
  </si>
  <si>
    <t>PRT-A0069918</t>
  </si>
  <si>
    <t>Płytka siłownika osi Y</t>
  </si>
  <si>
    <t>2011-200-PRT-A0069918-A-Płytka siłownika osi Y</t>
  </si>
  <si>
    <t>PRT-A0069911</t>
  </si>
  <si>
    <t>Płyta pod narzędziem</t>
  </si>
  <si>
    <t>2011-200-PRT-A0069911--Płyta pod narzędziem</t>
  </si>
  <si>
    <t>PRT-A0069909</t>
  </si>
  <si>
    <t>2011-200-PRT-A0069909-A-Żebro</t>
  </si>
  <si>
    <t>PRT-A0069932</t>
  </si>
  <si>
    <t>Tulejka dystansowa</t>
  </si>
  <si>
    <t>2011-200-PRT-A0069932-A-Tulejka dystansowa</t>
  </si>
  <si>
    <t>PRT-A0069914</t>
  </si>
  <si>
    <t>Jarzmo</t>
  </si>
  <si>
    <t>2011-200-PRT-A0069914-A-Jarzmo</t>
  </si>
  <si>
    <t>PRT-A0069936</t>
  </si>
  <si>
    <t>Płytka oporowa obrotu</t>
  </si>
  <si>
    <t>2011-200-PRT-A0069936-A-Płytka oporowa obrotu</t>
  </si>
  <si>
    <t>40HM/1.7225</t>
  </si>
  <si>
    <t>R. Swaciak</t>
  </si>
  <si>
    <t>000.MAG.50 - M6X30</t>
  </si>
  <si>
    <t>Blaszka prowadnika poziomego stała</t>
  </si>
  <si>
    <t>2011-200-PRT-A0069927-A-Blaszka prowadnika poziomego stała</t>
  </si>
  <si>
    <t>Blaszka prowadnika poziomego ruchoma</t>
  </si>
  <si>
    <t>2011-200-PRT-A0069926-A-Blaszka prowadnika poziomego ruchoma</t>
  </si>
  <si>
    <t>Blaszka prowadnika pionowego ruchoma</t>
  </si>
  <si>
    <t>2011-200-PRT-A0069925-A-Blaszka prowadnika pionowego ruchoma</t>
  </si>
  <si>
    <t>Wspornik siłownika obrotowego</t>
  </si>
  <si>
    <t>Płytka podstawowa podmontażu blaszek</t>
  </si>
  <si>
    <t>2011-200-PRT-A0070366-A-Płytka podstawowa podmontażu blaszek</t>
  </si>
  <si>
    <t>Podstawka gniazda ECrafter RH</t>
  </si>
  <si>
    <t>Podstawka gniazda ECrafter LH</t>
  </si>
  <si>
    <t>Mocowanie sprzęgła oś Z</t>
  </si>
  <si>
    <t>Adapter stołu obrotowego</t>
  </si>
  <si>
    <t>Osłona dolna podmontażu</t>
  </si>
  <si>
    <t>Podstawa gniazda podmontażu</t>
  </si>
  <si>
    <t>Mocowanie śruby oporowej obrotu</t>
  </si>
  <si>
    <t>2011-200-PRT-A0069937-A-Mocowanie śruby oporowej obrotu</t>
  </si>
  <si>
    <t>Kostka amortyzatora Z</t>
  </si>
  <si>
    <t>Przedłużka podciśnienia 1</t>
  </si>
  <si>
    <t>1.2312 (40CrMnMoS8-6)</t>
  </si>
  <si>
    <t>000.MAG.22.M6-B</t>
  </si>
  <si>
    <t>000.MAG.22.M6H-A</t>
  </si>
  <si>
    <t>000.MAG.50 - M5 x30</t>
  </si>
  <si>
    <t>000.MAG.50 - M6 x30-H</t>
  </si>
  <si>
    <t>200 - Podmontaż styków</t>
  </si>
  <si>
    <t>Dostarczono</t>
  </si>
  <si>
    <t xml:space="preserve"> wybrane przerz PCz 2023-04-25</t>
  </si>
  <si>
    <t>wybrane przez PCz 2023-05-11</t>
  </si>
  <si>
    <t>Zamówienie Z/2011-laser_cz2/PCz/2023</t>
  </si>
  <si>
    <t>PRT-A0069265</t>
  </si>
  <si>
    <t>Uchwyt czujnika 2</t>
  </si>
  <si>
    <t>2011-400-PRT-A0069265-A-Uchwyt czujnika 2</t>
  </si>
  <si>
    <t>PRT-A0068767</t>
  </si>
  <si>
    <t>Uchwyt czujnika 1</t>
  </si>
  <si>
    <t>2011-400-PRT-A0068767-A-Uchwyt czujnika 1</t>
  </si>
  <si>
    <t>PRT-A0069148</t>
  </si>
  <si>
    <t>Łącznik dźwigni</t>
  </si>
  <si>
    <t>NC11LV/1.2379</t>
  </si>
  <si>
    <t>PRT-A0068864</t>
  </si>
  <si>
    <t>Mocowanie wózków</t>
  </si>
  <si>
    <t>2011-400-PRT-A0068864-A-Mocowanie wózków</t>
  </si>
  <si>
    <t>PRT-A0068871</t>
  </si>
  <si>
    <t>Oprawa dźwigni prawa</t>
  </si>
  <si>
    <t>2011-400-PRT-A0068871-A-Oprawa dźwigni prawa</t>
  </si>
  <si>
    <t>PRT-A0069230</t>
  </si>
  <si>
    <t>Gniazdo 10</t>
  </si>
  <si>
    <t>2011-400-PRT-A0069230-A-Gniazdo 10</t>
  </si>
  <si>
    <t>CNC</t>
  </si>
  <si>
    <t>PRT-A0069217</t>
  </si>
  <si>
    <t>Gniazdo 9</t>
  </si>
  <si>
    <t>2011-400-PRT-A0069217-A-Gniazdo 9</t>
  </si>
  <si>
    <t>PRT-A0068814</t>
  </si>
  <si>
    <t>2011-400-PRT-A0068814-A-Płyta dolna</t>
  </si>
  <si>
    <t>PRT-A0068811</t>
  </si>
  <si>
    <t>Płyta pionowa przód</t>
  </si>
  <si>
    <t>2011-400-PRT-A0068811-A-Płyta pionowa przód</t>
  </si>
  <si>
    <t>PRT-A0068810</t>
  </si>
  <si>
    <t>Płyta pionowa tył</t>
  </si>
  <si>
    <t>2011-400-PRT-A0068810-A-Płyta pionowa tył</t>
  </si>
  <si>
    <t>PRT-A0068809</t>
  </si>
  <si>
    <t>Płyta górna</t>
  </si>
  <si>
    <t>2011-400-PRT-A0068809-A-Płyta górna</t>
  </si>
  <si>
    <t>PRT-A0068808</t>
  </si>
  <si>
    <t>Mocowanie szyny</t>
  </si>
  <si>
    <t>2011-400-PRT-A0068808-A-Mocowanie szyny</t>
  </si>
  <si>
    <t>2011-400-PRT-A0071721-A-Gniazdo sprężyny prawej</t>
  </si>
  <si>
    <t>Dźwignia prawa</t>
  </si>
  <si>
    <t>2011-400-PRT-A0068775-A-Gniazdo sprężyny lewej</t>
  </si>
  <si>
    <t>Dźwignia lewa</t>
  </si>
  <si>
    <t>2011-400-PRT-A0068774-A-Dźwignia lewa</t>
  </si>
  <si>
    <t>PRT-A0068803</t>
  </si>
  <si>
    <t>2011-400-PRT-A0068803-A-Płyta górna</t>
  </si>
  <si>
    <t>2011-400-PRT-A0069184-A-Listwa sprężyny prawa 2</t>
  </si>
  <si>
    <t>50HS/1.5026</t>
  </si>
  <si>
    <t>2011-400-PRT-A0069182-A-Listwa sprężyny prawa 1</t>
  </si>
  <si>
    <t>Listwa lewa 1</t>
  </si>
  <si>
    <t>2011-400-PRT-A0068805-A-Listwa lewa 1</t>
  </si>
  <si>
    <t>PRT-A0068813</t>
  </si>
  <si>
    <t>Zderzak</t>
  </si>
  <si>
    <t>2011-400-PRT-A0068813-A-Zderzak</t>
  </si>
  <si>
    <t>PRT-A0068804</t>
  </si>
  <si>
    <t>Sprzęgło</t>
  </si>
  <si>
    <t>2011-400-PRT-A0068804-A-Sprzęgło</t>
  </si>
  <si>
    <t>PRT-A0068773</t>
  </si>
  <si>
    <t>Kołek</t>
  </si>
  <si>
    <t>2011-400-PRT-A0068773-A-Kołek</t>
  </si>
  <si>
    <t>PRT-A0068772</t>
  </si>
  <si>
    <t>Oprawa dźwigni</t>
  </si>
  <si>
    <t>2011-400-PRT-A0068772-A-Oprawa dźwigni</t>
  </si>
  <si>
    <t>PRT-A0068771</t>
  </si>
  <si>
    <t>Zaczep</t>
  </si>
  <si>
    <t>2011-400-PRT-A0068771-A-Zaczep</t>
  </si>
  <si>
    <t>PRT-A0068770</t>
  </si>
  <si>
    <t>Kostka łożyska</t>
  </si>
  <si>
    <t>2011-400-PRT-A0068770-A-Kostka łożyska</t>
  </si>
  <si>
    <t>PRT-A0068769</t>
  </si>
  <si>
    <t>Kostka czujnika</t>
  </si>
  <si>
    <t>2011-400-PRT-A0068769-A-Kostka czujnika</t>
  </si>
  <si>
    <t>PRT-A0068768</t>
  </si>
  <si>
    <t>Zderzak siłownika</t>
  </si>
  <si>
    <t>2011-400-PRT-A0068768-A-Zderzak siłownika</t>
  </si>
  <si>
    <t>PRT-A0069205</t>
  </si>
  <si>
    <t>Gniazdo 8</t>
  </si>
  <si>
    <t>2011-400-PRT-A0069205-A-Gniazdo 8</t>
  </si>
  <si>
    <t>PRT-A0069198</t>
  </si>
  <si>
    <t>Gniazdo 7</t>
  </si>
  <si>
    <t>2011-400-PRT-A0069198-A-Gniazdo 7</t>
  </si>
  <si>
    <t>PRT-A0069181</t>
  </si>
  <si>
    <t>2011-400-PRT-A0069181-A-Podpora srężyny prawa</t>
  </si>
  <si>
    <t>PRT-A0068812</t>
  </si>
  <si>
    <t>2011-400-PRT-A0068812-A-Podpora sprężyny lewej</t>
  </si>
  <si>
    <t>PRT-A0068802</t>
  </si>
  <si>
    <t>Podpora środkowa 1</t>
  </si>
  <si>
    <t>2011-400-PRT-A0068802-A-Podpora środkowa 1</t>
  </si>
  <si>
    <t>PRT-A0068801</t>
  </si>
  <si>
    <t>Podpora środkowa 2</t>
  </si>
  <si>
    <t>2011-400-PRT-A0068801-A-Podpora środkowa 2</t>
  </si>
  <si>
    <t>PRT-A0068799</t>
  </si>
  <si>
    <t>Gniazdo 1</t>
  </si>
  <si>
    <t>2011-400-PRT-A0068799-A-Gniazdo 1</t>
  </si>
  <si>
    <t>PRT-A0068798</t>
  </si>
  <si>
    <t>Gniazdo 2</t>
  </si>
  <si>
    <t>2011-400-PRT-A0068798-A-Gniazdo 2</t>
  </si>
  <si>
    <t>PRT-A0068797</t>
  </si>
  <si>
    <t>Gniazdo 3</t>
  </si>
  <si>
    <t>2011-400-PRT-A0068797-A-Gniazdo 3</t>
  </si>
  <si>
    <t>PRT-A0068794</t>
  </si>
  <si>
    <t>Gniazdo 4</t>
  </si>
  <si>
    <t>2011-400-PRT-A0068794-A-Gniazdo 4</t>
  </si>
  <si>
    <t>PRT-A0068791</t>
  </si>
  <si>
    <t>Podpora środkowa 3</t>
  </si>
  <si>
    <t>2011-400-PRT-A0068791-A-Podpora środkowa 3</t>
  </si>
  <si>
    <t>PRT-A0068790</t>
  </si>
  <si>
    <t>Gniazdo 5</t>
  </si>
  <si>
    <t>2011-400-PRT-A0068790-A-Gniazdo 5</t>
  </si>
  <si>
    <t>PRT-A0068789</t>
  </si>
  <si>
    <t>Gniazdo 6</t>
  </si>
  <si>
    <t>2011-400-PRT-A0068789-A-Gniazdo 6</t>
  </si>
  <si>
    <t>Gniazdo sprężyny prawej</t>
  </si>
  <si>
    <t>52 HRC±2HRC</t>
  </si>
  <si>
    <t>Gniazdo sprężyny lewej</t>
  </si>
  <si>
    <t>Listwa sprężyny prawa 2</t>
  </si>
  <si>
    <t>Listwa sprężyny prawa 1</t>
  </si>
  <si>
    <t>Podpora srężyny prawa</t>
  </si>
  <si>
    <t>Podpora sprężyny lewej</t>
  </si>
  <si>
    <t>wybrane przez PCz 2023-05-18</t>
  </si>
  <si>
    <t>Zamówienie Z/2011-laser_cz3/PCz/2023</t>
  </si>
  <si>
    <t>PRT-A0071752</t>
  </si>
  <si>
    <t>Kostka mocująca</t>
  </si>
  <si>
    <t>2011-200-PRT-A0071752-A-Kostka mocująca</t>
  </si>
  <si>
    <t>PRT-A0071269</t>
  </si>
  <si>
    <t>Kostka siłownika</t>
  </si>
  <si>
    <t>2011-200-PRT-A0071269-A-Kostka siłownika</t>
  </si>
  <si>
    <t>PRT-A0070650</t>
  </si>
  <si>
    <t>Płyta montażowa</t>
  </si>
  <si>
    <t>PRT-A0072093</t>
  </si>
  <si>
    <t>2011-200-PRT-A0072093-A-Uchwyt czujnika</t>
  </si>
  <si>
    <t>PRT-A0072092</t>
  </si>
  <si>
    <t>2011-200-PRT-A0072092-A-Uchwyt czujnika</t>
  </si>
  <si>
    <t>PRT-A0072089</t>
  </si>
  <si>
    <t>PRT-A0072085</t>
  </si>
  <si>
    <t>2011-200-PRT-A0072085-A-Ramie reakcyjne siłownika</t>
  </si>
  <si>
    <t>PRT-A0071260</t>
  </si>
  <si>
    <t>Mocowanie chwytaka</t>
  </si>
  <si>
    <t>2011-200-PRT-A0071260-A-Mocowanie chwytaka</t>
  </si>
  <si>
    <t>PRT-A0071141</t>
  </si>
  <si>
    <t>Profil aluminiowy</t>
  </si>
  <si>
    <t>2011-200-PRT-A0071141-A-Profil aluminiowy</t>
  </si>
  <si>
    <t>H. Mech.</t>
  </si>
  <si>
    <t>PRT-A0070671</t>
  </si>
  <si>
    <t>2011-200-PRT-A0070671-A-Mocowanie chwytaka</t>
  </si>
  <si>
    <t>PRT-A0070665</t>
  </si>
  <si>
    <t>Płyta montazowa</t>
  </si>
  <si>
    <t>2011-200-PRT-A0070665-A-Płyta montazowa</t>
  </si>
  <si>
    <t>PRT-A0070662</t>
  </si>
  <si>
    <t>2011-200-PRT-A0070662-A-Płyta montazowa</t>
  </si>
  <si>
    <t>PRT-A0070658</t>
  </si>
  <si>
    <t>2011-200-PRT-A0070658-A-Płyta montażowa</t>
  </si>
  <si>
    <t>PRT-A0070655</t>
  </si>
  <si>
    <t>2011-200-PRT-A0070655-A-Płyta montażowa</t>
  </si>
  <si>
    <t>PRT-A0070624</t>
  </si>
  <si>
    <t>Płyta mocująca</t>
  </si>
  <si>
    <t>2011-200-PRT-A0070624-A-Płyta mocująca</t>
  </si>
  <si>
    <t>PRT-A0070607</t>
  </si>
  <si>
    <t>Płyta monrażowa</t>
  </si>
  <si>
    <t>2011-200-PRT-A0070607-A-Płyta monrażowa</t>
  </si>
  <si>
    <t>PRT-A0070606</t>
  </si>
  <si>
    <t>2011-200-PRT-A0070606-A-Płyta montażowa</t>
  </si>
  <si>
    <t>PRT-A0071416</t>
  </si>
  <si>
    <t>Kostka amortyzatora</t>
  </si>
  <si>
    <t>2011-200-PRT-A0071416-A-Kostka amortyzatora</t>
  </si>
  <si>
    <t>PRT-A0071187</t>
  </si>
  <si>
    <t>Kostka pozycjonująca</t>
  </si>
  <si>
    <t>2011-200-PRT-A0071187-A-Kostka pozycjonująca</t>
  </si>
  <si>
    <t>PRT-A0071168</t>
  </si>
  <si>
    <t>Prowadnica</t>
  </si>
  <si>
    <t>2011-200-PRT-A0071168-A-Prowadnica</t>
  </si>
  <si>
    <t>PRT-A0071749</t>
  </si>
  <si>
    <t>Kostka bazująca</t>
  </si>
  <si>
    <t>2011-200-PRT-A0071749-A-Kostka bazująca</t>
  </si>
  <si>
    <t>PRT-A0070615</t>
  </si>
  <si>
    <t>Support uchwytu</t>
  </si>
  <si>
    <t>2011-200-PRT-A0070615-A-Support uchwytu</t>
  </si>
  <si>
    <t>PRT-A0070614</t>
  </si>
  <si>
    <t>2011-200-PRT-A0070614-A-Support uchwytu</t>
  </si>
  <si>
    <t>PRT-A0070434</t>
  </si>
  <si>
    <t>2011-200-PRT-A0070434-A-Głowica pobierająca detal</t>
  </si>
  <si>
    <t>PRT-A0071764</t>
  </si>
  <si>
    <t>Gniazdo wtyczki V2</t>
  </si>
  <si>
    <t>2011-200-PRT-A0071764-A-Gniazdo wtyczki V2</t>
  </si>
  <si>
    <t>PRT-A0071418</t>
  </si>
  <si>
    <t>Płytka nierdzewna</t>
  </si>
  <si>
    <t>2011-200-PRT-A0071418-A-Płytka nierdzewna</t>
  </si>
  <si>
    <t>PRT-A0070628</t>
  </si>
  <si>
    <t>2011-200-PRT-A0070628-A-Wałek docisku</t>
  </si>
  <si>
    <t>PRT-A0070616</t>
  </si>
  <si>
    <t>2011-200-PRT-A0070616-A-Support uchwytu</t>
  </si>
  <si>
    <t>PRT-A0070613</t>
  </si>
  <si>
    <t>2011-200-PRT-A0070613-A-Support uchwytu</t>
  </si>
  <si>
    <t>PRT-A0070612</t>
  </si>
  <si>
    <t>2011-200-PRT-A0070612-A-Support uchwytu</t>
  </si>
  <si>
    <t>PRT-A0070610</t>
  </si>
  <si>
    <t>2011-200-PRT-A0070610-A-Support uchwytu</t>
  </si>
  <si>
    <t>Ramie reakcyjne siłownika</t>
  </si>
  <si>
    <t>Głowica pobierająca detal</t>
  </si>
  <si>
    <t>32 HRC ±2HRC</t>
  </si>
  <si>
    <t>2011-200-PRT-A0072089-B-Kostka czujnika</t>
  </si>
  <si>
    <t>2011-200-PRT-A0070650-B-Płyta montażowa</t>
  </si>
  <si>
    <t>Profile BR</t>
  </si>
  <si>
    <t>wybrane przez PCz 2023-05-26</t>
  </si>
  <si>
    <t>Bis</t>
  </si>
  <si>
    <t>Do malowania</t>
  </si>
  <si>
    <t>2011-400-PRT-A0069148-B-Łącznik dźwigni</t>
  </si>
  <si>
    <t>BIS</t>
  </si>
  <si>
    <t>M.Gołuch</t>
  </si>
  <si>
    <t>PRT-A0070118</t>
  </si>
  <si>
    <t>Zabezpieczenie szyny</t>
  </si>
  <si>
    <t>2011-600-PRT-A0070118-A-Zabezpieczenie szyny</t>
  </si>
  <si>
    <t>St3S/1.0038</t>
  </si>
  <si>
    <t>PRT-A0070119</t>
  </si>
  <si>
    <t>2011-600-PRT-A0070119-A-Wspornik płyty prowadnic</t>
  </si>
  <si>
    <t>PRT-A0070117</t>
  </si>
  <si>
    <t>Płyta zespołu dojazdu</t>
  </si>
  <si>
    <t>2011-600-PRT-A0070117-A-Płyta zespołu dojazdu</t>
  </si>
  <si>
    <t>600-Pomiar momentu</t>
  </si>
  <si>
    <t>Wspornik płyty prowadnic</t>
  </si>
  <si>
    <t>PRT-A0070112</t>
  </si>
  <si>
    <t>Adapter łącznika</t>
  </si>
  <si>
    <t>2011-600-PRT-A0070112-A-Adapter łącznika</t>
  </si>
  <si>
    <t>PRT-A0070113</t>
  </si>
  <si>
    <t>2011-600-PRT-A0070113-A-Płyta napędu liniowego</t>
  </si>
  <si>
    <t>Płyta napędu liniowego</t>
  </si>
  <si>
    <t>PRT-A0070116</t>
  </si>
  <si>
    <t>Płyta suportu 1</t>
  </si>
  <si>
    <t>PRT-A0070115</t>
  </si>
  <si>
    <t>2011-600-PRT-A0070115-A-Płyta pionowa supportu</t>
  </si>
  <si>
    <t>PRT-A0070114</t>
  </si>
  <si>
    <t>Wzmocnienie supportu</t>
  </si>
  <si>
    <t>2011-600-PRT-A0070114-A-Wzmocnienie supportu</t>
  </si>
  <si>
    <t xml:space="preserve">Wkręt dociskowy </t>
  </si>
  <si>
    <t>PRT-A0070132</t>
  </si>
  <si>
    <t>Płyta pionowa supportu</t>
  </si>
  <si>
    <t>2011-600-PRT-A0070116-A-Płyta supportu 1</t>
  </si>
  <si>
    <t>2011-600-PRT-A0070132-A-Wkręt dociskowy</t>
  </si>
  <si>
    <t>Wspornik ruchomy prowadnika</t>
  </si>
  <si>
    <t>2011-600-PRT-A0070109-A-Wspornik ruchomy prowadnika</t>
  </si>
  <si>
    <t>PRT-A0070109</t>
  </si>
  <si>
    <t>PRT-A0070487</t>
  </si>
  <si>
    <t>Podpora środkowa</t>
  </si>
  <si>
    <t>2011-600-PRT-A0070487-A-Podpora środkowa</t>
  </si>
  <si>
    <t>Kolor: Czarny</t>
  </si>
  <si>
    <t>PRT-A0070088</t>
  </si>
  <si>
    <t>Tuleja docisku</t>
  </si>
  <si>
    <t>2011-600-PRT-A0070088-A-Tuleja docisku</t>
  </si>
  <si>
    <t>PRT-A0070498</t>
  </si>
  <si>
    <t>2011-600-PRT-A0070498-A-Mocowanie podpory przedniej</t>
  </si>
  <si>
    <t>PRT-A0070489</t>
  </si>
  <si>
    <t>2011-600-PRT-A0070489-A-Mocowanie podpory środkowej</t>
  </si>
  <si>
    <t>PRT-A0070491</t>
  </si>
  <si>
    <t>Wspornik siłownika 2</t>
  </si>
  <si>
    <t>2011-600-PRT-A0070491-A-Wspornik siłownika 2</t>
  </si>
  <si>
    <t>PRT-A0070490</t>
  </si>
  <si>
    <t>Wspornik siłownika 1</t>
  </si>
  <si>
    <t>2011-600-PRT-A0070490-A-Wspornik siłownika 1</t>
  </si>
  <si>
    <t>PRT-A0070107</t>
  </si>
  <si>
    <t>Płyta główna</t>
  </si>
  <si>
    <t>2011-600-PRT-A0070107-A-Płyta główna</t>
  </si>
  <si>
    <t>PRT-A0070090</t>
  </si>
  <si>
    <t>2011-600-PRT-A0070090-A-Wspornik siłownika</t>
  </si>
  <si>
    <t>PRT-A0070492</t>
  </si>
  <si>
    <t>Kostka elektryczna</t>
  </si>
  <si>
    <t>2011-600-PRT-A0070492-A-Kostka elektryczna</t>
  </si>
  <si>
    <t>PRT-A0070089</t>
  </si>
  <si>
    <t>Ramie dociskowe</t>
  </si>
  <si>
    <t>2011-600-PRT-A0070089-A-Ramie dociskowe</t>
  </si>
  <si>
    <t>PRT-A0070499</t>
  </si>
  <si>
    <t>Podpora przednia 2</t>
  </si>
  <si>
    <t>2011-600-PRT-A0070499-A-Podpora przednia 2</t>
  </si>
  <si>
    <t>PRT-A0070494</t>
  </si>
  <si>
    <t>Podpora przednia 1</t>
  </si>
  <si>
    <t>2011-600-PRT-A0070494-A-Podpora przednia 1</t>
  </si>
  <si>
    <t>PRT-A0070546</t>
  </si>
  <si>
    <t>Tuleja bazująca</t>
  </si>
  <si>
    <t>2011-600-PRT-A0070546-A-Tuleja bazująca</t>
  </si>
  <si>
    <t>1.4034 (4H13)</t>
  </si>
  <si>
    <t>PRT-A0070105</t>
  </si>
  <si>
    <t>2011-600-PRT-A0070105-A-Tuleja bazująca</t>
  </si>
  <si>
    <t>2011-600-PRT-A0070494-A-Podpora przednia 1 Lustro</t>
  </si>
  <si>
    <t>2011-600-PRT-A0070499-A-Podpora przednia 2 Lustro</t>
  </si>
  <si>
    <t>2011-600-PRT-A0070487-A-Podpora środkowa Lustro</t>
  </si>
  <si>
    <t>2011-600-PRT-A0070491-A-Wspornik siłownika 2 Lustro</t>
  </si>
  <si>
    <t>Mocowanie podpory przedniej</t>
  </si>
  <si>
    <t>Mocowanie podpory środkowej</t>
  </si>
  <si>
    <t>40 HRC ±2HRC</t>
  </si>
  <si>
    <t>Bakelit</t>
  </si>
  <si>
    <t>2011-600-PRT-A0070105-A-Tuleja bazująca Lustro</t>
  </si>
  <si>
    <t>2011-600-PRT-A0070107-A-Płyta główna Lustro</t>
  </si>
  <si>
    <t>PRT-A0070542</t>
  </si>
  <si>
    <t>2011-600-PRT-A0070542-A-Wspornik siłownika 1</t>
  </si>
  <si>
    <t>PRT-A0071409</t>
  </si>
  <si>
    <t>Płytka blokady</t>
  </si>
  <si>
    <t>2011-600-PRT-A0071409-A-Płytka blokady</t>
  </si>
  <si>
    <t>PRT-A0071429</t>
  </si>
  <si>
    <t>Oś</t>
  </si>
  <si>
    <t>2011-600-PRT-A0071429-A-Oś</t>
  </si>
  <si>
    <t>PRT-A0071415</t>
  </si>
  <si>
    <t>2011-600-PRT-A0071415-A-Oś</t>
  </si>
  <si>
    <t>PRT-A0071413</t>
  </si>
  <si>
    <t>2011-600-PRT-A0071413-A-Oś</t>
  </si>
  <si>
    <t>PRT-A0071433</t>
  </si>
  <si>
    <t>2011-600-PRT-A0071433-A-Płytka łącząca</t>
  </si>
  <si>
    <t>PRT-A0071423</t>
  </si>
  <si>
    <t>Płytka pośrednia</t>
  </si>
  <si>
    <t>2011-600-PRT-A0071423-A-Płytka pośrednia</t>
  </si>
  <si>
    <t>PRT-A0073063</t>
  </si>
  <si>
    <t>Wałeczek gumowy</t>
  </si>
  <si>
    <t>2011-600-PRT-A0073063-A-Wałeczek gumowy</t>
  </si>
  <si>
    <t>PRT-A0071414</t>
  </si>
  <si>
    <t>Ramię docisku</t>
  </si>
  <si>
    <t>2011-600-PRT-A0071414-A-Ramię docisku</t>
  </si>
  <si>
    <t>PRT-A0071419</t>
  </si>
  <si>
    <t>Dociskacz</t>
  </si>
  <si>
    <t>2011-600-PRT-A0071419-A-Dociskacz</t>
  </si>
  <si>
    <t>PRT-A0071410</t>
  </si>
  <si>
    <t>Płytka siłownika</t>
  </si>
  <si>
    <t>2011-600-PRT-A0071410-A-Płytka siłownika</t>
  </si>
  <si>
    <t>PRT-A0071412</t>
  </si>
  <si>
    <t>Ramię małe</t>
  </si>
  <si>
    <t>2011-600-PRT-A0071412-A-Ramię małe</t>
  </si>
  <si>
    <t>PRT-A0071411</t>
  </si>
  <si>
    <t>Ramię</t>
  </si>
  <si>
    <t>2011-600-PRT-A0071411-A-Ramię</t>
  </si>
  <si>
    <t>S355J2+N/1.0562</t>
  </si>
  <si>
    <t>2011-600-PRT-A0071409-A-Płytka blokady Lustro</t>
  </si>
  <si>
    <t>Sznur gumowy</t>
  </si>
  <si>
    <t>PRT-A0073136</t>
  </si>
  <si>
    <t>Mocowanie BSC00PJ</t>
  </si>
  <si>
    <t>2011-600-PRT-A0073136-A-Mocowanie BSC00PJ</t>
  </si>
  <si>
    <t>PRT-A0070430</t>
  </si>
  <si>
    <t>2011-600-PRT-A0070430-A-Płyta główna eCrafter Tył</t>
  </si>
  <si>
    <t>PRT-A0070100</t>
  </si>
  <si>
    <t>Wspornik pinów 1</t>
  </si>
  <si>
    <t>2011-600-PRT-A0070100-A-Wspornik pinów 1</t>
  </si>
  <si>
    <t>PRT-A0070099</t>
  </si>
  <si>
    <t>Wspornik pinów 2</t>
  </si>
  <si>
    <t>2011-600-PRT-A0070099-A-Wspornik pinów 2</t>
  </si>
  <si>
    <t>PRT-A0070098</t>
  </si>
  <si>
    <t>2011-600-PRT-A0070098-A-Kostka elektryczna</t>
  </si>
  <si>
    <t>PRT-A0071455</t>
  </si>
  <si>
    <t>Blokada L</t>
  </si>
  <si>
    <t>2011-600-PRT-A0071455-A-Blokada L</t>
  </si>
  <si>
    <t>PRT-A0071450</t>
  </si>
  <si>
    <t>Blokada P</t>
  </si>
  <si>
    <t>2011-600-PRT-A0071450-A-Blokada P</t>
  </si>
  <si>
    <t>PRT-A0071266</t>
  </si>
  <si>
    <t>Podpora PT</t>
  </si>
  <si>
    <t>2011-600-PRT-A0071266-A-Podpora PT</t>
  </si>
  <si>
    <t>PRT-A0071261</t>
  </si>
  <si>
    <t>Podpora TL</t>
  </si>
  <si>
    <t>2011-600-PRT-A0071261-A-Podpora TL</t>
  </si>
  <si>
    <t>PRT-A0071267</t>
  </si>
  <si>
    <t>Podpora PP</t>
  </si>
  <si>
    <t>2011-600-PRT-A0071267-A-Podpora PP</t>
  </si>
  <si>
    <t>PRT-A0071265</t>
  </si>
  <si>
    <t>Dokładka PP</t>
  </si>
  <si>
    <t>2011-600-PRT-A0071265-A-Dokładka PP</t>
  </si>
  <si>
    <t>PRT-A0071263</t>
  </si>
  <si>
    <t>Dokładka PL</t>
  </si>
  <si>
    <t>2011-600-PRT-A0071263-A-Dokładka PL</t>
  </si>
  <si>
    <t>PRT-A0071262</t>
  </si>
  <si>
    <t>Podpora PL</t>
  </si>
  <si>
    <t>2011-600-PRT-A0071262-A-Podpora PL</t>
  </si>
  <si>
    <t>Płyta główna eCrafter Tył</t>
  </si>
  <si>
    <t>Rynna prowadnika</t>
  </si>
  <si>
    <t>PRT-A0070108</t>
  </si>
  <si>
    <t>2011-600-PRT-A0070108-A-Rynna prowadnika</t>
  </si>
  <si>
    <t>Ściana prawa</t>
  </si>
  <si>
    <t>2011-600-PRT-A0070418-A-Ściana prawa</t>
  </si>
  <si>
    <t>PRT-A0070418</t>
  </si>
  <si>
    <t>2011-600-PRT-A0070548-A-Ściana lewa</t>
  </si>
  <si>
    <t>PRT-A0070548</t>
  </si>
  <si>
    <t>Ściana lewa</t>
  </si>
  <si>
    <t>2011-600-PRT-A0070110-A-Wałek dystansowy</t>
  </si>
  <si>
    <t>PRT-A0070110</t>
  </si>
  <si>
    <t>Wałek dystansowy</t>
  </si>
  <si>
    <t>PRT-A0070121</t>
  </si>
  <si>
    <t>Wpust</t>
  </si>
  <si>
    <t>2011-600-PRT-A0070121-A-Wpust</t>
  </si>
  <si>
    <t>St5/1.0050</t>
  </si>
  <si>
    <t>PRT-A0070125</t>
  </si>
  <si>
    <t>Pokrywa łożyska</t>
  </si>
  <si>
    <t>2011-600-PRT-A0070125-A-Pokrywa łożyska</t>
  </si>
  <si>
    <t>Cynkować na biało</t>
  </si>
  <si>
    <t>PRT-A0070123</t>
  </si>
  <si>
    <t>Pokrywka</t>
  </si>
  <si>
    <t>2011-600-PRT-A0070123-A-Pokrywka</t>
  </si>
  <si>
    <t>Malować RAL 7045</t>
  </si>
  <si>
    <t>PRT-A0070129</t>
  </si>
  <si>
    <t>Korpus</t>
  </si>
  <si>
    <t>2011-600-PRT-A0070129-A-Korpus</t>
  </si>
  <si>
    <t>PRT-A0070127</t>
  </si>
  <si>
    <t>Pierścień dystansowy</t>
  </si>
  <si>
    <t>2011-600-PRT-A0070127-A-Pierścień dystansowy</t>
  </si>
  <si>
    <t>2011--PRT-A0073184-B-Uchwyt siłownika</t>
  </si>
  <si>
    <t>2011--PRT-A0073197-B-Mocowanie siłownika</t>
  </si>
  <si>
    <t>2011--PRT-A0073195-B-Mocowanie siłownika</t>
  </si>
  <si>
    <t>2011--PRT-A0073178-B-Mocowanie siłownika</t>
  </si>
  <si>
    <t>PRT-A0073178</t>
  </si>
  <si>
    <t>PRT-A0073195</t>
  </si>
  <si>
    <t>PRT-A0073197</t>
  </si>
  <si>
    <t>PRT-A0073184</t>
  </si>
  <si>
    <t>40H</t>
  </si>
  <si>
    <t>Uchwyt siłownika</t>
  </si>
  <si>
    <t>WYKONA Promatik</t>
  </si>
  <si>
    <t>HANDLOWY</t>
  </si>
  <si>
    <t>wybrane przez PCz 2023-06-02</t>
  </si>
  <si>
    <t>05/.06.2023</t>
  </si>
  <si>
    <t>PRT-A0070120</t>
  </si>
  <si>
    <t>Odważnik przód</t>
  </si>
  <si>
    <t>2011-600-PRT-A0070120-A-Odważnik przód</t>
  </si>
  <si>
    <t>PRT-A0070126</t>
  </si>
  <si>
    <t>Ramię przód</t>
  </si>
  <si>
    <t>2011-600-PRT-A0070126-A-Ramię przód</t>
  </si>
  <si>
    <t>PRT-A0070122</t>
  </si>
  <si>
    <t>Palec przód</t>
  </si>
  <si>
    <t>2011-600-PRT-A0070122-A-Palec przód</t>
  </si>
  <si>
    <t>4H13/1.4057</t>
  </si>
  <si>
    <t>PRT-A0070576</t>
  </si>
  <si>
    <t>Odważnik tył</t>
  </si>
  <si>
    <t>2011-600-PRT-A0070576-A-Odważnik tył</t>
  </si>
  <si>
    <t>PRT-A0070575</t>
  </si>
  <si>
    <t>Ramię tył</t>
  </si>
  <si>
    <t>2011-600-PRT-A0070575-A-Ramię tył</t>
  </si>
  <si>
    <t>PRT-A0070633</t>
  </si>
  <si>
    <t>Palec tył zapas</t>
  </si>
  <si>
    <t>2011-600-PRT-A0070633-A-Palec tył zapas</t>
  </si>
  <si>
    <t>PRT-A0070128</t>
  </si>
  <si>
    <t>Wałek główny</t>
  </si>
  <si>
    <t>2011-600-PRT-A0070128-A-Wałek główny</t>
  </si>
  <si>
    <t>PRT-A0070124</t>
  </si>
  <si>
    <t>Mocowanie czujników</t>
  </si>
  <si>
    <t>2011-600-PRT-A0070124-A-Mocowanie czujników</t>
  </si>
  <si>
    <t>wybrane przez PCz 2023-06-05</t>
  </si>
  <si>
    <t>zamówienie Z/2011-zewn/PCz/2023</t>
  </si>
  <si>
    <t>Zamówienie  Z/2013-laser_cz2/PCz/2023</t>
  </si>
  <si>
    <t>Zapytanie Z/2011-zewn_cnc_2/PCz/2023</t>
  </si>
  <si>
    <t>PRT-A0070449</t>
  </si>
  <si>
    <t>2011-904-PRT-A0070449-A-Wałek docisku</t>
  </si>
  <si>
    <t>PRT-A0068958</t>
  </si>
  <si>
    <t>Pozycjoner</t>
  </si>
  <si>
    <t>2011-901-PRT-A0068958-A-Pozycjoner</t>
  </si>
  <si>
    <t>PRT-A0068945</t>
  </si>
  <si>
    <t>Tuleja popychacza</t>
  </si>
  <si>
    <t>2011-901-PRT-A0068945-A-Tuleja popychacza</t>
  </si>
  <si>
    <t>PRT-A0068931</t>
  </si>
  <si>
    <t>Nakrętka specjalna</t>
  </si>
  <si>
    <t>2011-901-PRT-A0068931-A-Nakrętka specjalna</t>
  </si>
  <si>
    <t>PRT-A0068930</t>
  </si>
  <si>
    <t>2011-901-PRT-A0068930-A-Pozycjoner</t>
  </si>
  <si>
    <t>PRT-A0068929</t>
  </si>
  <si>
    <t>Tulejka</t>
  </si>
  <si>
    <t>2011-901-PRT-A0068929-A-Tulejka</t>
  </si>
  <si>
    <t>PRT-A0068923</t>
  </si>
  <si>
    <t>Popychacz</t>
  </si>
  <si>
    <t>2011-901-PRT-A0068923-A-Popychacz</t>
  </si>
  <si>
    <t>WH-060200</t>
  </si>
  <si>
    <t>Stal węglowa</t>
  </si>
  <si>
    <t>PRT-A0072921</t>
  </si>
  <si>
    <t>Oś obrotu</t>
  </si>
  <si>
    <t>2011-903-PRT-A0072921-A-Oś obrotu</t>
  </si>
  <si>
    <t>PRT-A0069222</t>
  </si>
  <si>
    <t>Tulejka pozycjonująca</t>
  </si>
  <si>
    <t>2011-902-PRT-A0069222-A-Tulejka pozycjonująca</t>
  </si>
  <si>
    <t>PRT-A0073447</t>
  </si>
  <si>
    <t>PRT-A0073447-Lustro</t>
  </si>
  <si>
    <t>PRT-A0073446</t>
  </si>
  <si>
    <t>PRT-A0073446-Lustro</t>
  </si>
  <si>
    <t>PRT-A0073445</t>
  </si>
  <si>
    <t>PRT-A0073445-Lustro</t>
  </si>
  <si>
    <t>PRT-A0073441</t>
  </si>
  <si>
    <t>PRT-A0073441-Lustro</t>
  </si>
  <si>
    <t>PRT-A0073440</t>
  </si>
  <si>
    <t>PRT-A0073440-Lustro</t>
  </si>
  <si>
    <t>PRT-A0072854</t>
  </si>
  <si>
    <t>PRT-A0072854-Lustro</t>
  </si>
  <si>
    <t>PRT-A0072879</t>
  </si>
  <si>
    <t>2011-990-PRT-A0072879-A-Osłona</t>
  </si>
  <si>
    <t>PRT-A0072860</t>
  </si>
  <si>
    <t>2011-990-PRT-A0072860-A-Płyta narzędzia ruchomego</t>
  </si>
  <si>
    <t>PRT-A0072859</t>
  </si>
  <si>
    <t>2011-992-PRT-A0072859-B-Płyta Gniazda eCrafter RH</t>
  </si>
  <si>
    <t>PRT-A0072855</t>
  </si>
  <si>
    <t>Gniazdo eCrafter LH</t>
  </si>
  <si>
    <t>2011-991-PRT-A0072855-C-Gniazdo eCrafter LH</t>
  </si>
  <si>
    <t>PRT-A0072923</t>
  </si>
  <si>
    <t>Dystans siłownika</t>
  </si>
  <si>
    <t>2011-903-PRT-A0072923-A-Dystans siłownika</t>
  </si>
  <si>
    <t>PRT-A0072866</t>
  </si>
  <si>
    <t>2011-990-PRT-A0072866-A-Mocowanie siłownika</t>
  </si>
  <si>
    <t>PRT-A0072864</t>
  </si>
  <si>
    <t>Płyta</t>
  </si>
  <si>
    <t>2011-990-PRT-A0072864-A-Płyta</t>
  </si>
  <si>
    <t>PRT-A0072863</t>
  </si>
  <si>
    <t>2011-990-PRT-A0072863-B-Mocowanie szyny</t>
  </si>
  <si>
    <t>PRT-A0072852</t>
  </si>
  <si>
    <t>2011-990-PRT-A0072852-A-Płyta</t>
  </si>
  <si>
    <t>PRT-A0071396</t>
  </si>
  <si>
    <t>2011-901-PRT-A0071396-A-Płyta pionowa</t>
  </si>
  <si>
    <t>PRT-A0071248</t>
  </si>
  <si>
    <t>2011-904-PRT-A0071248-A-Płyta</t>
  </si>
  <si>
    <t>PRT-A0071207</t>
  </si>
  <si>
    <t>Wałeczek</t>
  </si>
  <si>
    <t>2011-902-PRT-A0071207-A-Wałeczek</t>
  </si>
  <si>
    <t>PRT-A0070448</t>
  </si>
  <si>
    <t>2011-904-PRT-A0070448-A-Żebro</t>
  </si>
  <si>
    <t>PRT-A0070446</t>
  </si>
  <si>
    <t>2011-904-PRT-A0070446-A-Płytka dolna</t>
  </si>
  <si>
    <t>PRT-A0070440</t>
  </si>
  <si>
    <t>2011-904-PRT-A0070440-A-Dystans blokady</t>
  </si>
  <si>
    <t>PRT-A0070031</t>
  </si>
  <si>
    <t>2011-900-PRT-A0070031-A-Płyta narzędzia</t>
  </si>
  <si>
    <t>PRT-A0069228</t>
  </si>
  <si>
    <t>2011-902-PRT-A0069228-A-Mocowanie szyny</t>
  </si>
  <si>
    <t>PRT-A0069227</t>
  </si>
  <si>
    <t>2011-902-PRT-A0069227-A-Mocowanie siłownika</t>
  </si>
  <si>
    <t>PRT-A0069225</t>
  </si>
  <si>
    <t>Mocowanie wózka</t>
  </si>
  <si>
    <t>2011-902-PRT-A0069225-A-Mocowanie wózka</t>
  </si>
  <si>
    <t>PRT-A0068942</t>
  </si>
  <si>
    <t>2011-901-PRT-A0068942-A-Płyta dolna</t>
  </si>
  <si>
    <t>PRT-A0068940</t>
  </si>
  <si>
    <t>2011-901-PRT-A0068940-A-Płytka mocowania siłownika</t>
  </si>
  <si>
    <t>PRT-A0068939</t>
  </si>
  <si>
    <t>2011-901-PRT-A0068939-A-Płyta pionowa</t>
  </si>
  <si>
    <t>PRT-A0069224</t>
  </si>
  <si>
    <t>Trzpień</t>
  </si>
  <si>
    <t>2011-902-PRT-A0069224-A-Trzpień</t>
  </si>
  <si>
    <t>PRT-A0069223</t>
  </si>
  <si>
    <t>Obracak</t>
  </si>
  <si>
    <t>2011-902-PRT-A0069223-A-Obracak</t>
  </si>
  <si>
    <t>PRT-A0068932</t>
  </si>
  <si>
    <t>Łącznik</t>
  </si>
  <si>
    <t>2011-901-PRT-A0068932-A-Łącznik</t>
  </si>
  <si>
    <t>NC6/1.2063</t>
  </si>
  <si>
    <t>PRT-A0068941</t>
  </si>
  <si>
    <t>2011-901-PRT-A0068941-A-Płytka mocowania siłownika</t>
  </si>
  <si>
    <t>PRT-A0072944</t>
  </si>
  <si>
    <t>2011-903-PRT-A0072944-A-Żebro</t>
  </si>
  <si>
    <t>PRT-A0072943</t>
  </si>
  <si>
    <t>Mocowanie</t>
  </si>
  <si>
    <t>2011-903-PRT-A0072943-A-Mocowanie</t>
  </si>
  <si>
    <t>PRT-A0072942</t>
  </si>
  <si>
    <t>2011-903-PRT-A0072942-A-Mocowanie siłownika</t>
  </si>
  <si>
    <t>PRT-A0072940</t>
  </si>
  <si>
    <t>Podkładka</t>
  </si>
  <si>
    <t>2011-903-PRT-A0072940-B-Podkładka</t>
  </si>
  <si>
    <t>PRT-A0072939</t>
  </si>
  <si>
    <t>Podpora</t>
  </si>
  <si>
    <t>2011-903-PRT-A0072939-A-Podpora</t>
  </si>
  <si>
    <t>PRT-A0072938</t>
  </si>
  <si>
    <t>2011-903-PRT-A0072938-A-Mocowanie</t>
  </si>
  <si>
    <t>PRT-A0072937</t>
  </si>
  <si>
    <t>Mocowanie zderzaków</t>
  </si>
  <si>
    <t>2011-903-PRT-A0072937-A-Mocowanie zderzaków</t>
  </si>
  <si>
    <t>PRT-A0072936</t>
  </si>
  <si>
    <t>2011-903-PRT-A0072936-A-Płyta</t>
  </si>
  <si>
    <t>PRT-A0072935</t>
  </si>
  <si>
    <t>2011-903-PRT-A0072935-A-Płyta</t>
  </si>
  <si>
    <t>PRT-A0072934</t>
  </si>
  <si>
    <t>2011-903-PRT-A0072934-A-Żebro</t>
  </si>
  <si>
    <t>PRT-A0072933</t>
  </si>
  <si>
    <t>2011-903-PRT-A0072933-A-Płyta</t>
  </si>
  <si>
    <t>PRT-A0072932</t>
  </si>
  <si>
    <t>2011-903-PRT-A0072932-A-Płyta</t>
  </si>
  <si>
    <t>PRT-A0072930</t>
  </si>
  <si>
    <t>Tulejka centrująca</t>
  </si>
  <si>
    <t>2011-903-PRT-A0072930-A-Tulejka centrująca</t>
  </si>
  <si>
    <t>PRT-A0072922</t>
  </si>
  <si>
    <t>2011-903-PRT-A0072922-A-Obsada blokady sprężynki</t>
  </si>
  <si>
    <t>PRT-A0072920</t>
  </si>
  <si>
    <t>2011-903-PRT-A0072920-A-Kostka zderzaka</t>
  </si>
  <si>
    <t>PRT-A0072919</t>
  </si>
  <si>
    <t>Ogranicznik szyny</t>
  </si>
  <si>
    <t>2011-903-PRT-A0072919-A-Ogranicznik szyny</t>
  </si>
  <si>
    <t>PRT-A0072918</t>
  </si>
  <si>
    <t>Talerzyk</t>
  </si>
  <si>
    <t>2011-903-PRT-A0072918-A-Talerzyk</t>
  </si>
  <si>
    <t>PRT-A0072917</t>
  </si>
  <si>
    <t>2011-903-PRT-A0072917-A-Kostka czujnika</t>
  </si>
  <si>
    <t>PRT-A0072873</t>
  </si>
  <si>
    <t>Wspornik blokady</t>
  </si>
  <si>
    <t>2011-990-PRT-A0072873-A-Wspornik blokady</t>
  </si>
  <si>
    <t>PRT-A0072872</t>
  </si>
  <si>
    <t>2011-990-PRT-A0072872-A-Wspornik blokady</t>
  </si>
  <si>
    <t>PRT-A0072871</t>
  </si>
  <si>
    <t>Mocowanie zderzaka</t>
  </si>
  <si>
    <t>2011-990-PRT-A0072871-A-Mocowanie zderzaka</t>
  </si>
  <si>
    <t>PRT-A0072870</t>
  </si>
  <si>
    <t>2011-990-PRT-A0072870-A-Mocowanie siłownika</t>
  </si>
  <si>
    <t>PRT-A0072862</t>
  </si>
  <si>
    <t>2011-990-PRT-A0072862-B-Wspornik blokady</t>
  </si>
  <si>
    <t>PRT-A0071252</t>
  </si>
  <si>
    <t>2011-904-PRT-A0071252-A-Mocowanie</t>
  </si>
  <si>
    <t>PRT-A0069990</t>
  </si>
  <si>
    <t>2011-901-PRT-A0069990-B-Mocowanie</t>
  </si>
  <si>
    <t>PRT-A0069226</t>
  </si>
  <si>
    <t>Mocowanie odboju</t>
  </si>
  <si>
    <t>2011-902-PRT-A0069226-A-Mocowanie odboju</t>
  </si>
  <si>
    <t>PRT-A0068946</t>
  </si>
  <si>
    <t>Płyta pośrednia</t>
  </si>
  <si>
    <t>2011-901-PRT-A0068946-A-Płyta pośrednia</t>
  </si>
  <si>
    <t>PRT-A0072929</t>
  </si>
  <si>
    <t>Bazwanie</t>
  </si>
  <si>
    <t>2011-903-PRT-A0072929-A-Bazwanie</t>
  </si>
  <si>
    <t>PRT-A0072928</t>
  </si>
  <si>
    <t>Szczęka</t>
  </si>
  <si>
    <t>2011-903-PRT-A0072928-B-Szczęka</t>
  </si>
  <si>
    <t>PRT-A0072927</t>
  </si>
  <si>
    <t>Chwytak beczki</t>
  </si>
  <si>
    <t>2011-903-PRT-A0072927-A-Chwytak beczki</t>
  </si>
  <si>
    <t>PRT-A0072926</t>
  </si>
  <si>
    <t>Gniazdo</t>
  </si>
  <si>
    <t>2011-903-PRT-A0072926-A-Gniazdo</t>
  </si>
  <si>
    <t>PRT-A0069192</t>
  </si>
  <si>
    <t>Bazowanie</t>
  </si>
  <si>
    <t>2011-900-PRT-A0069192-A-Bazowanie</t>
  </si>
  <si>
    <t>PRT-A0069979</t>
  </si>
  <si>
    <t>Element sprzęgający</t>
  </si>
  <si>
    <t>2011-902-PRT-A0069979-A-Element sprzęgający</t>
  </si>
  <si>
    <t>PRT-A0068943</t>
  </si>
  <si>
    <t>2011-901-PRT-A0068943-A-Element sprzęgający</t>
  </si>
  <si>
    <t>PRT-A0072945</t>
  </si>
  <si>
    <t>2011-903-PRT-A0072945-A-Zderzak</t>
  </si>
  <si>
    <t>PRT-A0072916</t>
  </si>
  <si>
    <t>Kostka podporowa</t>
  </si>
  <si>
    <t>2011-903-PRT-A0072916-A-Kostka podporowa</t>
  </si>
  <si>
    <t>PRT-A0072865</t>
  </si>
  <si>
    <t>2011-990-PRT-A0072865-A-Kostka podporowa</t>
  </si>
  <si>
    <t>PRT-A0072861</t>
  </si>
  <si>
    <t>2011-990-PRT-A0072861-B-Kostka podporowa</t>
  </si>
  <si>
    <t>PRT-A0072856</t>
  </si>
  <si>
    <t>Tulejka bazująca</t>
  </si>
  <si>
    <t>2011-992-PRT-A0072856-A-Tulejka bazująca</t>
  </si>
  <si>
    <t>PRT-A0070000</t>
  </si>
  <si>
    <t>2011-902-PRT-A0070000-A-Element sprzęgający</t>
  </si>
  <si>
    <t>PRT-A0069221</t>
  </si>
  <si>
    <t>Dystans</t>
  </si>
  <si>
    <t>2011-902-PRT-A0069221-A-Dystans</t>
  </si>
  <si>
    <t>PRT-A0068951</t>
  </si>
  <si>
    <t>Zabierak</t>
  </si>
  <si>
    <t>2011-901-PRT-A0068951-A-Zabierak</t>
  </si>
  <si>
    <t>PRT-A0068950</t>
  </si>
  <si>
    <t>2011-901-PRT-A0068950-B-Mocowanie popychacza</t>
  </si>
  <si>
    <t>PRT-A0068944</t>
  </si>
  <si>
    <t>2011-901-PRT-A0068944-A-Element sprzęgający</t>
  </si>
  <si>
    <t>PRT-A0068935</t>
  </si>
  <si>
    <t>2011-901-PRT-A0068935-A-Gniazdo pina</t>
  </si>
  <si>
    <t>PRT-A0073444</t>
  </si>
  <si>
    <t>2H13/1.4021</t>
  </si>
  <si>
    <t>PRT-A0073444-Lustro</t>
  </si>
  <si>
    <t>PRT-A0073443</t>
  </si>
  <si>
    <t>PRT-A0073443-Lustro</t>
  </si>
  <si>
    <t>PRT-A0073442</t>
  </si>
  <si>
    <t>PRT-A0073442-Lustro</t>
  </si>
  <si>
    <t>PRT-A0072941</t>
  </si>
  <si>
    <t>Blokada Pinu</t>
  </si>
  <si>
    <t>2011-903-PRT-A0072941-A-Blokada Pinu</t>
  </si>
  <si>
    <t>PRT-A0072931</t>
  </si>
  <si>
    <t>Blokada sprężyny</t>
  </si>
  <si>
    <t>2011-903-PRT-A0072931-A-Blokada sprężyny</t>
  </si>
  <si>
    <t>PRT-A0072924</t>
  </si>
  <si>
    <t>Blokada sprężynki</t>
  </si>
  <si>
    <t>2011-903-PRT-A0072924-A-Blokada sprężynki</t>
  </si>
  <si>
    <t>PRT-A0072913</t>
  </si>
  <si>
    <t>Gniazdo kołeczka</t>
  </si>
  <si>
    <t>2011-903-PRT-A0072913-A-Gniazdo kołeczka</t>
  </si>
  <si>
    <t>PRT-A0072977</t>
  </si>
  <si>
    <t>2011-903-PRT-A0072977-A-Mocowanie prowadnika</t>
  </si>
  <si>
    <t>PRT-A0072975</t>
  </si>
  <si>
    <t>2011-903-PRT-A0072975-A-Mocowanie prowadnika</t>
  </si>
  <si>
    <t>PRT-A0072946</t>
  </si>
  <si>
    <t>2011-903-PRT-A0072946-B-Osłona</t>
  </si>
  <si>
    <t>PRT-A0072878</t>
  </si>
  <si>
    <t>2011-990-PRT-A0072878-A-Mocowanie</t>
  </si>
  <si>
    <t>PRT-A0072875</t>
  </si>
  <si>
    <t>2011-990-PRT-A0072875-A-Mocowanie prowadnika</t>
  </si>
  <si>
    <t>PRT-A0072874</t>
  </si>
  <si>
    <t>2011-990-PRT-A0072874-A-Mocowanie prowadników</t>
  </si>
  <si>
    <t>PRT-A0072869</t>
  </si>
  <si>
    <t>Wanienka na smar</t>
  </si>
  <si>
    <t>2011-990-PRT-A0072869-A-Wanienka na smar</t>
  </si>
  <si>
    <t>PRT-A0072868</t>
  </si>
  <si>
    <t>Przekładka</t>
  </si>
  <si>
    <t>2011-990-PRT-A0072868-A-Przekładka</t>
  </si>
  <si>
    <t>PRT-A0072867</t>
  </si>
  <si>
    <t>2011-990-PRT-A0072867-A-Mocowanie</t>
  </si>
  <si>
    <t>PRT-A0072718</t>
  </si>
  <si>
    <t>2011-902-PRT-A0072718-A-Mocowanie</t>
  </si>
  <si>
    <t>PRT-A0072038</t>
  </si>
  <si>
    <t>2011-902-PRT-A0072038-A-Mocowanie prowadnika</t>
  </si>
  <si>
    <t>PRT-A0072036</t>
  </si>
  <si>
    <t>2011-902-PRT-A0072036-A-Mocowanie prowadnika</t>
  </si>
  <si>
    <t>PRT-A0071206</t>
  </si>
  <si>
    <t>2011-902-PRT-A0071206-A-Osłona</t>
  </si>
  <si>
    <t>PRT-A0070603</t>
  </si>
  <si>
    <t>Pierścień</t>
  </si>
  <si>
    <t>2011-902-PRT-A0070603-A-Pierścień</t>
  </si>
  <si>
    <t>PRT-A0070445</t>
  </si>
  <si>
    <t>2011-904-PRT-A0070445-A-Mocowanie prowadnika</t>
  </si>
  <si>
    <t>PRT-A0070444</t>
  </si>
  <si>
    <t>2011-904-PRT-A0070444-B-Mocowanie prowadnika</t>
  </si>
  <si>
    <t>PRT-A0070438</t>
  </si>
  <si>
    <t>2011-904-PRT-A0070438-A-Oprawa łożysk</t>
  </si>
  <si>
    <t>000.MAG.50 - M8 x 35</t>
  </si>
  <si>
    <t>F</t>
  </si>
  <si>
    <t>000.MAG.69.18</t>
  </si>
  <si>
    <t>000.MAG.69.18-0</t>
  </si>
  <si>
    <t>000.MAG69.18</t>
  </si>
  <si>
    <t>000.MAG.50 - M6 x40</t>
  </si>
  <si>
    <t>FABORY</t>
  </si>
  <si>
    <t>000.MAG.90.07</t>
  </si>
  <si>
    <t>Tuleja centrująca</t>
  </si>
  <si>
    <t>000.MAG.90.07-B</t>
  </si>
  <si>
    <t>000.MAG.90.06</t>
  </si>
  <si>
    <t>000.MAG.90.06-B</t>
  </si>
  <si>
    <t>000.MAG.50 - M5</t>
  </si>
  <si>
    <t>Nóżka</t>
  </si>
  <si>
    <t>000.MAG.50 - M5-A</t>
  </si>
  <si>
    <t>000.MAG.50 - M8</t>
  </si>
  <si>
    <t>000.MAG.22.M8-A</t>
  </si>
  <si>
    <t>K. Wróblewski</t>
  </si>
  <si>
    <t>Gniazdo Dźwigni eCrafter Przesuwny LH</t>
  </si>
  <si>
    <t>2011-992-PRT-A0073447-B-Gniazdo Dźwigni eCrafter Przesuwny LH</t>
  </si>
  <si>
    <t>Gniazdo Dźwigni eCrafter Przesuwny RH</t>
  </si>
  <si>
    <t>2011-992-PRT-A0073447-Lustro-B-Gniazdo Dźwigni eCrafter Przesuwny RH</t>
  </si>
  <si>
    <t>2011-992-PRT-A0073446-A-Gniazdo Dźwigni eCrafter Przesuwny LH</t>
  </si>
  <si>
    <t>2011-992-PRT-A0073446-Lustro-A-Gniazdo Dźwigni eCrafter Przesuwny RH</t>
  </si>
  <si>
    <t>2011-992-PRT-A0073445-C-Gniazdo Dźwigni eCrafter Przesuwny LH</t>
  </si>
  <si>
    <t>2011-992-PRT-A0073445-Lustro-C-Gniazdo Dźwigni eCrafter Przesuwny RH</t>
  </si>
  <si>
    <t>2011-992-PRT-A0073441-A-Gniazdo Dźwigni eCrafter Przesuwny LH</t>
  </si>
  <si>
    <t>2011-992-PRT-A0073441-Lustro-A-Gniazdo Dźwigni eCrafter Przesuwny RH</t>
  </si>
  <si>
    <t>2011-992-PRT-A0073440-A-Gniazdo Dźwigni eCrafter Przesuwny LH</t>
  </si>
  <si>
    <t>2011-992-PRT-A0073440-Lustro-A-Gniazdo Dźwigni eCrafter Przesuwny RH</t>
  </si>
  <si>
    <t>2011-992-PRT-A0072854-A-Gniazdo Dźwigni eCrafter Przesuwny LH</t>
  </si>
  <si>
    <t>2011-992-PRT-A0072854-Lustro-A-Gniazdo Dźwigni eCrafter Przesuwny RH</t>
  </si>
  <si>
    <t>Płyta narzędzia ruchomego</t>
  </si>
  <si>
    <t>Płyta Gniazda eCrafter RH</t>
  </si>
  <si>
    <t>Płytka mocowania siłownika</t>
  </si>
  <si>
    <t>EN AW 7021/C330</t>
  </si>
  <si>
    <t>Obsada blokady sprężynki</t>
  </si>
  <si>
    <t>40HMQT/1.7225 +QT</t>
  </si>
  <si>
    <t>28 HRC±2HRC</t>
  </si>
  <si>
    <t>60 HRC±2HRC</t>
  </si>
  <si>
    <t>Mocowanie popychacza</t>
  </si>
  <si>
    <t>2011-992-PRT-A0073444-A-Gniazdo Dźwigni eCrafter Przesuwny LH</t>
  </si>
  <si>
    <t>2011-992-PRT-A0073444-Lustro-A-Gniazdo Dźwigni eCrafter Przesuwny RH</t>
  </si>
  <si>
    <t>2011-992-PRT-A0073443-A-Gniazdo Dźwigni eCrafter Przesuwny LH</t>
  </si>
  <si>
    <t>2011-992-PRT-A0073443-Lustro-A-Gniazdo Dźwigni eCrafter Przesuwny RH</t>
  </si>
  <si>
    <t>2011-992-PRT-A0073442-A-Gniazdo Dźwigni eCrafter Przesuwny LH</t>
  </si>
  <si>
    <t>2011-992-PRT-A0073442-Lustro-A-Gniazdo Dźwigni eCrafter Przesuwny RH</t>
  </si>
  <si>
    <t>Mocowanie prowadników</t>
  </si>
  <si>
    <t>Kołek pozycjonujący fi8</t>
  </si>
  <si>
    <t>000.MAG.50 - M6X40</t>
  </si>
  <si>
    <t>brak</t>
  </si>
  <si>
    <t>czernić</t>
  </si>
  <si>
    <t>900 - Podmontaż dźwigni</t>
  </si>
  <si>
    <t>dowyjasnienia</t>
  </si>
  <si>
    <t>2011-400-PRT-A0069147-B-Dźwignia prawa</t>
  </si>
  <si>
    <t>000.MAG.50 - M8-B</t>
  </si>
  <si>
    <t>000.MAG.50 - M8 x L-F</t>
  </si>
  <si>
    <t>000.MAG.50 - M5 x L-C</t>
  </si>
  <si>
    <t>PRT-A0070487-Lustro</t>
  </si>
  <si>
    <t>PRT-A0070491-Lustro</t>
  </si>
  <si>
    <t>PRT-A0070107-Lustro</t>
  </si>
  <si>
    <t>PRT-A0070499-Lustro</t>
  </si>
  <si>
    <t>PRT-A0070494-Lustro</t>
  </si>
  <si>
    <t>PRT-A0070105-Lustro</t>
  </si>
  <si>
    <t>PRT-A0071409-Lustro</t>
  </si>
  <si>
    <t>PRT-A0068841-Lustro</t>
  </si>
  <si>
    <t>Obudowa Fluke 3-3</t>
  </si>
  <si>
    <t>2011-600-PRT-A0073372-A-Obudowa Fluke 3-3</t>
  </si>
  <si>
    <t>Obudowa Fluke 1-3</t>
  </si>
  <si>
    <t>2011-600-PRT-A0073371-A-Obudowa Fluke 1-3</t>
  </si>
  <si>
    <t>Obudowa Fluke 2-3</t>
  </si>
  <si>
    <t>2011-600-PRT-A0073373-A-Obudowa Fluke 2-3</t>
  </si>
  <si>
    <t>PRT-A0073372</t>
  </si>
  <si>
    <t>PRT-A0073371</t>
  </si>
  <si>
    <t>PRT-A0073373</t>
  </si>
  <si>
    <t>2011-600-ASM-A0011301-A-Skrzynka spawana Fluke</t>
  </si>
  <si>
    <t>wg rysunku</t>
  </si>
  <si>
    <t>Spawane</t>
  </si>
  <si>
    <t>PRT-A0073479</t>
  </si>
  <si>
    <t>Kątownik mocujący</t>
  </si>
  <si>
    <t>2011-600-PRT-A0073479-A-Kątownik mocujący</t>
  </si>
  <si>
    <t>Osłona tylna</t>
  </si>
  <si>
    <t>2011-600-PRT-A0073380-A-Osłona tylna</t>
  </si>
  <si>
    <t>Drzwiczki skrzynki</t>
  </si>
  <si>
    <t>2011-600-PRT-A0073374-A-Drzwiczki skrzynki</t>
  </si>
  <si>
    <t>Stopka</t>
  </si>
  <si>
    <t>2011-600-PRT-A0073375-A-Stopka</t>
  </si>
  <si>
    <t>PRT-A0073469</t>
  </si>
  <si>
    <t>Osłona lewa</t>
  </si>
  <si>
    <t>2011-600-PRT-A0073469-A-Osłona lewa</t>
  </si>
  <si>
    <t>PRT-A0073466</t>
  </si>
  <si>
    <t>Osłona prawa</t>
  </si>
  <si>
    <t>2011-600-PRT-A0073466-A-Osłona prawa</t>
  </si>
  <si>
    <t>PRT-A0073465</t>
  </si>
  <si>
    <t>2011-600-PRT-A0073465-A-Osłona</t>
  </si>
  <si>
    <t>Okno</t>
  </si>
  <si>
    <t>2011-600-PRT-A0073377-A-Okno</t>
  </si>
  <si>
    <t>PRT-A0073401</t>
  </si>
  <si>
    <t>Mocowanie magnesu</t>
  </si>
  <si>
    <t>2011-600-PRT-A0073401-A-Mocowanie magnesu</t>
  </si>
  <si>
    <t>Mocowanie ukośne</t>
  </si>
  <si>
    <t>2011-600-PRT-A0073379-A-Mocowanie ukośne</t>
  </si>
  <si>
    <t>Mocowanie przód</t>
  </si>
  <si>
    <t>2011-600-PRT-A0073376-A-Mocowanie przód</t>
  </si>
  <si>
    <t>2011-600-PRT-A0073401-A-Mocowanie magnesu Lustro</t>
  </si>
  <si>
    <t>2011-600-PRT-A0073379-A-Mocowanie ukośne Lustro</t>
  </si>
  <si>
    <t>PRT-A0073379</t>
  </si>
  <si>
    <t>PRT-A0073379 Lustro</t>
  </si>
  <si>
    <t>PRT-A0073401 Lustro</t>
  </si>
  <si>
    <t>Skrzynka spawana Fluke</t>
  </si>
  <si>
    <t>ASM-A0011301</t>
  </si>
  <si>
    <t>PRT-A0073380</t>
  </si>
  <si>
    <t>PRT-A0073374</t>
  </si>
  <si>
    <t>PRT-A0073375</t>
  </si>
  <si>
    <t>PRT-A0073377</t>
  </si>
  <si>
    <t>PRT-A0073376</t>
  </si>
  <si>
    <t>Spawanie</t>
  </si>
  <si>
    <t>Podstawa zespołu</t>
  </si>
  <si>
    <t xml:space="preserve">PRT-A0070131 </t>
  </si>
  <si>
    <t>2011-600-PRT-A0070131-A-Podstawa zespołu</t>
  </si>
  <si>
    <t>Z/2011-zewn_cnc_nierdz/PCz/2023</t>
  </si>
  <si>
    <t>wybrne przez PCz 2023-06-13</t>
  </si>
  <si>
    <t xml:space="preserve"> GGTEch  Dawstal Ortyl</t>
  </si>
  <si>
    <t>Z/2011-KW_MG_Laser/2023</t>
  </si>
  <si>
    <t>zapytanie Z/2011-zewn_cz2/PCz</t>
  </si>
  <si>
    <t>Bis zapytyanie</t>
  </si>
  <si>
    <t>zamówienie Z/2011-zewn_cnc/PCz/2023</t>
  </si>
  <si>
    <t>zapytanie Z/2011-zewn_cz3/PCz</t>
  </si>
  <si>
    <t>sample2-PRT-A0071721</t>
  </si>
  <si>
    <t>sample2-PRT-A0069147</t>
  </si>
  <si>
    <t>sample2-PRT-A0068775</t>
  </si>
  <si>
    <t>sample2-PRT-A0068774</t>
  </si>
  <si>
    <t>sample2-PRT-A0069184</t>
  </si>
  <si>
    <t>sample2-PRT-A0069182</t>
  </si>
  <si>
    <t>sample2-PRT-A0068805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</si>
</sst>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d/mm/yyyy"/>
    <numFmt numFmtId="165" formatCode="_-* #,##0.00\ _z_ł_-;\-* #,##0.00\ _z_ł_-;_-* \-??\ _z_ł_-;_-@_-"/>
  </numFmts>
  <fonts count="92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sz val="11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18"/>
      <name val="Arial"/>
      <family val="2"/>
      <charset val="238"/>
    </font>
    <font>
      <b/>
      <sz val="8"/>
      <name val="Arial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b/>
      <sz val="14"/>
      <name val="Arial"/>
      <family val="2"/>
      <charset val="238"/>
    </font>
    <font>
      <sz val="24"/>
      <name val="Arial"/>
      <family val="2"/>
      <charset val="238"/>
    </font>
    <font>
      <b/>
      <u/>
      <sz val="11"/>
      <name val="Calibri"/>
      <family val="2"/>
      <charset val="238"/>
    </font>
    <font>
      <b/>
      <sz val="16"/>
      <name val="Arial"/>
      <family val="2"/>
      <charset val="238"/>
    </font>
    <font>
      <b/>
      <sz val="16"/>
      <name val="Arial"/>
      <family val="2"/>
      <charset val="238"/>
    </font>
    <font>
      <b/>
      <u/>
      <sz val="11"/>
      <name val="Calibri"/>
      <family val="2"/>
      <charset val="238"/>
    </font>
    <font>
      <sz val="16"/>
      <name val="Calibri"/>
      <family val="2"/>
      <charset val="238"/>
    </font>
    <font>
      <sz val="16"/>
      <name val="Arial"/>
      <family val="2"/>
    </font>
    <font>
      <sz val="16"/>
      <name val="Arial"/>
      <family val="2"/>
      <charset val="238"/>
    </font>
    <font>
      <sz val="14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1"/>
      <color rgb="FF9C0006"/>
      <name val="Calibri"/>
      <family val="2"/>
      <charset val="238"/>
      <scheme val="min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0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sz val="14"/>
      <color rgb="FFA6A6A6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6"/>
      <color theme="1"/>
      <name val="Arial"/>
      <family val="2"/>
      <charset val="238"/>
    </font>
    <font>
      <sz val="12"/>
      <color rgb="FFA6A6A6"/>
      <name val="Arial"/>
      <family val="2"/>
      <charset val="238"/>
    </font>
    <font>
      <b/>
      <sz val="8"/>
      <color rgb="FF000000"/>
      <name val="Verdana"/>
      <family val="2"/>
      <charset val="238"/>
    </font>
    <font>
      <sz val="14"/>
      <color theme="1"/>
      <name val="Calibri"/>
      <family val="2"/>
      <charset val="238"/>
      <scheme val="minor"/>
    </font>
    <font>
      <sz val="9"/>
      <color rgb="FF000000"/>
      <name val="Arial"/>
      <family val="2"/>
      <charset val="238"/>
    </font>
    <font>
      <b/>
      <sz val="16"/>
      <color theme="1"/>
      <name val="Arial"/>
      <family val="2"/>
      <charset val="238"/>
    </font>
    <font>
      <sz val="16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sz val="16"/>
      <color theme="1"/>
      <name val="Calibri"/>
      <family val="2"/>
      <charset val="238"/>
    </font>
    <font>
      <sz val="16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</font>
    <font>
      <b/>
      <sz val="22"/>
      <color rgb="FF000000"/>
      <name val="Arial"/>
      <family val="2"/>
      <charset val="238"/>
    </font>
    <font>
      <sz val="16"/>
      <color rgb="FF000000"/>
      <name val="Calibri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i/>
      <sz val="14"/>
      <color theme="1"/>
      <name val="Calibri"/>
      <family val="2"/>
      <charset val="238"/>
      <scheme val="minor"/>
    </font>
    <font>
      <i/>
      <sz val="16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</font>
    <font>
      <sz val="14"/>
      <name val="Calibri"/>
      <family val="2"/>
      <charset val="238"/>
      <scheme val="minor"/>
    </font>
    <font>
      <sz val="18"/>
      <name val="Calibri"/>
      <family val="2"/>
      <charset val="238"/>
      <scheme val="minor"/>
    </font>
    <font>
      <b/>
      <sz val="18"/>
      <name val="Calibri"/>
      <family val="2"/>
      <charset val="238"/>
      <scheme val="minor"/>
    </font>
    <font>
      <sz val="14"/>
      <color theme="1"/>
      <name val="Verdana"/>
      <family val="2"/>
      <charset val="238"/>
    </font>
    <font>
      <i/>
      <sz val="14"/>
      <color theme="1"/>
      <name val="Verdana"/>
      <family val="2"/>
      <charset val="238"/>
    </font>
    <font>
      <sz val="12"/>
      <color rgb="FF000000"/>
      <name val="Arial"/>
      <family val="2"/>
      <charset val="238"/>
    </font>
    <font>
      <b/>
      <sz val="12"/>
      <color rgb="FF000000"/>
      <name val="Arial"/>
      <family val="2"/>
      <charset val="238"/>
    </font>
    <font>
      <sz val="16"/>
      <name val="Calibri"/>
      <family val="2"/>
      <charset val="238"/>
      <scheme val="minor"/>
    </font>
    <font>
      <sz val="16"/>
      <color theme="1"/>
      <name val="Verdana"/>
      <family val="2"/>
      <charset val="238"/>
    </font>
    <font>
      <i/>
      <sz val="16"/>
      <color theme="1"/>
      <name val="Verdana"/>
      <family val="2"/>
      <charset val="238"/>
    </font>
    <font>
      <b/>
      <sz val="16"/>
      <name val="Calibri"/>
      <family val="2"/>
      <charset val="238"/>
      <scheme val="minor"/>
    </font>
    <font>
      <b/>
      <sz val="12"/>
      <color theme="1" tint="4.9989318521683403E-2"/>
      <name val="Arial"/>
      <family val="2"/>
      <charset val="238"/>
    </font>
    <font>
      <sz val="16"/>
      <color rgb="FF000000"/>
      <name val="Calibri"/>
      <family val="2"/>
      <charset val="238"/>
      <scheme val="minor"/>
    </font>
    <font>
      <b/>
      <sz val="18"/>
      <color rgb="FF000000"/>
      <name val="Calibri"/>
      <family val="2"/>
      <charset val="238"/>
      <scheme val="minor"/>
    </font>
    <font>
      <sz val="18"/>
      <color rgb="FFA6A6A6"/>
      <name val="Calibri"/>
      <family val="2"/>
      <charset val="238"/>
      <scheme val="minor"/>
    </font>
    <font>
      <sz val="18"/>
      <name val="Arial"/>
      <family val="2"/>
      <charset val="238"/>
    </font>
    <font>
      <sz val="18"/>
      <color rgb="FFA6A6A6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8"/>
      <color theme="1"/>
      <name val="Arial"/>
      <family val="2"/>
      <charset val="238"/>
    </font>
  </fonts>
  <fills count="57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0EA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>
      <alignment horizontal="center"/>
    </xf>
    <xf numFmtId="0" fontId="29" fillId="0" borderId="1"/>
    <xf numFmtId="0" fontId="29" fillId="0" borderId="1">
      <alignment horizontal="center"/>
    </xf>
    <xf numFmtId="0" fontId="29" fillId="0" borderId="1">
      <alignment horizontal="center"/>
    </xf>
    <xf numFmtId="0" fontId="31" fillId="28" borderId="59" applyNumberFormat="0" applyAlignment="0" applyProtection="0"/>
    <xf numFmtId="0" fontId="32" fillId="29" borderId="60" applyNumberFormat="0" applyAlignment="0" applyProtection="0"/>
    <xf numFmtId="0" fontId="33" fillId="30" borderId="0" applyNumberFormat="0" applyBorder="0" applyAlignment="0" applyProtection="0"/>
    <xf numFmtId="165" fontId="8" fillId="0" borderId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14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34" fillId="0" borderId="61" applyNumberFormat="0" applyFill="0" applyAlignment="0" applyProtection="0"/>
    <xf numFmtId="0" fontId="35" fillId="31" borderId="62" applyNumberFormat="0" applyAlignment="0" applyProtection="0"/>
    <xf numFmtId="0" fontId="36" fillId="0" borderId="63" applyNumberFormat="0" applyFill="0" applyAlignment="0" applyProtection="0"/>
    <xf numFmtId="0" fontId="37" fillId="0" borderId="64" applyNumberFormat="0" applyFill="0" applyAlignment="0" applyProtection="0"/>
    <xf numFmtId="0" fontId="38" fillId="0" borderId="65" applyNumberFormat="0" applyFill="0" applyAlignment="0" applyProtection="0"/>
    <xf numFmtId="0" fontId="38" fillId="0" borderId="0" applyNumberFormat="0" applyFill="0" applyBorder="0" applyAlignment="0" applyProtection="0"/>
    <xf numFmtId="0" fontId="39" fillId="32" borderId="0" applyNumberFormat="0" applyBorder="0" applyAlignment="0" applyProtection="0"/>
    <xf numFmtId="0" fontId="29" fillId="0" borderId="0"/>
    <xf numFmtId="0" fontId="29" fillId="0" borderId="0"/>
    <xf numFmtId="0" fontId="40" fillId="29" borderId="59" applyNumberFormat="0" applyAlignment="0" applyProtection="0"/>
    <xf numFmtId="0" fontId="41" fillId="0" borderId="66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9" fillId="33" borderId="67" applyNumberFormat="0" applyFont="0" applyAlignment="0" applyProtection="0"/>
    <xf numFmtId="0" fontId="45" fillId="34" borderId="0" applyNumberFormat="0" applyBorder="0" applyAlignment="0" applyProtection="0"/>
  </cellStyleXfs>
  <cellXfs count="376">
    <xf numFmtId="0" fontId="0" fillId="0" borderId="0" xfId="0"/>
    <xf numFmtId="0" fontId="0" fillId="3" borderId="0" xfId="0" applyFill="1"/>
    <xf numFmtId="0" fontId="1" fillId="0" borderId="0" xfId="0" applyFont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3" fillId="0" borderId="0" xfId="0" applyFont="1"/>
    <xf numFmtId="0" fontId="46" fillId="0" borderId="0" xfId="0" applyFont="1" applyProtection="1">
      <protection locked="0"/>
    </xf>
    <xf numFmtId="0" fontId="47" fillId="35" borderId="4" xfId="0" applyFont="1" applyFill="1" applyBorder="1" applyAlignment="1" applyProtection="1">
      <alignment horizontal="center" vertical="center" wrapText="1"/>
      <protection locked="0"/>
    </xf>
    <xf numFmtId="0" fontId="47" fillId="35" borderId="5" xfId="0" applyFont="1" applyFill="1" applyBorder="1" applyAlignment="1" applyProtection="1">
      <alignment horizontal="center" vertical="center" wrapText="1"/>
      <protection locked="0"/>
    </xf>
    <xf numFmtId="0" fontId="47" fillId="35" borderId="6" xfId="0" applyFont="1" applyFill="1" applyBorder="1" applyAlignment="1" applyProtection="1">
      <alignment horizontal="center" vertical="center" wrapText="1"/>
      <protection locked="0"/>
    </xf>
    <xf numFmtId="0" fontId="47" fillId="35" borderId="7" xfId="0" applyFont="1" applyFill="1" applyBorder="1" applyAlignment="1" applyProtection="1">
      <alignment horizontal="center" vertical="center" wrapText="1"/>
      <protection locked="0"/>
    </xf>
    <xf numFmtId="0" fontId="48" fillId="35" borderId="4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top"/>
      <protection locked="0"/>
    </xf>
    <xf numFmtId="0" fontId="17" fillId="0" borderId="0" xfId="0" applyFont="1" applyAlignment="1" applyProtection="1">
      <alignment horizontal="center" vertical="top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7" fillId="35" borderId="8" xfId="0" applyFont="1" applyFill="1" applyBorder="1" applyAlignment="1" applyProtection="1">
      <alignment horizontal="center" vertical="center" wrapText="1"/>
      <protection locked="0"/>
    </xf>
    <xf numFmtId="0" fontId="47" fillId="35" borderId="9" xfId="0" applyFont="1" applyFill="1" applyBorder="1" applyAlignment="1" applyProtection="1">
      <alignment horizontal="center" vertical="center" wrapText="1"/>
      <protection locked="0"/>
    </xf>
    <xf numFmtId="0" fontId="47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49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47" fillId="35" borderId="11" xfId="0" applyFont="1" applyFill="1" applyBorder="1" applyAlignment="1" applyProtection="1">
      <alignment horizontal="center" vertical="center" wrapText="1"/>
      <protection locked="0"/>
    </xf>
    <xf numFmtId="0" fontId="47" fillId="35" borderId="12" xfId="0" applyFont="1" applyFill="1" applyBorder="1" applyAlignment="1" applyProtection="1">
      <alignment horizontal="center" vertical="center" wrapText="1"/>
      <protection locked="0"/>
    </xf>
    <xf numFmtId="0" fontId="47" fillId="35" borderId="13" xfId="0" applyFont="1" applyFill="1" applyBorder="1" applyAlignment="1" applyProtection="1">
      <alignment horizontal="center" vertical="center" wrapText="1"/>
      <protection locked="0"/>
    </xf>
    <xf numFmtId="0" fontId="47" fillId="36" borderId="14" xfId="0" applyFont="1" applyFill="1" applyBorder="1" applyAlignment="1" applyProtection="1">
      <alignment horizontal="center" vertical="center" wrapText="1"/>
      <protection locked="0"/>
    </xf>
    <xf numFmtId="0" fontId="18" fillId="35" borderId="15" xfId="0" applyFont="1" applyFill="1" applyBorder="1" applyAlignment="1">
      <alignment horizontal="center" vertical="center" wrapText="1"/>
    </xf>
    <xf numFmtId="0" fontId="47" fillId="35" borderId="15" xfId="0" applyFont="1" applyFill="1" applyBorder="1" applyAlignment="1" applyProtection="1">
      <alignment horizontal="center" vertical="center" wrapText="1"/>
      <protection locked="0"/>
    </xf>
    <xf numFmtId="0" fontId="48" fillId="35" borderId="16" xfId="0" applyFont="1" applyFill="1" applyBorder="1" applyAlignment="1" applyProtection="1">
      <alignment horizontal="center" vertical="center" wrapText="1"/>
      <protection locked="0"/>
    </xf>
    <xf numFmtId="0" fontId="48" fillId="35" borderId="17" xfId="0" applyFont="1" applyFill="1" applyBorder="1" applyAlignment="1" applyProtection="1">
      <alignment horizontal="center" vertical="center" wrapText="1"/>
      <protection locked="0"/>
    </xf>
    <xf numFmtId="0" fontId="7" fillId="0" borderId="0" xfId="45" applyNumberFormat="1" applyFill="1" applyBorder="1" applyAlignment="1" applyProtection="1">
      <alignment horizontal="center" vertical="center"/>
      <protection locked="0"/>
    </xf>
    <xf numFmtId="0" fontId="47" fillId="35" borderId="18" xfId="0" applyFont="1" applyFill="1" applyBorder="1" applyAlignment="1" applyProtection="1">
      <alignment horizontal="center" vertical="center" wrapText="1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0" fillId="0" borderId="19" xfId="0" applyBorder="1" applyAlignment="1">
      <alignment vertical="center" wrapText="1"/>
    </xf>
    <xf numFmtId="0" fontId="17" fillId="0" borderId="19" xfId="0" applyFont="1" applyBorder="1" applyAlignment="1" applyProtection="1">
      <alignment horizontal="center" vertical="center" wrapText="1"/>
      <protection locked="0"/>
    </xf>
    <xf numFmtId="0" fontId="47" fillId="35" borderId="20" xfId="0" applyFont="1" applyFill="1" applyBorder="1" applyAlignment="1">
      <alignment horizontal="center" vertical="center" wrapText="1"/>
    </xf>
    <xf numFmtId="0" fontId="47" fillId="35" borderId="21" xfId="0" applyFont="1" applyFill="1" applyBorder="1" applyAlignment="1" applyProtection="1">
      <alignment horizontal="center" vertical="center" wrapText="1"/>
      <protection locked="0"/>
    </xf>
    <xf numFmtId="0" fontId="47" fillId="35" borderId="22" xfId="0" applyFont="1" applyFill="1" applyBorder="1" applyAlignment="1" applyProtection="1">
      <alignment horizontal="center" vertical="center" wrapText="1"/>
      <protection locked="0"/>
    </xf>
    <xf numFmtId="0" fontId="48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left" vertical="center"/>
    </xf>
    <xf numFmtId="0" fontId="47" fillId="35" borderId="23" xfId="0" applyFont="1" applyFill="1" applyBorder="1" applyAlignment="1">
      <alignment horizontal="center" vertical="center" wrapText="1"/>
    </xf>
    <xf numFmtId="0" fontId="18" fillId="35" borderId="24" xfId="0" applyFont="1" applyFill="1" applyBorder="1" applyAlignment="1">
      <alignment horizontal="center" vertical="center" wrapText="1"/>
    </xf>
    <xf numFmtId="0" fontId="47" fillId="35" borderId="24" xfId="0" applyFont="1" applyFill="1" applyBorder="1" applyAlignment="1" applyProtection="1">
      <alignment horizontal="center" vertical="center" wrapText="1"/>
      <protection locked="0"/>
    </xf>
    <xf numFmtId="0" fontId="47" fillId="35" borderId="25" xfId="0" applyFont="1" applyFill="1" applyBorder="1" applyAlignment="1" applyProtection="1">
      <alignment horizontal="center" vertical="center" wrapText="1"/>
      <protection locked="0"/>
    </xf>
    <xf numFmtId="0" fontId="47" fillId="36" borderId="26" xfId="0" applyFont="1" applyFill="1" applyBorder="1" applyAlignment="1" applyProtection="1">
      <alignment horizontal="center" vertical="center" wrapText="1"/>
      <protection locked="0"/>
    </xf>
    <xf numFmtId="0" fontId="1" fillId="0" borderId="27" xfId="0" applyFont="1" applyBorder="1" applyAlignment="1">
      <alignment vertical="center" wrapText="1"/>
    </xf>
    <xf numFmtId="0" fontId="1" fillId="0" borderId="28" xfId="0" applyFont="1" applyBorder="1" applyAlignment="1" applyProtection="1">
      <alignment horizontal="center" vertical="center" wrapText="1"/>
      <protection locked="0"/>
    </xf>
    <xf numFmtId="0" fontId="1" fillId="0" borderId="28" xfId="0" applyFont="1" applyBorder="1" applyAlignment="1" applyProtection="1">
      <alignment vertical="center" wrapText="1"/>
      <protection locked="0"/>
    </xf>
    <xf numFmtId="0" fontId="16" fillId="0" borderId="28" xfId="0" applyFont="1" applyBorder="1" applyAlignment="1" applyProtection="1">
      <alignment vertical="center" wrapText="1"/>
      <protection locked="0"/>
    </xf>
    <xf numFmtId="0" fontId="16" fillId="37" borderId="29" xfId="0" applyFont="1" applyFill="1" applyBorder="1" applyAlignment="1" applyProtection="1">
      <alignment vertical="center" wrapText="1"/>
      <protection locked="0"/>
    </xf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20" fillId="0" borderId="0" xfId="0" applyFont="1" applyAlignment="1" applyProtection="1">
      <alignment horizontal="center" vertical="center"/>
      <protection locked="0"/>
    </xf>
    <xf numFmtId="0" fontId="0" fillId="42" borderId="0" xfId="0" applyFill="1"/>
    <xf numFmtId="0" fontId="18" fillId="43" borderId="0" xfId="0" applyFont="1" applyFill="1"/>
    <xf numFmtId="0" fontId="18" fillId="44" borderId="0" xfId="0" applyFont="1" applyFill="1"/>
    <xf numFmtId="0" fontId="50" fillId="0" borderId="0" xfId="0" quotePrefix="1" applyFont="1"/>
    <xf numFmtId="0" fontId="50" fillId="45" borderId="0" xfId="0" quotePrefix="1" applyFont="1" applyFill="1"/>
    <xf numFmtId="0" fontId="18" fillId="39" borderId="0" xfId="0" quotePrefix="1" applyFont="1" applyFill="1"/>
    <xf numFmtId="0" fontId="5" fillId="0" borderId="19" xfId="0" applyFont="1" applyBorder="1" applyAlignment="1">
      <alignment horizontal="left" vertical="center" wrapText="1"/>
    </xf>
    <xf numFmtId="0" fontId="46" fillId="46" borderId="0" xfId="0" applyFont="1" applyFill="1" applyProtection="1">
      <protection locked="0"/>
    </xf>
    <xf numFmtId="0" fontId="0" fillId="47" borderId="0" xfId="0" quotePrefix="1" applyFill="1"/>
    <xf numFmtId="0" fontId="18" fillId="0" borderId="0" xfId="0" quotePrefix="1" applyFont="1"/>
    <xf numFmtId="0" fontId="0" fillId="48" borderId="0" xfId="0" applyFill="1"/>
    <xf numFmtId="0" fontId="47" fillId="35" borderId="24" xfId="0" applyFont="1" applyFill="1" applyBorder="1" applyAlignment="1" applyProtection="1">
      <alignment horizontal="left" vertical="center" wrapText="1"/>
      <protection locked="0"/>
    </xf>
    <xf numFmtId="0" fontId="47" fillId="35" borderId="15" xfId="0" applyFont="1" applyFill="1" applyBorder="1" applyAlignment="1" applyProtection="1">
      <alignment horizontal="left" vertical="center" wrapText="1"/>
      <protection locked="0"/>
    </xf>
    <xf numFmtId="49" fontId="0" fillId="49" borderId="30" xfId="0" applyNumberFormat="1" applyFill="1" applyBorder="1" applyAlignment="1">
      <alignment horizontal="left" vertical="center" wrapText="1"/>
    </xf>
    <xf numFmtId="49" fontId="5" fillId="0" borderId="0" xfId="0" applyNumberFormat="1" applyFont="1" applyAlignment="1" applyProtection="1">
      <alignment horizontal="left" vertical="center"/>
      <protection locked="0"/>
    </xf>
    <xf numFmtId="49" fontId="47" fillId="35" borderId="24" xfId="0" applyNumberFormat="1" applyFont="1" applyFill="1" applyBorder="1" applyAlignment="1" applyProtection="1">
      <alignment horizontal="left" vertical="center"/>
      <protection locked="0"/>
    </xf>
    <xf numFmtId="49" fontId="47" fillId="35" borderId="15" xfId="0" applyNumberFormat="1" applyFont="1" applyFill="1" applyBorder="1" applyAlignment="1" applyProtection="1">
      <alignment horizontal="left" vertical="center"/>
      <protection locked="0"/>
    </xf>
    <xf numFmtId="0" fontId="0" fillId="49" borderId="19" xfId="0" applyFill="1" applyBorder="1" applyAlignment="1">
      <alignment horizontal="center" vertical="center" wrapText="1"/>
    </xf>
    <xf numFmtId="0" fontId="51" fillId="35" borderId="15" xfId="0" applyFont="1" applyFill="1" applyBorder="1" applyAlignment="1">
      <alignment horizontal="left" vertical="center"/>
    </xf>
    <xf numFmtId="0" fontId="11" fillId="0" borderId="15" xfId="39" applyNumberFormat="1" applyFont="1" applyFill="1" applyBorder="1" applyAlignment="1" applyProtection="1">
      <alignment horizontal="center" vertical="center" wrapText="1"/>
    </xf>
    <xf numFmtId="0" fontId="52" fillId="0" borderId="15" xfId="0" applyFont="1" applyBorder="1" applyAlignment="1" applyProtection="1">
      <alignment horizontal="left" vertical="center" wrapText="1"/>
      <protection locked="0"/>
    </xf>
    <xf numFmtId="0" fontId="20" fillId="49" borderId="27" xfId="0" applyFont="1" applyFill="1" applyBorder="1" applyAlignment="1">
      <alignment vertical="center"/>
    </xf>
    <xf numFmtId="0" fontId="53" fillId="50" borderId="15" xfId="0" applyFont="1" applyFill="1" applyBorder="1" applyAlignment="1" applyProtection="1">
      <alignment horizontal="center" vertical="center" wrapText="1"/>
      <protection locked="0"/>
    </xf>
    <xf numFmtId="0" fontId="7" fillId="51" borderId="15" xfId="45" applyFill="1" applyBorder="1" applyAlignment="1" applyProtection="1">
      <alignment horizontal="center" vertical="center"/>
    </xf>
    <xf numFmtId="14" fontId="24" fillId="52" borderId="15" xfId="45" applyNumberFormat="1" applyFont="1" applyFill="1" applyBorder="1" applyAlignment="1" applyProtection="1">
      <alignment horizontal="center" vertical="center"/>
      <protection locked="0"/>
    </xf>
    <xf numFmtId="0" fontId="0" fillId="52" borderId="15" xfId="0" applyFill="1" applyBorder="1" applyAlignment="1">
      <alignment horizontal="center" vertical="center"/>
    </xf>
    <xf numFmtId="0" fontId="52" fillId="48" borderId="15" xfId="0" applyFont="1" applyFill="1" applyBorder="1" applyAlignment="1" applyProtection="1">
      <alignment horizontal="left" vertical="center" wrapText="1"/>
      <protection locked="0"/>
    </xf>
    <xf numFmtId="0" fontId="46" fillId="48" borderId="0" xfId="0" applyFont="1" applyFill="1" applyProtection="1">
      <protection locked="0"/>
    </xf>
    <xf numFmtId="0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1" fillId="52" borderId="15" xfId="45" applyNumberFormat="1" applyFont="1" applyFill="1" applyBorder="1" applyAlignment="1" applyProtection="1">
      <alignment horizontal="center" vertical="center"/>
      <protection locked="0"/>
    </xf>
    <xf numFmtId="0" fontId="54" fillId="44" borderId="15" xfId="0" applyFont="1" applyFill="1" applyBorder="1" applyAlignment="1" applyProtection="1">
      <alignment horizontal="center" vertical="center" wrapText="1"/>
      <protection locked="0"/>
    </xf>
    <xf numFmtId="0" fontId="7" fillId="52" borderId="15" xfId="45" applyFill="1" applyBorder="1" applyAlignment="1" applyProtection="1">
      <alignment horizontal="center" vertical="center"/>
    </xf>
    <xf numFmtId="0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4" fillId="39" borderId="15" xfId="45" applyNumberFormat="1" applyFont="1" applyFill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5" fillId="0" borderId="15" xfId="0" applyFont="1" applyBorder="1" applyAlignment="1">
      <alignment horizontal="center" vertical="center" wrapText="1"/>
    </xf>
    <xf numFmtId="14" fontId="0" fillId="0" borderId="15" xfId="0" applyNumberFormat="1" applyBorder="1" applyAlignment="1" applyProtection="1">
      <alignment horizontal="center"/>
      <protection locked="0"/>
    </xf>
    <xf numFmtId="0" fontId="56" fillId="50" borderId="15" xfId="0" applyFont="1" applyFill="1" applyBorder="1" applyAlignment="1" applyProtection="1">
      <alignment horizontal="center" vertical="center"/>
      <protection locked="0"/>
    </xf>
    <xf numFmtId="0" fontId="57" fillId="44" borderId="15" xfId="0" applyFont="1" applyFill="1" applyBorder="1" applyAlignment="1">
      <alignment horizontal="center" vertical="center" wrapText="1"/>
    </xf>
    <xf numFmtId="0" fontId="17" fillId="0" borderId="15" xfId="0" applyFont="1" applyBorder="1" applyAlignment="1" applyProtection="1">
      <alignment horizontal="center" vertical="top"/>
      <protection locked="0"/>
    </xf>
    <xf numFmtId="0" fontId="9" fillId="0" borderId="15" xfId="0" applyFont="1" applyBorder="1" applyAlignment="1" applyProtection="1">
      <alignment horizontal="center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46" fillId="0" borderId="15" xfId="0" applyFont="1" applyBorder="1" applyProtection="1">
      <protection locked="0"/>
    </xf>
    <xf numFmtId="0" fontId="5" fillId="0" borderId="15" xfId="0" applyFont="1" applyBorder="1" applyAlignment="1">
      <alignment horizontal="center" vertical="center"/>
    </xf>
    <xf numFmtId="0" fontId="58" fillId="48" borderId="15" xfId="0" applyFont="1" applyFill="1" applyBorder="1" applyAlignment="1" applyProtection="1">
      <alignment horizontal="center" vertical="center" wrapText="1"/>
      <protection locked="0"/>
    </xf>
    <xf numFmtId="0" fontId="54" fillId="44" borderId="15" xfId="0" applyFont="1" applyFill="1" applyBorder="1" applyAlignment="1">
      <alignment horizontal="center" vertical="center" wrapText="1"/>
    </xf>
    <xf numFmtId="0" fontId="19" fillId="0" borderId="15" xfId="39" applyNumberFormat="1" applyFont="1" applyFill="1" applyBorder="1" applyAlignment="1" applyProtection="1">
      <alignment horizontal="center" vertical="center" wrapText="1"/>
    </xf>
    <xf numFmtId="0" fontId="59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center" vertical="center" wrapText="1"/>
      <protection locked="0"/>
    </xf>
    <xf numFmtId="0" fontId="61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0" applyFont="1" applyFill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 applyProtection="1">
      <alignment horizontal="center" vertical="center"/>
      <protection locked="0"/>
    </xf>
    <xf numFmtId="0" fontId="64" fillId="48" borderId="15" xfId="0" applyFont="1" applyFill="1" applyBorder="1" applyAlignment="1" applyProtection="1">
      <alignment horizontal="center" vertical="center" wrapText="1"/>
      <protection locked="0"/>
    </xf>
    <xf numFmtId="0" fontId="64" fillId="48" borderId="15" xfId="0" applyFont="1" applyFill="1" applyBorder="1" applyAlignment="1" applyProtection="1">
      <alignment horizontal="center" vertical="center"/>
      <protection locked="0"/>
    </xf>
    <xf numFmtId="0" fontId="23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left" vertical="center" wrapText="1"/>
      <protection locked="0"/>
    </xf>
    <xf numFmtId="0" fontId="65" fillId="48" borderId="15" xfId="0" applyFont="1" applyFill="1" applyBorder="1" applyAlignment="1" applyProtection="1">
      <alignment horizontal="center" vertical="center"/>
      <protection locked="0"/>
    </xf>
    <xf numFmtId="0" fontId="47" fillId="35" borderId="31" xfId="0" applyFont="1" applyFill="1" applyBorder="1" applyAlignment="1">
      <alignment horizontal="center" vertical="center" wrapText="1"/>
    </xf>
    <xf numFmtId="0" fontId="18" fillId="35" borderId="32" xfId="0" applyFont="1" applyFill="1" applyBorder="1" applyAlignment="1">
      <alignment horizontal="center" vertical="center" wrapText="1"/>
    </xf>
    <xf numFmtId="0" fontId="47" fillId="35" borderId="32" xfId="0" applyFont="1" applyFill="1" applyBorder="1" applyAlignment="1" applyProtection="1">
      <alignment horizontal="center" vertical="center" wrapText="1"/>
      <protection locked="0"/>
    </xf>
    <xf numFmtId="0" fontId="47" fillId="35" borderId="32" xfId="0" applyFont="1" applyFill="1" applyBorder="1" applyAlignment="1" applyProtection="1">
      <alignment horizontal="center" vertical="center"/>
      <protection locked="0"/>
    </xf>
    <xf numFmtId="0" fontId="47" fillId="35" borderId="33" xfId="0" applyFont="1" applyFill="1" applyBorder="1" applyAlignment="1" applyProtection="1">
      <alignment horizontal="center" vertical="center" wrapText="1"/>
      <protection locked="0"/>
    </xf>
    <xf numFmtId="0" fontId="68" fillId="35" borderId="34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5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2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6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1" xfId="0" applyFont="1" applyFill="1" applyBorder="1" applyAlignment="1" applyProtection="1">
      <alignment horizontal="center" vertical="center" textRotation="90" wrapText="1"/>
      <protection locked="0"/>
    </xf>
    <xf numFmtId="0" fontId="47" fillId="36" borderId="37" xfId="0" applyFont="1" applyFill="1" applyBorder="1" applyAlignment="1" applyProtection="1">
      <alignment horizontal="center" vertical="center" wrapText="1"/>
      <protection locked="0"/>
    </xf>
    <xf numFmtId="0" fontId="47" fillId="35" borderId="38" xfId="0" applyFont="1" applyFill="1" applyBorder="1" applyAlignment="1" applyProtection="1">
      <alignment horizontal="center" vertical="center" wrapText="1"/>
      <protection locked="0"/>
    </xf>
    <xf numFmtId="0" fontId="47" fillId="35" borderId="39" xfId="0" applyFont="1" applyFill="1" applyBorder="1" applyAlignment="1" applyProtection="1">
      <alignment horizontal="center" vertical="center" wrapText="1"/>
      <protection locked="0"/>
    </xf>
    <xf numFmtId="0" fontId="47" fillId="35" borderId="40" xfId="0" applyFont="1" applyFill="1" applyBorder="1" applyAlignment="1" applyProtection="1">
      <alignment horizontal="center" vertical="center" wrapText="1"/>
      <protection locked="0"/>
    </xf>
    <xf numFmtId="0" fontId="48" fillId="35" borderId="41" xfId="0" applyFont="1" applyFill="1" applyBorder="1" applyAlignment="1" applyProtection="1">
      <alignment horizontal="center" vertical="center" wrapText="1"/>
      <protection locked="0"/>
    </xf>
    <xf numFmtId="0" fontId="48" fillId="35" borderId="0" xfId="0" applyFont="1" applyFill="1" applyAlignment="1" applyProtection="1">
      <alignment horizontal="center" vertical="center" wrapText="1"/>
      <protection locked="0"/>
    </xf>
    <xf numFmtId="0" fontId="47" fillId="35" borderId="42" xfId="0" applyFont="1" applyFill="1" applyBorder="1" applyAlignment="1" applyProtection="1">
      <alignment horizontal="center" vertical="center" wrapText="1"/>
      <protection locked="0"/>
    </xf>
    <xf numFmtId="0" fontId="47" fillId="35" borderId="41" xfId="0" applyFont="1" applyFill="1" applyBorder="1" applyAlignment="1" applyProtection="1">
      <alignment horizontal="center" vertical="center" wrapText="1"/>
      <protection locked="0"/>
    </xf>
    <xf numFmtId="0" fontId="47" fillId="35" borderId="43" xfId="0" applyFont="1" applyFill="1" applyBorder="1" applyAlignment="1" applyProtection="1">
      <alignment horizontal="center" vertical="center" wrapText="1"/>
      <protection locked="0"/>
    </xf>
    <xf numFmtId="0" fontId="69" fillId="0" borderId="15" xfId="0" applyFont="1" applyBorder="1" applyAlignment="1">
      <alignment horizontal="center" vertical="center" wrapText="1"/>
    </xf>
    <xf numFmtId="14" fontId="8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59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0" applyFont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>
      <alignment horizontal="center" vertical="center" wrapText="1"/>
    </xf>
    <xf numFmtId="14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>
      <alignment horizontal="center" vertical="center" wrapText="1"/>
    </xf>
    <xf numFmtId="0" fontId="64" fillId="48" borderId="15" xfId="0" applyFont="1" applyFill="1" applyBorder="1" applyAlignment="1" applyProtection="1">
      <alignment horizontal="left" vertical="center"/>
      <protection locked="0"/>
    </xf>
    <xf numFmtId="0" fontId="70" fillId="48" borderId="15" xfId="0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 applyProtection="1">
      <alignment horizontal="center" vertical="center" wrapText="1"/>
      <protection locked="0"/>
    </xf>
    <xf numFmtId="0" fontId="69" fillId="48" borderId="15" xfId="0" applyFont="1" applyFill="1" applyBorder="1" applyAlignment="1">
      <alignment horizontal="center" vertical="center" wrapText="1"/>
    </xf>
    <xf numFmtId="14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2" fillId="48" borderId="15" xfId="0" applyFont="1" applyFill="1" applyBorder="1" applyAlignment="1">
      <alignment horizontal="center" vertical="center" wrapText="1"/>
    </xf>
    <xf numFmtId="0" fontId="58" fillId="48" borderId="15" xfId="0" applyFont="1" applyFill="1" applyBorder="1" applyAlignment="1" applyProtection="1">
      <alignment horizontal="left" vertical="center"/>
      <protection locked="0"/>
    </xf>
    <xf numFmtId="0" fontId="64" fillId="48" borderId="15" xfId="0" applyFont="1" applyFill="1" applyBorder="1" applyAlignment="1" applyProtection="1">
      <alignment horizontal="left" vertical="center" wrapText="1"/>
      <protection locked="0"/>
    </xf>
    <xf numFmtId="14" fontId="25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left" vertical="center" wrapText="1"/>
      <protection locked="0"/>
    </xf>
    <xf numFmtId="0" fontId="64" fillId="48" borderId="15" xfId="0" applyFont="1" applyFill="1" applyBorder="1" applyAlignment="1">
      <alignment horizontal="center" vertical="center" wrapText="1"/>
    </xf>
    <xf numFmtId="0" fontId="71" fillId="48" borderId="15" xfId="0" applyFont="1" applyFill="1" applyBorder="1" applyAlignment="1">
      <alignment horizontal="center" vertical="center" wrapText="1"/>
    </xf>
    <xf numFmtId="0" fontId="55" fillId="0" borderId="15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 applyProtection="1">
      <alignment horizontal="center" vertical="center"/>
      <protection locked="0"/>
    </xf>
    <xf numFmtId="0" fontId="28" fillId="0" borderId="15" xfId="0" applyFont="1" applyBorder="1" applyAlignment="1" applyProtection="1">
      <alignment horizontal="center" vertical="center"/>
      <protection locked="0"/>
    </xf>
    <xf numFmtId="0" fontId="73" fillId="0" borderId="15" xfId="0" applyFont="1" applyBorder="1" applyAlignment="1" applyProtection="1">
      <alignment horizontal="center" vertical="center"/>
      <protection locked="0"/>
    </xf>
    <xf numFmtId="0" fontId="74" fillId="0" borderId="15" xfId="0" applyFont="1" applyBorder="1" applyAlignment="1" applyProtection="1">
      <alignment horizontal="center" vertical="center"/>
      <protection locked="0"/>
    </xf>
    <xf numFmtId="0" fontId="75" fillId="0" borderId="15" xfId="0" applyFont="1" applyBorder="1" applyAlignment="1" applyProtection="1">
      <alignment horizontal="center" vertical="top"/>
      <protection locked="0"/>
    </xf>
    <xf numFmtId="0" fontId="76" fillId="0" borderId="15" xfId="0" applyFont="1" applyBorder="1" applyAlignment="1">
      <alignment horizontal="center" vertical="center" wrapText="1"/>
    </xf>
    <xf numFmtId="0" fontId="77" fillId="0" borderId="15" xfId="0" applyFont="1" applyBorder="1" applyAlignment="1">
      <alignment horizontal="center" vertical="center" wrapText="1"/>
    </xf>
    <xf numFmtId="0" fontId="76" fillId="38" borderId="15" xfId="0" applyFont="1" applyFill="1" applyBorder="1" applyAlignment="1">
      <alignment horizontal="center" vertical="center" wrapText="1"/>
    </xf>
    <xf numFmtId="14" fontId="0" fillId="48" borderId="15" xfId="0" applyNumberFormat="1" applyFill="1" applyBorder="1" applyAlignment="1" applyProtection="1">
      <alignment horizontal="center"/>
      <protection locked="0"/>
    </xf>
    <xf numFmtId="0" fontId="28" fillId="48" borderId="15" xfId="0" applyFont="1" applyFill="1" applyBorder="1" applyAlignment="1" applyProtection="1">
      <alignment horizontal="center" vertical="center"/>
      <protection locked="0"/>
    </xf>
    <xf numFmtId="0" fontId="76" fillId="48" borderId="15" xfId="0" applyFont="1" applyFill="1" applyBorder="1" applyAlignment="1">
      <alignment horizontal="center" vertical="center" wrapText="1"/>
    </xf>
    <xf numFmtId="0" fontId="77" fillId="48" borderId="15" xfId="0" applyFont="1" applyFill="1" applyBorder="1" applyAlignment="1">
      <alignment horizontal="center" vertical="center" wrapText="1"/>
    </xf>
    <xf numFmtId="0" fontId="75" fillId="48" borderId="15" xfId="0" applyFont="1" applyFill="1" applyBorder="1" applyAlignment="1" applyProtection="1">
      <alignment horizontal="center" vertical="top"/>
      <protection locked="0"/>
    </xf>
    <xf numFmtId="0" fontId="74" fillId="48" borderId="15" xfId="0" applyFont="1" applyFill="1" applyBorder="1" applyAlignment="1" applyProtection="1">
      <alignment horizontal="center" vertical="center"/>
      <protection locked="0"/>
    </xf>
    <xf numFmtId="0" fontId="5" fillId="48" borderId="15" xfId="0" applyFont="1" applyFill="1" applyBorder="1" applyAlignment="1" applyProtection="1">
      <alignment horizontal="center" vertical="center"/>
      <protection locked="0"/>
    </xf>
    <xf numFmtId="0" fontId="3" fillId="48" borderId="15" xfId="0" applyFont="1" applyFill="1" applyBorder="1" applyAlignment="1" applyProtection="1">
      <alignment horizontal="center" vertical="center"/>
      <protection locked="0"/>
    </xf>
    <xf numFmtId="0" fontId="9" fillId="48" borderId="15" xfId="0" applyFont="1" applyFill="1" applyBorder="1" applyAlignment="1" applyProtection="1">
      <alignment horizontal="center" vertical="center"/>
      <protection locked="0"/>
    </xf>
    <xf numFmtId="0" fontId="8" fillId="48" borderId="15" xfId="0" applyFont="1" applyFill="1" applyBorder="1" applyAlignment="1" applyProtection="1">
      <alignment horizontal="center" vertical="center"/>
      <protection locked="0"/>
    </xf>
    <xf numFmtId="0" fontId="46" fillId="48" borderId="15" xfId="0" applyFont="1" applyFill="1" applyBorder="1" applyProtection="1">
      <protection locked="0"/>
    </xf>
    <xf numFmtId="0" fontId="73" fillId="48" borderId="15" xfId="0" applyFont="1" applyFill="1" applyBorder="1" applyAlignment="1" applyProtection="1">
      <alignment horizontal="center" vertical="center"/>
      <protection locked="0"/>
    </xf>
    <xf numFmtId="0" fontId="78" fillId="38" borderId="15" xfId="0" applyFont="1" applyFill="1" applyBorder="1" applyAlignment="1" applyProtection="1">
      <alignment horizontal="center" vertical="center"/>
      <protection locked="0"/>
    </xf>
    <xf numFmtId="0" fontId="56" fillId="50" borderId="44" xfId="0" applyFont="1" applyFill="1" applyBorder="1" applyAlignment="1" applyProtection="1">
      <alignment horizontal="center" vertical="center"/>
      <protection locked="0"/>
    </xf>
    <xf numFmtId="0" fontId="79" fillId="44" borderId="15" xfId="0" applyFont="1" applyFill="1" applyBorder="1" applyAlignment="1" applyProtection="1">
      <alignment horizontal="center" vertical="center"/>
      <protection locked="0"/>
    </xf>
    <xf numFmtId="0" fontId="3" fillId="52" borderId="15" xfId="0" applyFont="1" applyFill="1" applyBorder="1" applyAlignment="1" applyProtection="1">
      <alignment horizontal="center" vertical="center"/>
      <protection locked="0"/>
    </xf>
    <xf numFmtId="0" fontId="5" fillId="52" borderId="15" xfId="0" applyFont="1" applyFill="1" applyBorder="1" applyAlignment="1" applyProtection="1">
      <alignment horizontal="center" vertical="center"/>
      <protection locked="0"/>
    </xf>
    <xf numFmtId="0" fontId="27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>
      <alignment horizontal="center" vertical="center" wrapText="1"/>
    </xf>
    <xf numFmtId="0" fontId="64" fillId="0" borderId="15" xfId="0" applyFont="1" applyBorder="1" applyAlignment="1" applyProtection="1">
      <alignment horizontal="left" vertical="center" wrapText="1"/>
      <protection locked="0"/>
    </xf>
    <xf numFmtId="0" fontId="71" fillId="0" borderId="15" xfId="0" applyFont="1" applyBorder="1" applyAlignment="1" applyProtection="1">
      <alignment horizontal="center" vertical="center" wrapText="1"/>
      <protection locked="0"/>
    </xf>
    <xf numFmtId="0" fontId="64" fillId="38" borderId="15" xfId="0" applyFont="1" applyFill="1" applyBorder="1" applyAlignment="1" applyProtection="1">
      <alignment horizontal="center" vertical="center" wrapText="1"/>
      <protection locked="0"/>
    </xf>
    <xf numFmtId="0" fontId="55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0" applyFont="1" applyBorder="1" applyAlignment="1" applyProtection="1">
      <alignment horizontal="left" vertical="center"/>
      <protection locked="0"/>
    </xf>
    <xf numFmtId="0" fontId="63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 applyProtection="1">
      <alignment horizontal="left" vertical="center" wrapText="1"/>
      <protection locked="0"/>
    </xf>
    <xf numFmtId="0" fontId="27" fillId="0" borderId="15" xfId="0" applyFont="1" applyBorder="1" applyAlignment="1" applyProtection="1">
      <alignment horizontal="center" vertical="center"/>
      <protection locked="0"/>
    </xf>
    <xf numFmtId="0" fontId="80" fillId="0" borderId="15" xfId="0" applyFont="1" applyBorder="1" applyAlignment="1" applyProtection="1">
      <alignment horizontal="center" vertical="center"/>
      <protection locked="0"/>
    </xf>
    <xf numFmtId="0" fontId="27" fillId="48" borderId="15" xfId="0" applyFont="1" applyFill="1" applyBorder="1" applyAlignment="1" applyProtection="1">
      <alignment horizontal="center" vertical="center"/>
      <protection locked="0"/>
    </xf>
    <xf numFmtId="0" fontId="81" fillId="48" borderId="15" xfId="0" applyFont="1" applyFill="1" applyBorder="1" applyAlignment="1">
      <alignment horizontal="center" vertical="center" wrapText="1"/>
    </xf>
    <xf numFmtId="0" fontId="82" fillId="48" borderId="15" xfId="0" applyFont="1" applyFill="1" applyBorder="1" applyAlignment="1">
      <alignment horizontal="center" vertical="center" wrapText="1"/>
    </xf>
    <xf numFmtId="0" fontId="80" fillId="48" borderId="15" xfId="0" applyFont="1" applyFill="1" applyBorder="1" applyAlignment="1" applyProtection="1">
      <alignment horizontal="center" vertical="center"/>
      <protection locked="0"/>
    </xf>
    <xf numFmtId="0" fontId="83" fillId="48" borderId="15" xfId="0" applyFont="1" applyFill="1" applyBorder="1" applyAlignment="1" applyProtection="1">
      <alignment horizontal="center" vertical="top"/>
      <protection locked="0"/>
    </xf>
    <xf numFmtId="0" fontId="27" fillId="0" borderId="15" xfId="0" applyFont="1" applyBorder="1" applyAlignment="1" applyProtection="1">
      <alignment horizontal="left" vertical="center"/>
      <protection locked="0"/>
    </xf>
    <xf numFmtId="49" fontId="27" fillId="0" borderId="15" xfId="0" applyNumberFormat="1" applyFont="1" applyBorder="1" applyAlignment="1" applyProtection="1">
      <alignment horizontal="left" vertical="center"/>
      <protection locked="0"/>
    </xf>
    <xf numFmtId="0" fontId="27" fillId="38" borderId="15" xfId="0" applyFont="1" applyFill="1" applyBorder="1" applyAlignment="1" applyProtection="1">
      <alignment horizontal="left" vertical="center"/>
      <protection locked="0"/>
    </xf>
    <xf numFmtId="0" fontId="5" fillId="48" borderId="15" xfId="0" applyFont="1" applyFill="1" applyBorder="1" applyAlignment="1">
      <alignment horizontal="center" vertical="center"/>
    </xf>
    <xf numFmtId="0" fontId="27" fillId="48" borderId="15" xfId="0" applyFont="1" applyFill="1" applyBorder="1" applyAlignment="1" applyProtection="1">
      <alignment horizontal="left" vertical="center"/>
      <protection locked="0"/>
    </xf>
    <xf numFmtId="49" fontId="27" fillId="48" borderId="15" xfId="0" applyNumberFormat="1" applyFont="1" applyFill="1" applyBorder="1" applyAlignment="1" applyProtection="1">
      <alignment horizontal="left" vertical="center"/>
      <protection locked="0"/>
    </xf>
    <xf numFmtId="0" fontId="80" fillId="48" borderId="18" xfId="0" applyFont="1" applyFill="1" applyBorder="1" applyAlignment="1" applyProtection="1">
      <alignment horizontal="center" vertical="center"/>
      <protection locked="0"/>
    </xf>
    <xf numFmtId="0" fontId="27" fillId="48" borderId="0" xfId="0" applyFont="1" applyFill="1" applyAlignment="1" applyProtection="1">
      <alignment horizontal="center" vertical="center"/>
      <protection locked="0"/>
    </xf>
    <xf numFmtId="0" fontId="27" fillId="48" borderId="0" xfId="0" applyFont="1" applyFill="1" applyAlignment="1" applyProtection="1">
      <alignment horizontal="left" vertical="center"/>
      <protection locked="0"/>
    </xf>
    <xf numFmtId="49" fontId="27" fillId="48" borderId="0" xfId="0" applyNumberFormat="1" applyFont="1" applyFill="1" applyAlignment="1" applyProtection="1">
      <alignment horizontal="left" vertical="center"/>
      <protection locked="0"/>
    </xf>
    <xf numFmtId="0" fontId="0" fillId="48" borderId="15" xfId="0" applyFill="1" applyBorder="1" applyAlignment="1" applyProtection="1">
      <alignment horizontal="center"/>
      <protection locked="0"/>
    </xf>
    <xf numFmtId="0" fontId="83" fillId="0" borderId="15" xfId="0" applyFont="1" applyBorder="1" applyAlignment="1" applyProtection="1">
      <alignment horizontal="center" vertical="top"/>
      <protection locked="0"/>
    </xf>
    <xf numFmtId="0" fontId="85" fillId="48" borderId="15" xfId="0" applyFont="1" applyFill="1" applyBorder="1" applyAlignment="1" applyProtection="1">
      <alignment horizontal="center" vertical="center"/>
      <protection locked="0"/>
    </xf>
    <xf numFmtId="0" fontId="86" fillId="44" borderId="15" xfId="0" applyFont="1" applyFill="1" applyBorder="1" applyAlignment="1" applyProtection="1">
      <alignment horizontal="center" vertical="center"/>
      <protection locked="0"/>
    </xf>
    <xf numFmtId="0" fontId="64" fillId="0" borderId="18" xfId="0" applyFont="1" applyBorder="1" applyAlignment="1" applyProtection="1">
      <alignment horizontal="center" vertical="center" wrapText="1"/>
      <protection locked="0"/>
    </xf>
    <xf numFmtId="0" fontId="64" fillId="48" borderId="18" xfId="0" applyFont="1" applyFill="1" applyBorder="1" applyAlignment="1" applyProtection="1">
      <alignment horizontal="center" vertical="center" wrapText="1"/>
      <protection locked="0"/>
    </xf>
    <xf numFmtId="0" fontId="58" fillId="48" borderId="18" xfId="0" applyFont="1" applyFill="1" applyBorder="1" applyAlignment="1" applyProtection="1">
      <alignment horizontal="center" vertical="center" wrapText="1"/>
      <protection locked="0"/>
    </xf>
    <xf numFmtId="0" fontId="64" fillId="48" borderId="18" xfId="0" applyFont="1" applyFill="1" applyBorder="1" applyAlignment="1" applyProtection="1">
      <alignment horizontal="center" vertical="center"/>
      <protection locked="0"/>
    </xf>
    <xf numFmtId="0" fontId="53" fillId="50" borderId="44" xfId="0" applyFont="1" applyFill="1" applyBorder="1" applyAlignment="1" applyProtection="1">
      <alignment horizontal="center" vertical="center" wrapText="1"/>
      <protection locked="0"/>
    </xf>
    <xf numFmtId="0" fontId="54" fillId="44" borderId="68" xfId="0" applyFont="1" applyFill="1" applyBorder="1" applyAlignment="1" applyProtection="1">
      <alignment horizontal="center" vertical="center" wrapText="1"/>
      <protection locked="0"/>
    </xf>
    <xf numFmtId="0" fontId="53" fillId="50" borderId="68" xfId="0" applyFont="1" applyFill="1" applyBorder="1" applyAlignment="1" applyProtection="1">
      <alignment horizontal="center" vertical="center" wrapText="1"/>
      <protection locked="0"/>
    </xf>
    <xf numFmtId="0" fontId="53" fillId="50" borderId="18" xfId="0" applyFont="1" applyFill="1" applyBorder="1" applyAlignment="1" applyProtection="1">
      <alignment horizontal="center" vertical="center" wrapText="1"/>
      <protection locked="0"/>
    </xf>
    <xf numFmtId="0" fontId="56" fillId="50" borderId="18" xfId="0" applyFont="1" applyFill="1" applyBorder="1" applyAlignment="1" applyProtection="1">
      <alignment horizontal="center" vertical="center"/>
      <protection locked="0"/>
    </xf>
    <xf numFmtId="0" fontId="53" fillId="50" borderId="20" xfId="0" applyFont="1" applyFill="1" applyBorder="1" applyAlignment="1" applyProtection="1">
      <alignment horizontal="center" vertical="center" wrapText="1"/>
      <protection locked="0"/>
    </xf>
    <xf numFmtId="0" fontId="56" fillId="50" borderId="20" xfId="0" applyFont="1" applyFill="1" applyBorder="1" applyAlignment="1" applyProtection="1">
      <alignment horizontal="center" vertical="center"/>
      <protection locked="0"/>
    </xf>
    <xf numFmtId="0" fontId="79" fillId="44" borderId="20" xfId="0" applyFont="1" applyFill="1" applyBorder="1" applyAlignment="1" applyProtection="1">
      <alignment horizontal="center" vertical="center"/>
      <protection locked="0"/>
    </xf>
    <xf numFmtId="0" fontId="68" fillId="35" borderId="33" xfId="0" applyFont="1" applyFill="1" applyBorder="1" applyAlignment="1" applyProtection="1">
      <alignment horizontal="center" vertical="center" textRotation="90" wrapText="1"/>
      <protection locked="0"/>
    </xf>
    <xf numFmtId="14" fontId="55" fillId="0" borderId="44" xfId="39" applyNumberFormat="1" applyFont="1" applyFill="1" applyBorder="1" applyAlignment="1" applyProtection="1">
      <alignment horizontal="center" vertical="center" wrapText="1"/>
      <protection locked="0"/>
    </xf>
    <xf numFmtId="14" fontId="55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52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60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74" fillId="48" borderId="44" xfId="0" applyNumberFormat="1" applyFont="1" applyFill="1" applyBorder="1" applyAlignment="1" applyProtection="1">
      <alignment vertical="top"/>
      <protection locked="0"/>
    </xf>
    <xf numFmtId="14" fontId="80" fillId="48" borderId="44" xfId="0" applyNumberFormat="1" applyFont="1" applyFill="1" applyBorder="1" applyAlignment="1" applyProtection="1">
      <alignment vertical="top"/>
      <protection locked="0"/>
    </xf>
    <xf numFmtId="0" fontId="80" fillId="48" borderId="44" xfId="0" applyFont="1" applyFill="1" applyBorder="1" applyAlignment="1" applyProtection="1">
      <alignment vertical="top"/>
      <protection locked="0"/>
    </xf>
    <xf numFmtId="14" fontId="74" fillId="0" borderId="44" xfId="0" applyNumberFormat="1" applyFont="1" applyBorder="1" applyAlignment="1" applyProtection="1">
      <alignment vertical="top"/>
      <protection locked="0"/>
    </xf>
    <xf numFmtId="14" fontId="80" fillId="0" borderId="44" xfId="0" applyNumberFormat="1" applyFont="1" applyBorder="1" applyAlignment="1" applyProtection="1">
      <alignment vertical="top"/>
      <protection locked="0"/>
    </xf>
    <xf numFmtId="0" fontId="6" fillId="0" borderId="44" xfId="0" applyFont="1" applyBorder="1" applyAlignment="1" applyProtection="1">
      <alignment vertical="top"/>
      <protection locked="0"/>
    </xf>
    <xf numFmtId="0" fontId="17" fillId="0" borderId="69" xfId="0" applyFont="1" applyBorder="1" applyAlignment="1" applyProtection="1">
      <alignment horizontal="center" vertical="center" wrapText="1"/>
      <protection locked="0"/>
    </xf>
    <xf numFmtId="0" fontId="17" fillId="0" borderId="70" xfId="0" applyFont="1" applyBorder="1" applyAlignment="1" applyProtection="1">
      <alignment horizontal="center" vertical="center" wrapText="1"/>
      <protection locked="0"/>
    </xf>
    <xf numFmtId="0" fontId="17" fillId="0" borderId="71" xfId="0" applyFont="1" applyBorder="1" applyAlignment="1" applyProtection="1">
      <alignment horizontal="center" vertical="center"/>
      <protection locked="0"/>
    </xf>
    <xf numFmtId="0" fontId="17" fillId="0" borderId="72" xfId="0" applyFont="1" applyBorder="1" applyAlignment="1" applyProtection="1">
      <alignment horizontal="center" vertical="center"/>
      <protection locked="0"/>
    </xf>
    <xf numFmtId="0" fontId="47" fillId="36" borderId="73" xfId="0" applyFont="1" applyFill="1" applyBorder="1" applyAlignment="1" applyProtection="1">
      <alignment horizontal="center" vertical="center" wrapText="1"/>
      <protection locked="0"/>
    </xf>
    <xf numFmtId="0" fontId="47" fillId="36" borderId="74" xfId="0" applyFont="1" applyFill="1" applyBorder="1" applyAlignment="1" applyProtection="1">
      <alignment horizontal="center" vertical="center" wrapText="1"/>
      <protection locked="0"/>
    </xf>
    <xf numFmtId="0" fontId="47" fillId="36" borderId="75" xfId="0" applyFont="1" applyFill="1" applyBorder="1" applyAlignment="1" applyProtection="1">
      <alignment horizontal="center" vertical="center" wrapText="1"/>
      <protection locked="0"/>
    </xf>
    <xf numFmtId="0" fontId="47" fillId="36" borderId="76" xfId="0" applyFont="1" applyFill="1" applyBorder="1" applyAlignment="1" applyProtection="1">
      <alignment horizontal="center" vertical="center" wrapText="1"/>
      <protection locked="0"/>
    </xf>
    <xf numFmtId="0" fontId="47" fillId="36" borderId="77" xfId="0" applyFont="1" applyFill="1" applyBorder="1" applyAlignment="1" applyProtection="1">
      <alignment horizontal="center" vertical="center" wrapText="1"/>
      <protection locked="0"/>
    </xf>
    <xf numFmtId="0" fontId="47" fillId="36" borderId="78" xfId="0" applyFont="1" applyFill="1" applyBorder="1" applyAlignment="1" applyProtection="1">
      <alignment horizontal="center" vertical="center" wrapText="1"/>
      <protection locked="0"/>
    </xf>
    <xf numFmtId="0" fontId="54" fillId="43" borderId="20" xfId="39" applyNumberFormat="1" applyFont="1" applyFill="1" applyBorder="1" applyAlignment="1" applyProtection="1">
      <alignment horizontal="center" vertical="center" wrapText="1"/>
    </xf>
    <xf numFmtId="0" fontId="62" fillId="50" borderId="79" xfId="39" applyNumberFormat="1" applyFont="1" applyFill="1" applyBorder="1" applyAlignment="1" applyProtection="1">
      <alignment horizontal="center" vertical="center" wrapText="1"/>
    </xf>
    <xf numFmtId="0" fontId="54" fillId="50" borderId="79" xfId="39" applyNumberFormat="1" applyFont="1" applyFill="1" applyBorder="1" applyAlignment="1" applyProtection="1">
      <alignment horizontal="center" vertical="center" wrapText="1"/>
    </xf>
    <xf numFmtId="0" fontId="66" fillId="50" borderId="79" xfId="39" applyNumberFormat="1" applyFont="1" applyFill="1" applyBorder="1" applyAlignment="1" applyProtection="1">
      <alignment horizontal="center" vertical="center" wrapText="1"/>
    </xf>
    <xf numFmtId="0" fontId="60" fillId="0" borderId="15" xfId="39" applyNumberFormat="1" applyFont="1" applyFill="1" applyBorder="1" applyAlignment="1" applyProtection="1">
      <alignment horizontal="center" vertical="center" wrapText="1"/>
      <protection locked="0"/>
    </xf>
    <xf numFmtId="14" fontId="60" fillId="0" borderId="44" xfId="39" applyNumberFormat="1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Border="1" applyAlignment="1" applyProtection="1">
      <alignment horizontal="center" vertical="center" wrapText="1"/>
      <protection locked="0"/>
    </xf>
    <xf numFmtId="0" fontId="6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Border="1" applyAlignment="1" applyProtection="1">
      <alignment horizontal="left" vertical="center" wrapText="1"/>
      <protection locked="0"/>
    </xf>
    <xf numFmtId="0" fontId="64" fillId="0" borderId="15" xfId="0" applyFont="1" applyBorder="1" applyAlignment="1" applyProtection="1">
      <alignment horizontal="center" vertical="center"/>
      <protection locked="0"/>
    </xf>
    <xf numFmtId="0" fontId="23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0" borderId="15" xfId="0" applyFont="1" applyBorder="1" applyAlignment="1" applyProtection="1">
      <alignment horizontal="center" vertical="center" wrapText="1"/>
      <protection locked="0"/>
    </xf>
    <xf numFmtId="14" fontId="25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0" borderId="15" xfId="0" applyFont="1" applyBorder="1" applyAlignment="1" applyProtection="1">
      <alignment horizontal="left" vertical="center" wrapText="1"/>
      <protection locked="0"/>
    </xf>
    <xf numFmtId="0" fontId="64" fillId="0" borderId="15" xfId="45" applyNumberFormat="1" applyFont="1" applyFill="1" applyBorder="1" applyAlignment="1" applyProtection="1">
      <alignment horizontal="left" vertical="center" wrapText="1"/>
      <protection locked="0"/>
    </xf>
    <xf numFmtId="0" fontId="67" fillId="0" borderId="15" xfId="0" applyFont="1" applyBorder="1" applyAlignment="1" applyProtection="1">
      <alignment horizontal="center" vertical="center"/>
      <protection locked="0"/>
    </xf>
    <xf numFmtId="0" fontId="63" fillId="38" borderId="15" xfId="45" applyNumberFormat="1" applyFont="1" applyFill="1" applyBorder="1" applyAlignment="1" applyProtection="1">
      <alignment horizontal="center" vertical="center" wrapText="1"/>
      <protection locked="0"/>
    </xf>
    <xf numFmtId="0" fontId="87" fillId="50" borderId="15" xfId="0" applyFont="1" applyFill="1" applyBorder="1" applyAlignment="1" applyProtection="1">
      <alignment horizontal="center" vertical="center"/>
      <protection locked="0"/>
    </xf>
    <xf numFmtId="0" fontId="55" fillId="56" borderId="15" xfId="0" applyFont="1" applyFill="1" applyBorder="1" applyAlignment="1">
      <alignment horizontal="center" vertical="center" wrapText="1"/>
    </xf>
    <xf numFmtId="14" fontId="25" fillId="56" borderId="15" xfId="45" applyNumberFormat="1" applyFont="1" applyFill="1" applyBorder="1" applyAlignment="1" applyProtection="1">
      <alignment horizontal="center" vertical="center" wrapText="1"/>
      <protection locked="0"/>
    </xf>
    <xf numFmtId="0" fontId="7" fillId="56" borderId="15" xfId="45" applyFill="1" applyBorder="1" applyAlignment="1" applyProtection="1">
      <alignment horizontal="center" vertical="center"/>
    </xf>
    <xf numFmtId="0" fontId="26" fillId="56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56" borderId="15" xfId="0" applyFont="1" applyFill="1" applyBorder="1" applyAlignment="1">
      <alignment horizontal="center" vertical="center" wrapText="1"/>
    </xf>
    <xf numFmtId="0" fontId="71" fillId="56" borderId="15" xfId="0" applyFont="1" applyFill="1" applyBorder="1" applyAlignment="1">
      <alignment horizontal="center" vertical="center" wrapText="1"/>
    </xf>
    <xf numFmtId="0" fontId="64" fillId="56" borderId="15" xfId="0" applyFont="1" applyFill="1" applyBorder="1" applyAlignment="1" applyProtection="1">
      <alignment horizontal="center" vertical="center" wrapText="1"/>
      <protection locked="0"/>
    </xf>
    <xf numFmtId="0" fontId="64" fillId="56" borderId="15" xfId="0" applyFont="1" applyFill="1" applyBorder="1" applyAlignment="1" applyProtection="1">
      <alignment horizontal="center" vertical="center"/>
      <protection locked="0"/>
    </xf>
    <xf numFmtId="0" fontId="54" fillId="56" borderId="20" xfId="39" applyNumberFormat="1" applyFont="1" applyFill="1" applyBorder="1" applyAlignment="1" applyProtection="1">
      <alignment horizontal="center" vertical="center" wrapText="1"/>
    </xf>
    <xf numFmtId="0" fontId="19" fillId="56" borderId="15" xfId="39" applyNumberFormat="1" applyFont="1" applyFill="1" applyBorder="1" applyAlignment="1" applyProtection="1">
      <alignment horizontal="center" vertical="center" wrapText="1"/>
    </xf>
    <xf numFmtId="0" fontId="54" fillId="56" borderId="79" xfId="39" applyNumberFormat="1" applyFont="1" applyFill="1" applyBorder="1" applyAlignment="1" applyProtection="1">
      <alignment horizontal="center" vertical="center" wrapText="1"/>
    </xf>
    <xf numFmtId="14" fontId="80" fillId="56" borderId="44" xfId="0" applyNumberFormat="1" applyFont="1" applyFill="1" applyBorder="1" applyAlignment="1" applyProtection="1">
      <alignment vertical="top"/>
      <protection locked="0"/>
    </xf>
    <xf numFmtId="0" fontId="75" fillId="56" borderId="15" xfId="0" applyFont="1" applyFill="1" applyBorder="1" applyAlignment="1" applyProtection="1">
      <alignment horizontal="center" vertical="top"/>
      <protection locked="0"/>
    </xf>
    <xf numFmtId="0" fontId="60" fillId="56" borderId="15" xfId="0" applyFont="1" applyFill="1" applyBorder="1" applyAlignment="1" applyProtection="1">
      <alignment horizontal="center" vertical="center" wrapText="1"/>
      <protection locked="0"/>
    </xf>
    <xf numFmtId="0" fontId="65" fillId="56" borderId="15" xfId="0" applyFont="1" applyFill="1" applyBorder="1" applyAlignment="1" applyProtection="1">
      <alignment horizontal="center" vertical="center"/>
      <protection locked="0"/>
    </xf>
    <xf numFmtId="0" fontId="61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56" borderId="15" xfId="0" applyFont="1" applyFill="1" applyBorder="1" applyAlignment="1" applyProtection="1">
      <alignment horizontal="center" vertical="center" wrapText="1"/>
      <protection locked="0"/>
    </xf>
    <xf numFmtId="0" fontId="60" fillId="56" borderId="15" xfId="0" applyFont="1" applyFill="1" applyBorder="1" applyAlignment="1" applyProtection="1">
      <alignment horizontal="left" vertical="center" wrapText="1"/>
      <protection locked="0"/>
    </xf>
    <xf numFmtId="0" fontId="22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56" borderId="15" xfId="0" applyFont="1" applyFill="1" applyBorder="1" applyAlignment="1" applyProtection="1">
      <alignment horizontal="center" vertical="center" wrapText="1"/>
      <protection locked="0"/>
    </xf>
    <xf numFmtId="14" fontId="0" fillId="56" borderId="15" xfId="0" applyNumberFormat="1" applyFill="1" applyBorder="1" applyAlignment="1" applyProtection="1">
      <alignment horizontal="center"/>
      <protection locked="0"/>
    </xf>
    <xf numFmtId="0" fontId="28" fillId="56" borderId="15" xfId="0" applyFont="1" applyFill="1" applyBorder="1" applyAlignment="1" applyProtection="1">
      <alignment horizontal="center" vertical="center"/>
      <protection locked="0"/>
    </xf>
    <xf numFmtId="0" fontId="76" fillId="56" borderId="15" xfId="0" applyFont="1" applyFill="1" applyBorder="1" applyAlignment="1">
      <alignment horizontal="center" vertical="center" wrapText="1"/>
    </xf>
    <xf numFmtId="0" fontId="77" fillId="56" borderId="15" xfId="0" applyFont="1" applyFill="1" applyBorder="1" applyAlignment="1">
      <alignment horizontal="center" vertical="center" wrapText="1"/>
    </xf>
    <xf numFmtId="0" fontId="73" fillId="56" borderId="15" xfId="0" applyFont="1" applyFill="1" applyBorder="1" applyAlignment="1" applyProtection="1">
      <alignment horizontal="center" vertical="center"/>
      <protection locked="0"/>
    </xf>
    <xf numFmtId="0" fontId="78" fillId="56" borderId="15" xfId="0" applyFont="1" applyFill="1" applyBorder="1" applyAlignment="1" applyProtection="1">
      <alignment horizontal="center" vertical="center"/>
      <protection locked="0"/>
    </xf>
    <xf numFmtId="0" fontId="5" fillId="56" borderId="15" xfId="0" applyFont="1" applyFill="1" applyBorder="1" applyAlignment="1" applyProtection="1">
      <alignment horizontal="center" vertical="center"/>
      <protection locked="0"/>
    </xf>
    <xf numFmtId="0" fontId="3" fillId="56" borderId="15" xfId="0" applyFont="1" applyFill="1" applyBorder="1" applyAlignment="1" applyProtection="1">
      <alignment horizontal="center" vertical="center"/>
      <protection locked="0"/>
    </xf>
    <xf numFmtId="0" fontId="9" fillId="56" borderId="15" xfId="0" applyFont="1" applyFill="1" applyBorder="1" applyAlignment="1" applyProtection="1">
      <alignment horizontal="center" vertical="center"/>
      <protection locked="0"/>
    </xf>
    <xf numFmtId="0" fontId="8" fillId="56" borderId="15" xfId="0" applyFont="1" applyFill="1" applyBorder="1" applyAlignment="1" applyProtection="1">
      <alignment horizontal="center" vertical="center"/>
      <protection locked="0"/>
    </xf>
    <xf numFmtId="0" fontId="46" fillId="56" borderId="15" xfId="0" applyFont="1" applyFill="1" applyBorder="1" applyProtection="1">
      <protection locked="0"/>
    </xf>
    <xf numFmtId="0" fontId="88" fillId="0" borderId="15" xfId="0" applyFont="1" applyBorder="1" applyAlignment="1" applyProtection="1">
      <alignment horizontal="center" vertical="center"/>
      <protection locked="0"/>
    </xf>
    <xf numFmtId="0" fontId="88" fillId="0" borderId="15" xfId="0" applyFont="1" applyBorder="1" applyAlignment="1" applyProtection="1">
      <alignment horizontal="left" vertical="center"/>
      <protection locked="0"/>
    </xf>
    <xf numFmtId="49" fontId="88" fillId="0" borderId="15" xfId="0" applyNumberFormat="1" applyFont="1" applyBorder="1" applyAlignment="1" applyProtection="1">
      <alignment horizontal="left" vertical="center"/>
      <protection locked="0"/>
    </xf>
    <xf numFmtId="0" fontId="89" fillId="50" borderId="68" xfId="0" applyFont="1" applyFill="1" applyBorder="1" applyAlignment="1" applyProtection="1">
      <alignment horizontal="center" vertical="center" wrapText="1"/>
      <protection locked="0"/>
    </xf>
    <xf numFmtId="0" fontId="89" fillId="50" borderId="15" xfId="0" applyFont="1" applyFill="1" applyBorder="1" applyAlignment="1" applyProtection="1">
      <alignment horizontal="center" vertical="center"/>
      <protection locked="0"/>
    </xf>
    <xf numFmtId="0" fontId="89" fillId="50" borderId="18" xfId="0" applyFont="1" applyFill="1" applyBorder="1" applyAlignment="1" applyProtection="1">
      <alignment horizontal="center" vertical="center"/>
      <protection locked="0"/>
    </xf>
    <xf numFmtId="0" fontId="89" fillId="50" borderId="20" xfId="0" applyFont="1" applyFill="1" applyBorder="1" applyAlignment="1" applyProtection="1">
      <alignment horizontal="center" vertical="center"/>
      <protection locked="0"/>
    </xf>
    <xf numFmtId="0" fontId="90" fillId="43" borderId="20" xfId="39" applyNumberFormat="1" applyFont="1" applyFill="1" applyBorder="1" applyAlignment="1" applyProtection="1">
      <alignment horizontal="center" vertical="center" wrapText="1"/>
    </xf>
    <xf numFmtId="0" fontId="15" fillId="0" borderId="15" xfId="39" applyNumberFormat="1" applyFont="1" applyFill="1" applyBorder="1" applyAlignment="1" applyProtection="1">
      <alignment horizontal="center" vertical="center" wrapText="1"/>
    </xf>
    <xf numFmtId="0" fontId="90" fillId="50" borderId="79" xfId="39" applyNumberFormat="1" applyFont="1" applyFill="1" applyBorder="1" applyAlignment="1" applyProtection="1">
      <alignment horizontal="center" vertical="center" wrapText="1"/>
    </xf>
    <xf numFmtId="0" fontId="88" fillId="38" borderId="15" xfId="0" applyFont="1" applyFill="1" applyBorder="1" applyAlignment="1" applyProtection="1">
      <alignment horizontal="left" vertical="center"/>
      <protection locked="0"/>
    </xf>
    <xf numFmtId="0" fontId="90" fillId="44" borderId="15" xfId="0" applyFont="1" applyFill="1" applyBorder="1" applyAlignment="1" applyProtection="1">
      <alignment horizontal="center" vertical="center"/>
      <protection locked="0"/>
    </xf>
    <xf numFmtId="0" fontId="7" fillId="48" borderId="15" xfId="45" applyFill="1" applyBorder="1" applyAlignment="1" applyProtection="1">
      <alignment horizontal="center" vertical="center"/>
    </xf>
    <xf numFmtId="0" fontId="88" fillId="48" borderId="15" xfId="0" applyFont="1" applyFill="1" applyBorder="1" applyAlignment="1" applyProtection="1">
      <alignment horizontal="center" vertical="center"/>
      <protection locked="0"/>
    </xf>
    <xf numFmtId="0" fontId="88" fillId="48" borderId="15" xfId="0" applyFont="1" applyFill="1" applyBorder="1" applyAlignment="1" applyProtection="1">
      <alignment horizontal="left" vertical="center"/>
      <protection locked="0"/>
    </xf>
    <xf numFmtId="49" fontId="88" fillId="48" borderId="15" xfId="0" applyNumberFormat="1" applyFont="1" applyFill="1" applyBorder="1" applyAlignment="1" applyProtection="1">
      <alignment horizontal="left" vertical="center"/>
      <protection locked="0"/>
    </xf>
    <xf numFmtId="0" fontId="90" fillId="48" borderId="20" xfId="39" applyNumberFormat="1" applyFont="1" applyFill="1" applyBorder="1" applyAlignment="1" applyProtection="1">
      <alignment horizontal="center" vertical="center" wrapText="1"/>
    </xf>
    <xf numFmtId="0" fontId="15" fillId="48" borderId="15" xfId="39" applyNumberFormat="1" applyFont="1" applyFill="1" applyBorder="1" applyAlignment="1" applyProtection="1">
      <alignment horizontal="center" vertical="center" wrapText="1"/>
    </xf>
    <xf numFmtId="0" fontId="90" fillId="48" borderId="79" xfId="39" applyNumberFormat="1" applyFont="1" applyFill="1" applyBorder="1" applyAlignment="1" applyProtection="1">
      <alignment horizontal="center" vertical="center" wrapText="1"/>
    </xf>
    <xf numFmtId="0" fontId="0" fillId="48" borderId="15" xfId="0" applyFill="1" applyBorder="1" applyAlignment="1">
      <alignment horizontal="center" vertical="center"/>
    </xf>
    <xf numFmtId="14" fontId="10" fillId="48" borderId="44" xfId="0" applyNumberFormat="1" applyFont="1" applyFill="1" applyBorder="1" applyAlignment="1" applyProtection="1">
      <alignment vertical="top"/>
      <protection locked="0"/>
    </xf>
    <xf numFmtId="0" fontId="15" fillId="48" borderId="15" xfId="0" applyFont="1" applyFill="1" applyBorder="1" applyAlignment="1" applyProtection="1">
      <alignment horizontal="center" vertical="top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91" fillId="0" borderId="15" xfId="0" applyFont="1" applyBorder="1" applyAlignment="1" applyProtection="1">
      <alignment horizontal="center" vertical="center" wrapText="1"/>
      <protection locked="0"/>
    </xf>
    <xf numFmtId="14" fontId="88" fillId="0" borderId="44" xfId="0" applyNumberFormat="1" applyFont="1" applyBorder="1" applyAlignment="1" applyProtection="1">
      <alignment horizontal="center" vertical="center"/>
      <protection locked="0"/>
    </xf>
    <xf numFmtId="49" fontId="88" fillId="56" borderId="15" xfId="0" applyNumberFormat="1" applyFont="1" applyFill="1" applyBorder="1" applyAlignment="1" applyProtection="1">
      <alignment horizontal="left" vertical="center"/>
      <protection locked="0"/>
    </xf>
    <xf numFmtId="0" fontId="88" fillId="56" borderId="15" xfId="0" applyFont="1" applyFill="1" applyBorder="1" applyAlignment="1" applyProtection="1">
      <alignment horizontal="center" vertical="center"/>
      <protection locked="0"/>
    </xf>
    <xf numFmtId="0" fontId="88" fillId="56" borderId="15" xfId="0" applyFont="1" applyFill="1" applyBorder="1" applyAlignment="1" applyProtection="1">
      <alignment horizontal="left" vertical="center"/>
      <protection locked="0"/>
    </xf>
    <xf numFmtId="0" fontId="90" fillId="56" borderId="79" xfId="39" applyNumberFormat="1" applyFont="1" applyFill="1" applyBorder="1" applyAlignment="1" applyProtection="1">
      <alignment horizontal="center" vertical="center" wrapText="1"/>
    </xf>
    <xf numFmtId="14" fontId="88" fillId="56" borderId="44" xfId="0" applyNumberFormat="1" applyFont="1" applyFill="1" applyBorder="1" applyAlignment="1" applyProtection="1">
      <alignment horizontal="center" vertical="center"/>
      <protection locked="0"/>
    </xf>
    <xf numFmtId="0" fontId="15" fillId="56" borderId="15" xfId="0" applyFont="1" applyFill="1" applyBorder="1" applyAlignment="1" applyProtection="1">
      <alignment horizontal="center" vertical="center"/>
      <protection locked="0"/>
    </xf>
    <xf numFmtId="0" fontId="91" fillId="56" borderId="15" xfId="0" applyFont="1" applyFill="1" applyBorder="1" applyAlignment="1" applyProtection="1">
      <alignment horizontal="center" vertical="center" wrapText="1"/>
      <protection locked="0"/>
    </xf>
    <xf numFmtId="0" fontId="68" fillId="36" borderId="45" xfId="0" applyFont="1" applyFill="1" applyBorder="1" applyAlignment="1" applyProtection="1">
      <alignment horizontal="center" vertical="center" wrapText="1"/>
      <protection locked="0"/>
    </xf>
    <xf numFmtId="0" fontId="68" fillId="36" borderId="46" xfId="0" applyFont="1" applyFill="1" applyBorder="1" applyAlignment="1" applyProtection="1">
      <alignment horizontal="center" vertical="center" wrapText="1"/>
      <protection locked="0"/>
    </xf>
    <xf numFmtId="0" fontId="68" fillId="36" borderId="47" xfId="0" applyFont="1" applyFill="1" applyBorder="1" applyAlignment="1" applyProtection="1">
      <alignment horizontal="center" vertical="center" wrapText="1"/>
      <protection locked="0"/>
    </xf>
    <xf numFmtId="0" fontId="68" fillId="36" borderId="48" xfId="0" applyFont="1" applyFill="1" applyBorder="1" applyAlignment="1" applyProtection="1">
      <alignment horizontal="center" vertical="center" wrapText="1"/>
      <protection locked="0"/>
    </xf>
    <xf numFmtId="0" fontId="68" fillId="36" borderId="16" xfId="0" applyFont="1" applyFill="1" applyBorder="1" applyAlignment="1" applyProtection="1">
      <alignment horizontal="center" vertical="center" wrapText="1"/>
      <protection locked="0"/>
    </xf>
    <xf numFmtId="0" fontId="68" fillId="36" borderId="49" xfId="0" applyFont="1" applyFill="1" applyBorder="1" applyAlignment="1" applyProtection="1">
      <alignment horizontal="center" vertical="center" wrapText="1"/>
      <protection locked="0"/>
    </xf>
    <xf numFmtId="0" fontId="84" fillId="53" borderId="50" xfId="0" applyFont="1" applyFill="1" applyBorder="1" applyAlignment="1" applyProtection="1">
      <alignment horizontal="center" vertical="center" shrinkToFit="1"/>
      <protection locked="0"/>
    </xf>
    <xf numFmtId="0" fontId="84" fillId="53" borderId="51" xfId="0" applyFont="1" applyFill="1" applyBorder="1" applyAlignment="1" applyProtection="1">
      <alignment horizontal="center" vertical="center" shrinkToFit="1"/>
      <protection locked="0"/>
    </xf>
    <xf numFmtId="0" fontId="10" fillId="54" borderId="46" xfId="0" applyFont="1" applyFill="1" applyBorder="1" applyAlignment="1" applyProtection="1">
      <alignment horizontal="center" vertical="center" wrapText="1"/>
      <protection locked="0"/>
    </xf>
    <xf numFmtId="0" fontId="10" fillId="54" borderId="53" xfId="0" applyFont="1" applyFill="1" applyBorder="1" applyAlignment="1" applyProtection="1">
      <alignment horizontal="center" vertical="center" wrapText="1"/>
      <protection locked="0"/>
    </xf>
    <xf numFmtId="0" fontId="10" fillId="54" borderId="55" xfId="0" applyFont="1" applyFill="1" applyBorder="1" applyAlignment="1" applyProtection="1">
      <alignment horizontal="center" vertical="center" wrapText="1"/>
      <protection locked="0"/>
    </xf>
    <xf numFmtId="0" fontId="10" fillId="54" borderId="56" xfId="0" applyFont="1" applyFill="1" applyBorder="1" applyAlignment="1" applyProtection="1">
      <alignment horizontal="center" vertical="center" wrapText="1"/>
      <protection locked="0"/>
    </xf>
    <xf numFmtId="0" fontId="12" fillId="55" borderId="52" xfId="0" applyFont="1" applyFill="1" applyBorder="1" applyAlignment="1" applyProtection="1">
      <alignment horizontal="center" vertical="center" wrapText="1"/>
      <protection locked="0"/>
    </xf>
    <xf numFmtId="0" fontId="12" fillId="55" borderId="46" xfId="0" applyFont="1" applyFill="1" applyBorder="1" applyAlignment="1" applyProtection="1">
      <alignment horizontal="center" vertical="center" wrapText="1"/>
      <protection locked="0"/>
    </xf>
    <xf numFmtId="0" fontId="12" fillId="55" borderId="53" xfId="0" applyFont="1" applyFill="1" applyBorder="1" applyAlignment="1" applyProtection="1">
      <alignment horizontal="center" vertical="center" wrapText="1"/>
      <protection locked="0"/>
    </xf>
    <xf numFmtId="0" fontId="12" fillId="55" borderId="54" xfId="0" applyFont="1" applyFill="1" applyBorder="1" applyAlignment="1" applyProtection="1">
      <alignment horizontal="center" vertical="center" wrapText="1"/>
      <protection locked="0"/>
    </xf>
    <xf numFmtId="0" fontId="12" fillId="55" borderId="55" xfId="0" applyFont="1" applyFill="1" applyBorder="1" applyAlignment="1" applyProtection="1">
      <alignment horizontal="center" vertical="center" wrapText="1"/>
      <protection locked="0"/>
    </xf>
    <xf numFmtId="0" fontId="12" fillId="55" borderId="56" xfId="0" applyFont="1" applyFill="1" applyBorder="1" applyAlignment="1" applyProtection="1">
      <alignment horizontal="center" vertical="center" wrapText="1"/>
      <protection locked="0"/>
    </xf>
    <xf numFmtId="0" fontId="84" fillId="53" borderId="52" xfId="0" applyFont="1" applyFill="1" applyBorder="1" applyAlignment="1" applyProtection="1">
      <alignment horizontal="center" vertical="center" shrinkToFit="1"/>
      <protection locked="0"/>
    </xf>
    <xf numFmtId="0" fontId="84" fillId="53" borderId="53" xfId="0" applyFont="1" applyFill="1" applyBorder="1" applyAlignment="1" applyProtection="1">
      <alignment horizontal="center" vertical="center" shrinkToFit="1"/>
      <protection locked="0"/>
    </xf>
    <xf numFmtId="0" fontId="84" fillId="53" borderId="54" xfId="0" applyFont="1" applyFill="1" applyBorder="1" applyAlignment="1" applyProtection="1">
      <alignment horizontal="center" vertical="center" shrinkToFit="1"/>
      <protection locked="0"/>
    </xf>
    <xf numFmtId="0" fontId="84" fillId="53" borderId="56" xfId="0" applyFont="1" applyFill="1" applyBorder="1" applyAlignment="1" applyProtection="1">
      <alignment horizontal="center" vertical="center" shrinkToFit="1"/>
      <protection locked="0"/>
    </xf>
    <xf numFmtId="0" fontId="15" fillId="0" borderId="52" xfId="0" applyFont="1" applyBorder="1" applyAlignment="1">
      <alignment horizontal="center" vertical="center" wrapText="1"/>
    </xf>
    <xf numFmtId="0" fontId="15" fillId="0" borderId="46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55" xfId="0" applyFont="1" applyBorder="1" applyAlignment="1">
      <alignment horizontal="center" vertical="center" wrapText="1"/>
    </xf>
    <xf numFmtId="0" fontId="68" fillId="36" borderId="57" xfId="0" applyFont="1" applyFill="1" applyBorder="1" applyAlignment="1" applyProtection="1">
      <alignment horizontal="center" vertical="center" wrapText="1"/>
      <protection locked="0"/>
    </xf>
    <xf numFmtId="0" fontId="68" fillId="36" borderId="58" xfId="0" applyFont="1" applyFill="1" applyBorder="1" applyAlignment="1" applyProtection="1">
      <alignment horizontal="center" vertical="center" wrapText="1"/>
      <protection locked="0"/>
    </xf>
  </cellXfs>
  <cellStyles count="62">
    <cellStyle name="20% - akcent 1" xfId="1" builtinId="30" customBuiltin="1"/>
    <cellStyle name="20% - akcent 2" xfId="2" builtinId="34" customBuiltin="1"/>
    <cellStyle name="20% - akcent 3" xfId="3" builtinId="38" customBuiltin="1"/>
    <cellStyle name="20% - akcent 4" xfId="4" builtinId="42" customBuiltin="1"/>
    <cellStyle name="20% - akcent 5" xfId="5" builtinId="46" customBuiltin="1"/>
    <cellStyle name="20% - akcent 6" xfId="6" builtinId="50" customBuiltin="1"/>
    <cellStyle name="40% - akcent 1" xfId="7" builtinId="31" customBuiltin="1"/>
    <cellStyle name="40% - akcent 2" xfId="8" builtinId="35" customBuiltin="1"/>
    <cellStyle name="40% - akcent 3" xfId="9" builtinId="39" customBuiltin="1"/>
    <cellStyle name="40% - akcent 4" xfId="10" builtinId="43" customBuiltin="1"/>
    <cellStyle name="40% - akcent 5" xfId="11" builtinId="47" customBuiltin="1"/>
    <cellStyle name="40% - akcent 6" xfId="12" builtinId="51" customBuiltin="1"/>
    <cellStyle name="60% - akcent 1" xfId="13" builtinId="32" customBuiltin="1"/>
    <cellStyle name="60% - akcent 2" xfId="14" builtinId="36" customBuiltin="1"/>
    <cellStyle name="60% - akcent 3" xfId="15" builtinId="40" customBuiltin="1"/>
    <cellStyle name="60% - akcent 4" xfId="16" builtinId="44" customBuiltin="1"/>
    <cellStyle name="60% - akcent 5" xfId="17" builtinId="48" customBuiltin="1"/>
    <cellStyle name="60% - akcent 6" xfId="18" builtinId="52" customBuiltin="1"/>
    <cellStyle name="Akcent 1" xfId="19" builtinId="29" customBuiltin="1"/>
    <cellStyle name="Akcent 2" xfId="20" builtinId="33" customBuiltin="1"/>
    <cellStyle name="Akcent 3" xfId="21" builtinId="37" customBuiltin="1"/>
    <cellStyle name="Akcent 4" xfId="22" builtinId="41" customBuiltin="1"/>
    <cellStyle name="Akcent 5" xfId="23" builtinId="45" customBuiltin="1"/>
    <cellStyle name="Akcent 6" xfId="24" builtinId="49" customBuiltin="1"/>
    <cellStyle name="ColStyle1" xfId="25"/>
    <cellStyle name="ColStyle1 2" xfId="26"/>
    <cellStyle name="ColStyle2" xfId="27"/>
    <cellStyle name="ColStyle2 2" xfId="28"/>
    <cellStyle name="ColStyle3" xfId="29"/>
    <cellStyle name="ColStyle3 2" xfId="30"/>
    <cellStyle name="ColStyle4" xfId="31"/>
    <cellStyle name="ColStyle4 2" xfId="32"/>
    <cellStyle name="ColStyle5" xfId="33"/>
    <cellStyle name="ColStyle5 2" xfId="34"/>
    <cellStyle name="ColStyle6" xfId="35"/>
    <cellStyle name="ColStyle6 2" xfId="36"/>
    <cellStyle name="Dane wejściowe" xfId="37" builtinId="20" customBuiltin="1"/>
    <cellStyle name="Dane wyjściowe" xfId="38" builtinId="21" customBuiltin="1"/>
    <cellStyle name="Dobre" xfId="39" builtinId="26" customBuiltin="1"/>
    <cellStyle name="Dziesiętny 2" xfId="40"/>
    <cellStyle name="Dziesiętny 3" xfId="41"/>
    <cellStyle name="Dziesiętny 3 2" xfId="42"/>
    <cellStyle name="Excel Built-in Normal" xfId="43"/>
    <cellStyle name="Excel_BuiltIn_Dane wejściowe 1" xfId="44"/>
    <cellStyle name="Hiperłącze" xfId="45" builtinId="8"/>
    <cellStyle name="Komórka połączona" xfId="46" builtinId="24" customBuiltin="1"/>
    <cellStyle name="Komórka zaznaczona" xfId="47" builtinId="23" customBuiltin="1"/>
    <cellStyle name="Nagłówek 1" xfId="48" builtinId="16" customBuiltin="1"/>
    <cellStyle name="Nagłówek 2" xfId="49" builtinId="17" customBuiltin="1"/>
    <cellStyle name="Nagłówek 3" xfId="50" builtinId="18" customBuiltin="1"/>
    <cellStyle name="Nagłówek 4" xfId="51" builtinId="19" customBuiltin="1"/>
    <cellStyle name="Neutralne" xfId="52" builtinId="28" customBuiltin="1"/>
    <cellStyle name="Normalny" xfId="0" builtinId="0"/>
    <cellStyle name="Normalny 2" xfId="53"/>
    <cellStyle name="Normalny 2 2" xfId="54"/>
    <cellStyle name="Obliczenia" xfId="55" builtinId="22" customBuiltin="1"/>
    <cellStyle name="Suma" xfId="56" builtinId="25" customBuiltin="1"/>
    <cellStyle name="Tekst objaśnienia" xfId="57" builtinId="53" customBuiltin="1"/>
    <cellStyle name="Tekst ostrzeżenia" xfId="58" builtinId="11" customBuiltin="1"/>
    <cellStyle name="Tytuł" xfId="59" builtinId="15" customBuiltin="1"/>
    <cellStyle name="Uwaga 2" xfId="60"/>
    <cellStyle name="Złe" xfId="61" builtinId="27" customBuiltin="1"/>
  </cellStyles>
  <dxfs count="16"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2454</xdr:rowOff>
    </xdr:to>
    <xdr:sp macro="[0]!CzyJestX" textlink="">
      <xdr:nvSpPr>
        <xdr:cNvPr id="3" name="Prostoką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0"/>
          <a:ext cx="5784273" cy="885681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l-PL" sz="2000" b="1">
              <a:solidFill>
                <a:srgbClr val="FF0000"/>
              </a:solidFill>
            </a:rPr>
            <a:t>ZWERYFIKUJ DANE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168275</xdr:colOff>
      <xdr:row>1</xdr:row>
      <xdr:rowOff>114300</xdr:rowOff>
    </xdr:from>
    <xdr:to>
      <xdr:col>21</xdr:col>
      <xdr:colOff>339725</xdr:colOff>
      <xdr:row>27</xdr:row>
      <xdr:rowOff>57104</xdr:rowOff>
    </xdr:to>
    <xdr:sp macro="" textlink="">
      <xdr:nvSpPr>
        <xdr:cNvPr id="3" name="pole tekstowe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239000" y="285750"/>
          <a:ext cx="9315450" cy="4162425"/>
        </a:xfrm>
        <a:prstGeom prst="rect">
          <a:avLst/>
        </a:prstGeom>
        <a:solidFill>
          <a:schemeClr val="lt1"/>
        </a:solidFill>
        <a:ln w="25400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Instrukcja:</a:t>
          </a:r>
        </a:p>
        <a:p>
          <a:r>
            <a:rPr lang="pl-PL" sz="1100"/>
            <a:t>Zakładka z</a:t>
          </a:r>
          <a:r>
            <a:rPr lang="pl-PL" sz="1100" baseline="0"/>
            <a:t> parametrami.</a:t>
          </a:r>
        </a:p>
        <a:p>
          <a:r>
            <a:rPr lang="pl-PL" sz="1100" baseline="0"/>
            <a:t>Kolumna A - nazwa kolumny z zakładki DETALE, nazwy pomagają w identyfikacji kolumnien.</a:t>
          </a:r>
        </a:p>
        <a:p>
          <a:r>
            <a:rPr lang="pl-PL" sz="1100" baseline="0"/>
            <a:t>Kolumna B - numer kolumny z zakładki DETALE, indeksy muszą odpowiadać kolejności kolumn.</a:t>
          </a:r>
        </a:p>
        <a:p>
          <a:r>
            <a:rPr lang="pl-PL" sz="1100" baseline="0"/>
            <a:t>Kolumna C-E - format komórki, który zostanie zastosowany do komórki z zakładki DETALE, jeśli zostaną spełnione warunki</a:t>
          </a:r>
        </a:p>
        <a:p>
          <a:endParaRPr lang="pl-PL" sz="1100" baseline="0"/>
        </a:p>
        <a:p>
          <a:r>
            <a:rPr lang="pl-PL" sz="1100" baseline="0"/>
            <a:t>Przykład:</a:t>
          </a:r>
        </a:p>
        <a:p>
          <a:r>
            <a:rPr lang="pl-PL" sz="1100" baseline="0"/>
            <a:t>jeśli w zakładce DETALE pole NAZWISKO będzie puste zostanie zakolorowane zgodnie z formatem komórki C2 z zakładki PARAMETRY</a:t>
          </a:r>
        </a:p>
        <a:p>
          <a:endParaRPr lang="pl-PL" sz="1100" baseline="0"/>
        </a:p>
        <a:p>
          <a:r>
            <a:rPr lang="pl-PL" sz="1100" baseline="0"/>
            <a:t>W zakładce PARAMETRY</a:t>
          </a:r>
        </a:p>
        <a:p>
          <a:r>
            <a:rPr lang="pl-PL" sz="1100" baseline="0"/>
            <a:t>Dozwolone jest:</a:t>
          </a:r>
        </a:p>
        <a:p>
          <a:r>
            <a:rPr lang="pl-PL" sz="1100" baseline="0"/>
            <a:t>-zmiana kolorów z kolumn C-E w komórkach z kolorem</a:t>
          </a:r>
        </a:p>
        <a:p>
          <a:r>
            <a:rPr lang="pl-PL" sz="1100" baseline="0"/>
            <a:t>Nie można:</a:t>
          </a:r>
        </a:p>
        <a:p>
          <a:r>
            <a:rPr lang="pl-PL" sz="1100" baseline="0"/>
            <a:t>-zmieniać kolejności wierszy</a:t>
          </a:r>
        </a:p>
        <a:p>
          <a:r>
            <a:rPr lang="pl-PL" sz="1100" baseline="0"/>
            <a:t>-usuwać/modyfikować danych</a:t>
          </a:r>
        </a:p>
        <a:p>
          <a:r>
            <a:rPr lang="pl-PL" sz="1100"/>
            <a:t>Nie ma sensu:</a:t>
          </a:r>
        </a:p>
        <a:p>
          <a:r>
            <a:rPr lang="pl-PL" sz="1100"/>
            <a:t>-zmiana zawartości z kolumn C-E,</a:t>
          </a:r>
          <a:r>
            <a:rPr lang="pl-PL" sz="1100" baseline="0"/>
            <a:t> ponieważ opisują zachowanie skryptu</a:t>
          </a:r>
        </a:p>
        <a:p>
          <a:r>
            <a:rPr lang="pl-PL" sz="1100"/>
            <a:t>-dodawać treści,</a:t>
          </a:r>
          <a:r>
            <a:rPr lang="pl-PL" sz="1100" baseline="0"/>
            <a:t> poniewać zaciemnią czytelność zakładki</a:t>
          </a:r>
        </a:p>
        <a:p>
          <a:r>
            <a:rPr lang="pl-PL" sz="1100" baseline="0"/>
            <a:t>-zmieniać kolory pól bez tła</a:t>
          </a:r>
        </a:p>
        <a:p>
          <a:r>
            <a:rPr lang="pl-PL" sz="1100" baseline="0"/>
            <a:t>-zmieniać nazwy kolumn</a:t>
          </a:r>
        </a:p>
        <a:p>
          <a:r>
            <a:rPr lang="pl-PL" sz="1100" baseline="0"/>
            <a:t>-cokolwiek zmieniać jeśli nie jesteś pewien zmian</a:t>
          </a:r>
          <a:endParaRPr lang="pl-PL" sz="1100"/>
        </a:p>
      </xdr:txBody>
    </xdr:sp>
    <xdr:clientData/>
  </xdr:twoCellAnchor>
  <xdr:oneCellAnchor>
    <xdr:from>
      <xdr:col>3</xdr:col>
      <xdr:colOff>936626</xdr:colOff>
      <xdr:row>8</xdr:row>
      <xdr:rowOff>76200</xdr:rowOff>
    </xdr:from>
    <xdr:ext cx="6202097" cy="3485973"/>
    <xdr:sp macro="" textlink="">
      <xdr:nvSpPr>
        <xdr:cNvPr id="2" name="Prostoką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 rot="21055921">
          <a:off x="4591051" y="1362075"/>
          <a:ext cx="6525962" cy="34735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uprzejma prośba :-)</a:t>
          </a:r>
        </a:p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NIE ZMIENIAJ TEGO JESLI NIE WIESZ DO</a:t>
          </a:r>
          <a:r>
            <a:rPr lang="pl-PL" sz="5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CZEGO SŁUŻY </a:t>
          </a:r>
          <a:endParaRPr lang="pl-PL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5%20-%20RYSUNKI/2011-800-PRT-A0069838-A-Uchwyt%20czujnika.STEP" TargetMode="External"/><Relationship Id="rId671" Type="http://schemas.openxmlformats.org/officeDocument/2006/relationships/hyperlink" Target="5%20-%20RYSUNKI/2011-600-PRT-A0070123-A-Pokrywka.PDF" TargetMode="External"/><Relationship Id="rId769" Type="http://schemas.openxmlformats.org/officeDocument/2006/relationships/hyperlink" Target="5%20-%20RYSUNKI\2011-990-PRT-A0072860-A-P&#322;yta%20narz&#281;dzia%20ruchomego.PDF" TargetMode="External"/><Relationship Id="rId976" Type="http://schemas.openxmlformats.org/officeDocument/2006/relationships/hyperlink" Target="5%20-%20RYSUNKI\2011-901-PRT-A0068935-A-Gniazdo%20pina.PDF" TargetMode="External"/><Relationship Id="rId21" Type="http://schemas.openxmlformats.org/officeDocument/2006/relationships/hyperlink" Target="5%20-%20RYSUNKI/2011-400-PRT-A0068849-A-Mocowanie%20si&#322;ownika%201.STEP" TargetMode="External"/><Relationship Id="rId324" Type="http://schemas.openxmlformats.org/officeDocument/2006/relationships/hyperlink" Target="5%20-%20RYSUNKI/2011-400-PRT-A0071721-A-Gniazdo%20spr&#281;&#380;yny%20prawej.DXF" TargetMode="External"/><Relationship Id="rId531" Type="http://schemas.openxmlformats.org/officeDocument/2006/relationships/hyperlink" Target="5%20-%20RYSUNKI/2011-600-PRT-A0070109-A-Wspornik%20ruchomy%20prowadnika.DXF" TargetMode="External"/><Relationship Id="rId629" Type="http://schemas.openxmlformats.org/officeDocument/2006/relationships/hyperlink" Target="5%20-%20RYSUNKI/2011-600-PRT-A0071455-A-Blokada%20L.PDF" TargetMode="External"/><Relationship Id="rId170" Type="http://schemas.openxmlformats.org/officeDocument/2006/relationships/hyperlink" Target="5%20-%20RYSUNKI/2011-200-PRT-A0070366-A-P&#322;ytka%20podstawowa%20podmonta&#380;u%20blaszek.DXF" TargetMode="External"/><Relationship Id="rId836" Type="http://schemas.openxmlformats.org/officeDocument/2006/relationships/hyperlink" Target="5%20-%20RYSUNKI/2011-902-PRT-A0069223-A-Obracak.DXF" TargetMode="External"/><Relationship Id="rId1021" Type="http://schemas.openxmlformats.org/officeDocument/2006/relationships/hyperlink" Target="5%20-%20RYSUNKI\2011-990-PRT-A0072869-A-Wanienka%20na%20smar.PDF" TargetMode="External"/><Relationship Id="rId1119" Type="http://schemas.openxmlformats.org/officeDocument/2006/relationships/hyperlink" Target="5%20-%20RYSUNKI\2011-600-PRT-A0073379-A-Mocowanie%20uko&#347;ne.PDF" TargetMode="External"/><Relationship Id="rId268" Type="http://schemas.openxmlformats.org/officeDocument/2006/relationships/hyperlink" Target="5%20-%20RYSUNKI/2011-200-PRT-A0070407-Lustro-A-Os&#322;onka%20boczna.STEP" TargetMode="External"/><Relationship Id="rId475" Type="http://schemas.openxmlformats.org/officeDocument/2006/relationships/hyperlink" Target="5%20-%20RYSUNKI/2011-200-PRT-A0070614-A-Support%20uchwytu.STEP" TargetMode="External"/><Relationship Id="rId682" Type="http://schemas.openxmlformats.org/officeDocument/2006/relationships/hyperlink" Target="5%20-%20RYSUNKI/2011--PRT-A0073184-B-Uchwyt%20si&#322;ownika.STEP" TargetMode="External"/><Relationship Id="rId903" Type="http://schemas.openxmlformats.org/officeDocument/2006/relationships/hyperlink" Target="5%20-%20RYSUNKI/2011-990-PRT-A0072872-A-Wspornik%20blokady.STEP" TargetMode="External"/><Relationship Id="rId32" Type="http://schemas.openxmlformats.org/officeDocument/2006/relationships/hyperlink" Target="5%20-%20RYSUNKI/2011-400-PRT-A0068850-A-Uchwyt%20sprz&#281;g&#322;a.DXF" TargetMode="External"/><Relationship Id="rId128" Type="http://schemas.openxmlformats.org/officeDocument/2006/relationships/hyperlink" Target="5%20-%20RYSUNKI/000.MAG.22.M6H-A.DXF" TargetMode="External"/><Relationship Id="rId335" Type="http://schemas.openxmlformats.org/officeDocument/2006/relationships/hyperlink" Target="5%20-%20RYSUNKI/2011-400-PRT-A0068803-A-P&#322;yta%20g&#243;rna.PDF" TargetMode="External"/><Relationship Id="rId542" Type="http://schemas.openxmlformats.org/officeDocument/2006/relationships/hyperlink" Target="5%20-%20RYSUNKI/2011-600-PRT-A0070489-A-Mocowanie%20podpory%20&#347;rodkowej.PDF" TargetMode="External"/><Relationship Id="rId987" Type="http://schemas.openxmlformats.org/officeDocument/2006/relationships/hyperlink" Target="5%20-%20RYSUNKI\2011-992-PRT-A0073442-A-Gniazdo%20D&#378;wigni%20eCrafter%20Przesuwny%20LH.PDF" TargetMode="External"/><Relationship Id="rId181" Type="http://schemas.openxmlformats.org/officeDocument/2006/relationships/hyperlink" Target="5%20-%20RYSUNKI/2011-200-PRT-A0069929-A-Dystans%20docisku.PDF" TargetMode="External"/><Relationship Id="rId402" Type="http://schemas.openxmlformats.org/officeDocument/2006/relationships/hyperlink" Target="5%20-%20RYSUNKI/2011-400-PRT-A0068790-A-Gniazdo%205.DXF" TargetMode="External"/><Relationship Id="rId847" Type="http://schemas.openxmlformats.org/officeDocument/2006/relationships/hyperlink" Target="5%20-%20RYSUNKI\2011-903-PRT-A0072943-A-Mocowanie.PDF" TargetMode="External"/><Relationship Id="rId1032" Type="http://schemas.openxmlformats.org/officeDocument/2006/relationships/hyperlink" Target="5%20-%20RYSUNKI/2011-902-PRT-A0072718-A-Mocowanie.STEP" TargetMode="External"/><Relationship Id="rId279" Type="http://schemas.openxmlformats.org/officeDocument/2006/relationships/hyperlink" Target="5%20-%20RYSUNKI/2011-200-PRT-A0069932-A-Tulejka%20dystansowa.DXF" TargetMode="External"/><Relationship Id="rId486" Type="http://schemas.openxmlformats.org/officeDocument/2006/relationships/hyperlink" Target="5%20-%20RYSUNKI/2011-200-PRT-A0070628-A-Wa&#322;ek%20docisku.DXF" TargetMode="External"/><Relationship Id="rId693" Type="http://schemas.openxmlformats.org/officeDocument/2006/relationships/hyperlink" Target="5%20-%20RYSUNKI/2011-600-PRT-A0070120-A-Odwa&#380;nik%20prz&#243;d.DXF" TargetMode="External"/><Relationship Id="rId707" Type="http://schemas.openxmlformats.org/officeDocument/2006/relationships/hyperlink" Target="5%20-%20RYSUNKI/2011-600-PRT-A0070633-A-Palec%20ty&#322;%20zapas.PDF" TargetMode="External"/><Relationship Id="rId914" Type="http://schemas.openxmlformats.org/officeDocument/2006/relationships/hyperlink" Target="5%20-%20RYSUNKI/2011-904-PRT-A0071252-A-Mocowanie.DXF" TargetMode="External"/><Relationship Id="rId43" Type="http://schemas.openxmlformats.org/officeDocument/2006/relationships/hyperlink" Target="5%20-%20RYSUNKI/2011-400-PRT-A0068841-A-Gniazdo%20g&#243;rne%20pina.PDF" TargetMode="External"/><Relationship Id="rId139" Type="http://schemas.openxmlformats.org/officeDocument/2006/relationships/hyperlink" Target="5%20-%20RYSUNKI/2011-200-PRT-A0069926-A-Blaszka%20prowadnika%20poziomego%20ruchoma.PDF" TargetMode="External"/><Relationship Id="rId346" Type="http://schemas.openxmlformats.org/officeDocument/2006/relationships/hyperlink" Target="5%20-%20RYSUNKI/2011-400-PRT-A0068813-A-Zderzak.STEP" TargetMode="External"/><Relationship Id="rId553" Type="http://schemas.openxmlformats.org/officeDocument/2006/relationships/hyperlink" Target="5%20-%20RYSUNKI/2011-600-PRT-A0070107-A-P&#322;yta%20g&#322;&#243;wna.STEP" TargetMode="External"/><Relationship Id="rId760" Type="http://schemas.openxmlformats.org/officeDocument/2006/relationships/hyperlink" Target="5%20-%20RYSUNKI/2011-992-PRT-A0073440-A-Gniazdo%20D&#378;wigni%20eCrafter%20Przesuwny%20LH.STEP" TargetMode="External"/><Relationship Id="rId998" Type="http://schemas.openxmlformats.org/officeDocument/2006/relationships/hyperlink" Target="5%20-%20RYSUNKI/2011-903-PRT-A0072924-A-Blokada%20spr&#281;&#380;ynki.DXF" TargetMode="External"/><Relationship Id="rId192" Type="http://schemas.openxmlformats.org/officeDocument/2006/relationships/hyperlink" Target="5%20-%20RYSUNKI/2011-200-PRT-A0069916-A-Mocowanie%20sprz&#281;g&#322;a%20o&#347;%20Z.STEP" TargetMode="External"/><Relationship Id="rId206" Type="http://schemas.openxmlformats.org/officeDocument/2006/relationships/hyperlink" Target="5%20-%20RYSUNKI/2011-200-PRT-A0070388-A-Wspornik%20si&#322;ownika.DXF" TargetMode="External"/><Relationship Id="rId413" Type="http://schemas.openxmlformats.org/officeDocument/2006/relationships/hyperlink" Target="5%20-%20RYSUNKI/2011-200-PRT-A0070650-B-P&#322;yta%20monta&#380;owa.PDF" TargetMode="External"/><Relationship Id="rId858" Type="http://schemas.openxmlformats.org/officeDocument/2006/relationships/hyperlink" Target="5%20-%20RYSUNKI/2011-903-PRT-A0072939-A-Podpora.STEP" TargetMode="External"/><Relationship Id="rId1043" Type="http://schemas.openxmlformats.org/officeDocument/2006/relationships/hyperlink" Target="5%20-%20RYSUNKI/2011-902-PRT-A0070603-A-Pier&#347;cie&#324;.DXF" TargetMode="External"/><Relationship Id="rId497" Type="http://schemas.openxmlformats.org/officeDocument/2006/relationships/hyperlink" Target="5%20-%20RYSUNKI/2011-200-PRT-A0070610-A-Support%20uchwytu.PDF" TargetMode="External"/><Relationship Id="rId620" Type="http://schemas.openxmlformats.org/officeDocument/2006/relationships/hyperlink" Target="5%20-%20RYSUNKI/2011-600-PRT-A0070100-A-Wspornik%20pin&#243;w%201.PDF" TargetMode="External"/><Relationship Id="rId718" Type="http://schemas.openxmlformats.org/officeDocument/2006/relationships/hyperlink" Target="5%20-%20RYSUNKI/2011-904-PRT-A0070449-A-Wa&#322;ek%20docisku.STEP" TargetMode="External"/><Relationship Id="rId925" Type="http://schemas.openxmlformats.org/officeDocument/2006/relationships/hyperlink" Target="5%20-%20RYSUNKI\2011-903-PRT-A0072929-A-Bazwanie.PDF" TargetMode="External"/><Relationship Id="rId357" Type="http://schemas.openxmlformats.org/officeDocument/2006/relationships/hyperlink" Target="5%20-%20RYSUNKI/2011-400-PRT-A0068771-A-Zaczep.DXF" TargetMode="External"/><Relationship Id="rId1110" Type="http://schemas.openxmlformats.org/officeDocument/2006/relationships/hyperlink" Target="5%20-%20RYSUNKI\2011-600-PRT-A0073465-A-Os&#322;ona.PDF" TargetMode="External"/><Relationship Id="rId54" Type="http://schemas.openxmlformats.org/officeDocument/2006/relationships/hyperlink" Target="5%20-%20RYSUNKI/2011-400-PRT-A0068856-A-Tuleja%20ko&#324;cowa.STEP" TargetMode="External"/><Relationship Id="rId217" Type="http://schemas.openxmlformats.org/officeDocument/2006/relationships/hyperlink" Target="5%20-%20RYSUNKI\2011-200-PRT-A0070361-A-Podstawa%20gniazda%20podmonta&#380;u.PDF" TargetMode="External"/><Relationship Id="rId564" Type="http://schemas.openxmlformats.org/officeDocument/2006/relationships/hyperlink" Target="5%20-%20RYSUNKI/2011-600-PRT-A0070499-A-Podpora%20przednia%202.DXF" TargetMode="External"/><Relationship Id="rId771" Type="http://schemas.openxmlformats.org/officeDocument/2006/relationships/hyperlink" Target="5%20-%20RYSUNKI/2011-990-PRT-A0072860-A-P&#322;yta%20narz&#281;dzia%20ruchomego.STEP" TargetMode="External"/><Relationship Id="rId869" Type="http://schemas.openxmlformats.org/officeDocument/2006/relationships/hyperlink" Target="5%20-%20RYSUNKI/2011-903-PRT-A0072935-A-P&#322;yta.DXF" TargetMode="External"/><Relationship Id="rId424" Type="http://schemas.openxmlformats.org/officeDocument/2006/relationships/hyperlink" Target="5%20-%20RYSUNKI/2011-200-PRT-A0072089-B-Kostka%20czujnika.STEP" TargetMode="External"/><Relationship Id="rId631" Type="http://schemas.openxmlformats.org/officeDocument/2006/relationships/hyperlink" Target="5%20-%20RYSUNKI/2011-600-PRT-A0071455-A-Blokada%20L.STEP" TargetMode="External"/><Relationship Id="rId729" Type="http://schemas.openxmlformats.org/officeDocument/2006/relationships/hyperlink" Target="5%20-%20RYSUNKI/2011-901-PRT-A0068930-A-Pozycjoner.DXF" TargetMode="External"/><Relationship Id="rId1054" Type="http://schemas.openxmlformats.org/officeDocument/2006/relationships/hyperlink" Target="5%20-%20RYSUNKI\000.MAG.50%20-%20M8%20x%20L-F.PDF" TargetMode="External"/><Relationship Id="rId270" Type="http://schemas.openxmlformats.org/officeDocument/2006/relationships/hyperlink" Target="5%20-%20RYSUNKI/2011-200-PRT-A0070022-A-Uchwyt%20gniazda.DXF" TargetMode="External"/><Relationship Id="rId936" Type="http://schemas.openxmlformats.org/officeDocument/2006/relationships/hyperlink" Target="5%20-%20RYSUNKI/2011-903-PRT-A0072926-A-Gniazdo.STEP" TargetMode="External"/><Relationship Id="rId1121" Type="http://schemas.openxmlformats.org/officeDocument/2006/relationships/hyperlink" Target="5%20-%20RYSUNKI/2011-600-PRT-A0073379-A-Mocowanie%20uko&#347;ne.STEP" TargetMode="External"/><Relationship Id="rId65" Type="http://schemas.openxmlformats.org/officeDocument/2006/relationships/hyperlink" Target="5%20-%20RYSUNKI/2011-400-PRT-A0068845-A-Blaszka%20boczna.DXF" TargetMode="External"/><Relationship Id="rId130" Type="http://schemas.openxmlformats.org/officeDocument/2006/relationships/hyperlink" Target="5%20-%20RYSUNKI/000.MAG.22.M6-B.PDF" TargetMode="External"/><Relationship Id="rId368" Type="http://schemas.openxmlformats.org/officeDocument/2006/relationships/hyperlink" Target="5%20-%20RYSUNKI/2011-400-PRT-A0069205-A-Gniazdo%208.PDF" TargetMode="External"/><Relationship Id="rId575" Type="http://schemas.openxmlformats.org/officeDocument/2006/relationships/hyperlink" Target="5%20-%20RYSUNKI/2011-600-PRT-A0070542-A-Wspornik%20si&#322;ownika%201.PDF" TargetMode="External"/><Relationship Id="rId782" Type="http://schemas.openxmlformats.org/officeDocument/2006/relationships/hyperlink" Target="5%20-%20RYSUNKI/2011-990-PRT-A0072866-A-Mocowanie%20si&#322;ownika.DXF" TargetMode="External"/><Relationship Id="rId228" Type="http://schemas.openxmlformats.org/officeDocument/2006/relationships/hyperlink" Target="5%20-%20RYSUNKI/2011-200-PRT-A0069937-A-Mocowanie%20&#347;ruby%20oporowej%20obrotu.STEP" TargetMode="External"/><Relationship Id="rId435" Type="http://schemas.openxmlformats.org/officeDocument/2006/relationships/hyperlink" Target="5%20-%20RYSUNKI/2011-200-PRT-A0070671-A-Mocowanie%20chwytaka.DXF" TargetMode="External"/><Relationship Id="rId642" Type="http://schemas.openxmlformats.org/officeDocument/2006/relationships/hyperlink" Target="5%20-%20RYSUNKI/2011-600-PRT-A0071267-A-Podpora%20PP.DXF" TargetMode="External"/><Relationship Id="rId1065" Type="http://schemas.openxmlformats.org/officeDocument/2006/relationships/hyperlink" Target="5%20-%20RYSUNKI/000.MAG.50%20-%20M6%20x30-H.STEP" TargetMode="External"/><Relationship Id="rId281" Type="http://schemas.openxmlformats.org/officeDocument/2006/relationships/hyperlink" Target="5%20-%20RYSUNKI/2011-200-PRT-A0069914-A-Jarzmo.PDF" TargetMode="External"/><Relationship Id="rId502" Type="http://schemas.openxmlformats.org/officeDocument/2006/relationships/hyperlink" Target="5%20-%20RYSUNKI/2011-600-PRT-A0070118-A-Zabezpieczenie%20szyny.STEP" TargetMode="External"/><Relationship Id="rId947" Type="http://schemas.openxmlformats.org/officeDocument/2006/relationships/hyperlink" Target="5%20-%20RYSUNKI/2011-903-PRT-A0072945-A-Zderzak.DXF" TargetMode="External"/><Relationship Id="rId76" Type="http://schemas.openxmlformats.org/officeDocument/2006/relationships/hyperlink" Target="5%20-%20RYSUNKI/2011-400-PRT-A0068781-A-Dystans%20blokady.PDF" TargetMode="External"/><Relationship Id="rId141" Type="http://schemas.openxmlformats.org/officeDocument/2006/relationships/hyperlink" Target="5%20-%20RYSUNKI/2011-200-PRT-A0069926-A-Blaszka%20prowadnika%20poziomego%20ruchoma.STEP" TargetMode="External"/><Relationship Id="rId379" Type="http://schemas.openxmlformats.org/officeDocument/2006/relationships/hyperlink" Target="5%20-%20RYSUNKI/2011-400-PRT-A0068812-A-Podpora%20spr&#281;&#380;yny%20lewej.STEP" TargetMode="External"/><Relationship Id="rId586" Type="http://schemas.openxmlformats.org/officeDocument/2006/relationships/hyperlink" Target="5%20-%20RYSUNKI/2011-600-PRT-A0071415-A-O&#347;.STEP" TargetMode="External"/><Relationship Id="rId793" Type="http://schemas.openxmlformats.org/officeDocument/2006/relationships/hyperlink" Target="5%20-%20RYSUNKI\2011-901-PRT-A0071396-A-P&#322;yta%20pionowa.PDF" TargetMode="External"/><Relationship Id="rId807" Type="http://schemas.openxmlformats.org/officeDocument/2006/relationships/hyperlink" Target="5%20-%20RYSUNKI/2011-904-PRT-A0070446-A-P&#322;ytka%20dolna.STEP" TargetMode="External"/><Relationship Id="rId7" Type="http://schemas.openxmlformats.org/officeDocument/2006/relationships/hyperlink" Target="5%20-%20RYSUNKI/1704-01-PRT-A0065974-A-Os&#322;ona%202.PDF" TargetMode="External"/><Relationship Id="rId239" Type="http://schemas.openxmlformats.org/officeDocument/2006/relationships/hyperlink" Target="5%20-%20RYSUNKI/2011-200-PRT-A0069908-A-Wa&#322;ek%20stempla.DXF" TargetMode="External"/><Relationship Id="rId446" Type="http://schemas.openxmlformats.org/officeDocument/2006/relationships/hyperlink" Target="5%20-%20RYSUNKI/2011-200-PRT-A0070655-A-P&#322;yta%20monta&#380;owa.PDF" TargetMode="External"/><Relationship Id="rId653" Type="http://schemas.openxmlformats.org/officeDocument/2006/relationships/hyperlink" Target="5%20-%20RYSUNKI/2011-600-PRT-A0070108-A-Rynna%20prowadnika.PDF" TargetMode="External"/><Relationship Id="rId1076" Type="http://schemas.openxmlformats.org/officeDocument/2006/relationships/hyperlink" Target="5%20-%20RYSUNKI/000.MAG.50%20-%20M8-B.DXF" TargetMode="External"/><Relationship Id="rId292" Type="http://schemas.openxmlformats.org/officeDocument/2006/relationships/hyperlink" Target="5%20-%20RYSUNKI/2011-400-PRT-A0068767-A-Uchwyt%20czujnika%201.STEP" TargetMode="External"/><Relationship Id="rId306" Type="http://schemas.openxmlformats.org/officeDocument/2006/relationships/hyperlink" Target="5%20-%20RYSUNKI/2011-400-PRT-A0069217-A-Gniazdo%209.DXF" TargetMode="External"/><Relationship Id="rId860" Type="http://schemas.openxmlformats.org/officeDocument/2006/relationships/hyperlink" Target="5%20-%20RYSUNKI/2011-903-PRT-A0072938-A-Mocowanie.DXF" TargetMode="External"/><Relationship Id="rId958" Type="http://schemas.openxmlformats.org/officeDocument/2006/relationships/hyperlink" Target="5%20-%20RYSUNKI\2011-992-PRT-A0072856-A-Tulejka%20bazuj&#261;ca.PDF" TargetMode="External"/><Relationship Id="rId87" Type="http://schemas.openxmlformats.org/officeDocument/2006/relationships/hyperlink" Target="5%20-%20RYSUNKI/2011-400-PRT-A0068783-A-P&#322;ytka%20przednia.STEP" TargetMode="External"/><Relationship Id="rId513" Type="http://schemas.openxmlformats.org/officeDocument/2006/relationships/hyperlink" Target="5%20-%20RYSUNKI/2011-600-PRT-A0070113-A-P&#322;yta%20nap&#281;du%20liniowego.DXF" TargetMode="External"/><Relationship Id="rId597" Type="http://schemas.openxmlformats.org/officeDocument/2006/relationships/hyperlink" Target="5%20-%20RYSUNKI/2011-600-PRT-A0073063-A-Wa&#322;eczek%20gumowy.DXF" TargetMode="External"/><Relationship Id="rId720" Type="http://schemas.openxmlformats.org/officeDocument/2006/relationships/hyperlink" Target="5%20-%20RYSUNKI/2011-901-PRT-A0068958-A-Pozycjoner.DXF" TargetMode="External"/><Relationship Id="rId818" Type="http://schemas.openxmlformats.org/officeDocument/2006/relationships/hyperlink" Target="5%20-%20RYSUNKI/2011-902-PRT-A0069227-A-Mocowanie%20si&#322;ownika.DXF" TargetMode="External"/><Relationship Id="rId152" Type="http://schemas.openxmlformats.org/officeDocument/2006/relationships/hyperlink" Target="5%20-%20RYSUNKI/2011-200-PRT-A0070322-A-Gniazdo%20RH%20cz2.DXF" TargetMode="External"/><Relationship Id="rId457" Type="http://schemas.openxmlformats.org/officeDocument/2006/relationships/hyperlink" Target="5%20-%20RYSUNKI/2011-200-PRT-A0070606-A-P&#322;yta%20monta&#380;owa.STEP" TargetMode="External"/><Relationship Id="rId1003" Type="http://schemas.openxmlformats.org/officeDocument/2006/relationships/hyperlink" Target="5%20-%20RYSUNKI\2011-903-PRT-A0072977-A-Mocowanie%20prowadnika.PDF" TargetMode="External"/><Relationship Id="rId1087" Type="http://schemas.openxmlformats.org/officeDocument/2006/relationships/hyperlink" Target="5%20-%20RYSUNKI\2011-600-PRT-A0073373-A-Obudowa%20Fluke%202-3.PDF" TargetMode="External"/><Relationship Id="rId664" Type="http://schemas.openxmlformats.org/officeDocument/2006/relationships/hyperlink" Target="5%20-%20RYSUNKI/2011-600-PRT-A0070110-A-Wa&#322;ek%20dystansowy.STEP" TargetMode="External"/><Relationship Id="rId871" Type="http://schemas.openxmlformats.org/officeDocument/2006/relationships/hyperlink" Target="5%20-%20RYSUNKI\2011-903-PRT-A0072934-A-&#379;ebro.PDF" TargetMode="External"/><Relationship Id="rId969" Type="http://schemas.openxmlformats.org/officeDocument/2006/relationships/hyperlink" Target="5%20-%20RYSUNKI/2011-901-PRT-A0068951-A-Zabierak.STEP" TargetMode="External"/><Relationship Id="rId14" Type="http://schemas.openxmlformats.org/officeDocument/2006/relationships/hyperlink" Target="5%20-%20RYSUNKI/000.MAG.22.M8-A.DXF" TargetMode="External"/><Relationship Id="rId317" Type="http://schemas.openxmlformats.org/officeDocument/2006/relationships/hyperlink" Target="5%20-%20RYSUNKI/2011-400-PRT-A0068809-A-P&#322;yta%20g&#243;rna.PDF" TargetMode="External"/><Relationship Id="rId524" Type="http://schemas.openxmlformats.org/officeDocument/2006/relationships/hyperlink" Target="5%20-%20RYSUNKI/2011-600-PRT-A0070114-A-Wzmocnienie%20supportu.PDF" TargetMode="External"/><Relationship Id="rId731" Type="http://schemas.openxmlformats.org/officeDocument/2006/relationships/hyperlink" Target="5%20-%20RYSUNKI\2011-901-PRT-A0068929-A-Tulejka.PDF" TargetMode="External"/><Relationship Id="rId98" Type="http://schemas.openxmlformats.org/officeDocument/2006/relationships/hyperlink" Target="5%20-%20RYSUNKI/2011-400-PRT-A0068778-A-&#379;ebro.DXF" TargetMode="External"/><Relationship Id="rId163" Type="http://schemas.openxmlformats.org/officeDocument/2006/relationships/hyperlink" Target="5%20-%20RYSUNKI/2011-200-PRT-A0069928-A-Wspornik%20si&#322;ownika%20obrotowego.PDF" TargetMode="External"/><Relationship Id="rId370" Type="http://schemas.openxmlformats.org/officeDocument/2006/relationships/hyperlink" Target="5%20-%20RYSUNKI/2011-400-PRT-A0069205-A-Gniazdo%208.STEP" TargetMode="External"/><Relationship Id="rId829" Type="http://schemas.openxmlformats.org/officeDocument/2006/relationships/hyperlink" Target="5%20-%20RYSUNKI\2011-901-PRT-A0068939-A-P&#322;yta%20pionowa.PDF" TargetMode="External"/><Relationship Id="rId1014" Type="http://schemas.openxmlformats.org/officeDocument/2006/relationships/hyperlink" Target="5%20-%20RYSUNKI/2011-990-PRT-A0072878-A-Mocowanie.STEP" TargetMode="External"/><Relationship Id="rId230" Type="http://schemas.openxmlformats.org/officeDocument/2006/relationships/hyperlink" Target="5%20-%20RYSUNKI/2011-200-PRT-A0069933-A-Kostka%20amortyzatora%20Z.DXF" TargetMode="External"/><Relationship Id="rId468" Type="http://schemas.openxmlformats.org/officeDocument/2006/relationships/hyperlink" Target="5%20-%20RYSUNKI/2011-200-PRT-A0071749-A-Kostka%20bazuj&#261;ca.DXF" TargetMode="External"/><Relationship Id="rId675" Type="http://schemas.openxmlformats.org/officeDocument/2006/relationships/hyperlink" Target="5%20-%20RYSUNKI/2011-600-PRT-A0070129-A-Korpus.DXF" TargetMode="External"/><Relationship Id="rId882" Type="http://schemas.openxmlformats.org/officeDocument/2006/relationships/hyperlink" Target="5%20-%20RYSUNKI/2011-903-PRT-A0072930-A-Tulejka%20centruj&#261;ca.STEP" TargetMode="External"/><Relationship Id="rId1098" Type="http://schemas.openxmlformats.org/officeDocument/2006/relationships/hyperlink" Target="5%20-%20RYSUNKI\2011-600-PRT-A0073374-A-Drzwiczki%20skrzynki.PDF" TargetMode="External"/><Relationship Id="rId25" Type="http://schemas.openxmlformats.org/officeDocument/2006/relationships/hyperlink" Target="5%20-%20RYSUNKI/2011-400-PRT-A0068847-A-P&#322;yta%20pionowa.PDF" TargetMode="External"/><Relationship Id="rId328" Type="http://schemas.openxmlformats.org/officeDocument/2006/relationships/hyperlink" Target="5%20-%20RYSUNKI/2011-400-PRT-A0069147-B-D&#378;wignia%20prawa.STEP" TargetMode="External"/><Relationship Id="rId535" Type="http://schemas.openxmlformats.org/officeDocument/2006/relationships/hyperlink" Target="5%20-%20RYSUNKI/2011-600-PRT-A0070487-A-Podpora%20&#347;rodkowa.STEP" TargetMode="External"/><Relationship Id="rId742" Type="http://schemas.openxmlformats.org/officeDocument/2006/relationships/hyperlink" Target="5%20-%20RYSUNKI/2011-902-PRT-A0069222-A-Tulejka%20pozycjonuj&#261;ca.STEP" TargetMode="External"/><Relationship Id="rId174" Type="http://schemas.openxmlformats.org/officeDocument/2006/relationships/hyperlink" Target="5%20-%20RYSUNKI/2011-200-PRT-A0070313-A-Podstawka%20gniazda%20ECrafter%20RH.STEP" TargetMode="External"/><Relationship Id="rId381" Type="http://schemas.openxmlformats.org/officeDocument/2006/relationships/hyperlink" Target="5%20-%20RYSUNKI/2011-400-PRT-A0068802-A-Podpora%20&#347;rodkowa%201.DXF" TargetMode="External"/><Relationship Id="rId602" Type="http://schemas.openxmlformats.org/officeDocument/2006/relationships/hyperlink" Target="5%20-%20RYSUNKI/2011-600-PRT-A0071419-A-Dociskacz.PDF" TargetMode="External"/><Relationship Id="rId1025" Type="http://schemas.openxmlformats.org/officeDocument/2006/relationships/hyperlink" Target="5%20-%20RYSUNKI/2011-990-PRT-A0072868-A-Przek&#322;adka.DXF" TargetMode="External"/><Relationship Id="rId241" Type="http://schemas.openxmlformats.org/officeDocument/2006/relationships/hyperlink" Target="5%20-%20RYSUNKI/2011-200-PRT-A0069935-A-Kostka%20zderzaka%20osi%20Z.PDF" TargetMode="External"/><Relationship Id="rId479" Type="http://schemas.openxmlformats.org/officeDocument/2006/relationships/hyperlink" Target="5%20-%20RYSUNKI/2011-200-PRT-A0071764-A-Gniazdo%20wtyczki%20V2.PDF" TargetMode="External"/><Relationship Id="rId686" Type="http://schemas.openxmlformats.org/officeDocument/2006/relationships/hyperlink" Target="5%20-%20RYSUNKI/2011--PRT-A0073195-B-Mocowanie%20si&#322;ownika.PDF" TargetMode="External"/><Relationship Id="rId893" Type="http://schemas.openxmlformats.org/officeDocument/2006/relationships/hyperlink" Target="5%20-%20RYSUNKI/2011-903-PRT-A0072918-A-Talerzyk.DXF" TargetMode="External"/><Relationship Id="rId907" Type="http://schemas.openxmlformats.org/officeDocument/2006/relationships/hyperlink" Target="5%20-%20RYSUNKI\2011-990-PRT-A0072870-A-Mocowanie%20si&#322;ownika.PDF" TargetMode="External"/><Relationship Id="rId36" Type="http://schemas.openxmlformats.org/officeDocument/2006/relationships/hyperlink" Target="5%20-%20RYSUNKI/2011-400-PRT-A0068846-A-Uchwyt%20sprz&#281;g&#322;a%202.STEP" TargetMode="External"/><Relationship Id="rId339" Type="http://schemas.openxmlformats.org/officeDocument/2006/relationships/hyperlink" Target="5%20-%20RYSUNKI/2011-400-PRT-A0069184-A-Listwa%20spr&#281;&#380;yny%20prawa%202.DXF" TargetMode="External"/><Relationship Id="rId546" Type="http://schemas.openxmlformats.org/officeDocument/2006/relationships/hyperlink" Target="5%20-%20RYSUNKI/2011-600-PRT-A0070491-A-Wspornik%20si&#322;ownika%202.DXF" TargetMode="External"/><Relationship Id="rId753" Type="http://schemas.openxmlformats.org/officeDocument/2006/relationships/hyperlink" Target="5%20-%20RYSUNKI/2011-992-PRT-A0073445-C-Gniazdo%20D&#378;wigni%20eCrafter%20Przesuwny%20LH.STEP" TargetMode="External"/><Relationship Id="rId101" Type="http://schemas.openxmlformats.org/officeDocument/2006/relationships/hyperlink" Target="5%20-%20RYSUNKI/2011-400-PRT-A0068786-A-Oprawa%20&#322;o&#380;ysk.DXF" TargetMode="External"/><Relationship Id="rId185" Type="http://schemas.openxmlformats.org/officeDocument/2006/relationships/hyperlink" Target="5%20-%20RYSUNKI/2011-200-PRT-A0069921-A-Podstawa%20szyny.DXF" TargetMode="External"/><Relationship Id="rId406" Type="http://schemas.openxmlformats.org/officeDocument/2006/relationships/hyperlink" Target="5%20-%20RYSUNKI/2011-400-PRT-A0068789-A-Gniazdo%206.STEP" TargetMode="External"/><Relationship Id="rId960" Type="http://schemas.openxmlformats.org/officeDocument/2006/relationships/hyperlink" Target="5%20-%20RYSUNKI/2011-992-PRT-A0072856-A-Tulejka%20bazuj&#261;ca.STEP" TargetMode="External"/><Relationship Id="rId1036" Type="http://schemas.openxmlformats.org/officeDocument/2006/relationships/hyperlink" Target="5%20-%20RYSUNKI\2011-902-PRT-A0072036-A-Mocowanie%20prowadnika.PDF" TargetMode="External"/><Relationship Id="rId392" Type="http://schemas.openxmlformats.org/officeDocument/2006/relationships/hyperlink" Target="5%20-%20RYSUNKI/2011-400-PRT-A0068797-A-Gniazdo%203.PDF" TargetMode="External"/><Relationship Id="rId613" Type="http://schemas.openxmlformats.org/officeDocument/2006/relationships/hyperlink" Target="5%20-%20RYSUNKI/2011-600-PRT-A0071411-A-Rami&#281;.STEP" TargetMode="External"/><Relationship Id="rId697" Type="http://schemas.openxmlformats.org/officeDocument/2006/relationships/hyperlink" Target="5%20-%20RYSUNKI/2011-600-PRT-A0070126-A-Rami&#281;%20prz&#243;d.STEP" TargetMode="External"/><Relationship Id="rId820" Type="http://schemas.openxmlformats.org/officeDocument/2006/relationships/hyperlink" Target="5%20-%20RYSUNKI\2011-902-PRT-A0069225-A-Mocowanie%20w&#243;zka.PDF" TargetMode="External"/><Relationship Id="rId918" Type="http://schemas.openxmlformats.org/officeDocument/2006/relationships/hyperlink" Target="5%20-%20RYSUNKI/2011-901-PRT-A0069990-B-Mocowanie.STEP" TargetMode="External"/><Relationship Id="rId252" Type="http://schemas.openxmlformats.org/officeDocument/2006/relationships/hyperlink" Target="5%20-%20RYSUNKI/2011-200-PRT-A0070417-A-Os&#322;ona%20si&#322;ownika.STEP" TargetMode="External"/><Relationship Id="rId1103" Type="http://schemas.openxmlformats.org/officeDocument/2006/relationships/hyperlink" Target="5%20-%20RYSUNKI/2011-600-PRT-A0073375-A-Stopka.STEP" TargetMode="External"/><Relationship Id="rId47" Type="http://schemas.openxmlformats.org/officeDocument/2006/relationships/hyperlink" Target="5%20-%20RYSUNKI/2011-400-PRT-A0068857-A-Tuleja%20prowadz&#261;ca.DXF" TargetMode="External"/><Relationship Id="rId112" Type="http://schemas.openxmlformats.org/officeDocument/2006/relationships/hyperlink" Target="5%20-%20RYSUNKI/2011-400-PRT-A0068859-A-&#346;lizg.PDF" TargetMode="External"/><Relationship Id="rId557" Type="http://schemas.openxmlformats.org/officeDocument/2006/relationships/hyperlink" Target="5%20-%20RYSUNKI/2011-600-PRT-A0070492-A-Kostka%20elektryczna.PDF" TargetMode="External"/><Relationship Id="rId764" Type="http://schemas.openxmlformats.org/officeDocument/2006/relationships/hyperlink" Target="5%20-%20RYSUNKI/2011-992-PRT-A0072854-A-Gniazdo%20D&#378;wigni%20eCrafter%20Przesuwny%20LH.STEP" TargetMode="External"/><Relationship Id="rId971" Type="http://schemas.openxmlformats.org/officeDocument/2006/relationships/hyperlink" Target="5%20-%20RYSUNKI/2011-901-PRT-A0068950-B-Mocowanie%20popychacza.DXF" TargetMode="External"/><Relationship Id="rId196" Type="http://schemas.openxmlformats.org/officeDocument/2006/relationships/hyperlink" Target="5%20-%20RYSUNKI/2011-200-PRT-A0069912-A-Podstawa%20szyny.PDF" TargetMode="External"/><Relationship Id="rId417" Type="http://schemas.openxmlformats.org/officeDocument/2006/relationships/hyperlink" Target="5%20-%20RYSUNKI/2011-200-PRT-A0072093-A-Uchwyt%20czujnika.DXF" TargetMode="External"/><Relationship Id="rId624" Type="http://schemas.openxmlformats.org/officeDocument/2006/relationships/hyperlink" Target="5%20-%20RYSUNKI/2011-600-PRT-A0070099-A-Wspornik%20pin&#243;w%202.DXF" TargetMode="External"/><Relationship Id="rId831" Type="http://schemas.openxmlformats.org/officeDocument/2006/relationships/hyperlink" Target="5%20-%20RYSUNKI/2011-901-PRT-A0068939-A-P&#322;yta%20pionowa.STEP" TargetMode="External"/><Relationship Id="rId1047" Type="http://schemas.openxmlformats.org/officeDocument/2006/relationships/hyperlink" Target="5%20-%20RYSUNKI/2011-904-PRT-A0070445-A-Mocowanie%20prowadnika.STEP" TargetMode="External"/><Relationship Id="rId263" Type="http://schemas.openxmlformats.org/officeDocument/2006/relationships/hyperlink" Target="5%20-%20RYSUNKI/2011-200-PRT-A0070409-A-Os&#322;onka.DXF" TargetMode="External"/><Relationship Id="rId470" Type="http://schemas.openxmlformats.org/officeDocument/2006/relationships/hyperlink" Target="5%20-%20RYSUNKI/2011-200-PRT-A0070615-A-Support%20uchwytu.PDF" TargetMode="External"/><Relationship Id="rId929" Type="http://schemas.openxmlformats.org/officeDocument/2006/relationships/hyperlink" Target="5%20-%20RYSUNKI/2011-903-PRT-A0072928-B-Szcz&#281;ka.DXF" TargetMode="External"/><Relationship Id="rId1114" Type="http://schemas.openxmlformats.org/officeDocument/2006/relationships/hyperlink" Target="5%20-%20RYSUNKI/2011-600-PRT-A0073377-A-Okno.DXF" TargetMode="External"/><Relationship Id="rId58" Type="http://schemas.openxmlformats.org/officeDocument/2006/relationships/hyperlink" Target="5%20-%20RYSUNKI/2011-400-PRT-A0068854-A-Nakr&#281;tka.PDF" TargetMode="External"/><Relationship Id="rId123" Type="http://schemas.openxmlformats.org/officeDocument/2006/relationships/hyperlink" Target="5%20-%20RYSUNKI/000.MAG.50%20-%20M6%20x30-H.STEP" TargetMode="External"/><Relationship Id="rId330" Type="http://schemas.openxmlformats.org/officeDocument/2006/relationships/hyperlink" Target="5%20-%20RYSUNKI/2011-400-PRT-A0068775-A-Gniazdo%20spr&#281;&#380;yny%20lewej.DXF" TargetMode="External"/><Relationship Id="rId568" Type="http://schemas.openxmlformats.org/officeDocument/2006/relationships/hyperlink" Target="5%20-%20RYSUNKI/2011-600-PRT-A0070494-A-Podpora%20przednia%201.STEP" TargetMode="External"/><Relationship Id="rId775" Type="http://schemas.openxmlformats.org/officeDocument/2006/relationships/hyperlink" Target="5%20-%20RYSUNKI\2011-991-PRT-A0072855-C-Gniazdo%20eCrafter%20LH.PDF" TargetMode="External"/><Relationship Id="rId982" Type="http://schemas.openxmlformats.org/officeDocument/2006/relationships/hyperlink" Target="5%20-%20RYSUNKI/2011-992-PRT-A0073444-Lustro-A-Gniazdo%20D&#378;wigni%20eCrafter%20Przesuwny%20RH.STEP" TargetMode="External"/><Relationship Id="rId428" Type="http://schemas.openxmlformats.org/officeDocument/2006/relationships/hyperlink" Target="5%20-%20RYSUNKI/2011-200-PRT-A0071260-A-Mocowanie%20chwytaka.PDF" TargetMode="External"/><Relationship Id="rId635" Type="http://schemas.openxmlformats.org/officeDocument/2006/relationships/hyperlink" Target="5%20-%20RYSUNKI/2011-600-PRT-A0071266-A-Podpora%20PT.PDF" TargetMode="External"/><Relationship Id="rId842" Type="http://schemas.openxmlformats.org/officeDocument/2006/relationships/hyperlink" Target="5%20-%20RYSUNKI/2011-901-PRT-A0068941-A-P&#322;ytka%20mocowania%20si&#322;ownika.DXF" TargetMode="External"/><Relationship Id="rId1058" Type="http://schemas.openxmlformats.org/officeDocument/2006/relationships/hyperlink" Target="5%20-%20RYSUNKI/000.MAG.50%20-%20M6%20x30-H.DXF" TargetMode="External"/><Relationship Id="rId274" Type="http://schemas.openxmlformats.org/officeDocument/2006/relationships/hyperlink" Target="5%20-%20RYSUNKI/2011-200-PRT-A0069918-A-P&#322;ytka%20si&#322;ownika%20osi%20Y.STEP" TargetMode="External"/><Relationship Id="rId481" Type="http://schemas.openxmlformats.org/officeDocument/2006/relationships/hyperlink" Target="5%20-%20RYSUNKI/2011-200-PRT-A0071764-A-Gniazdo%20wtyczki%20V2.STEP" TargetMode="External"/><Relationship Id="rId702" Type="http://schemas.openxmlformats.org/officeDocument/2006/relationships/hyperlink" Target="5%20-%20RYSUNKI/2011-600-PRT-A0070576-A-Odwa&#380;nik%20ty&#322;.DXF" TargetMode="External"/><Relationship Id="rId1125" Type="http://schemas.openxmlformats.org/officeDocument/2006/relationships/hyperlink" Target="5%20-%20RYSUNKI\2011-600-PRT-A0070131-A-Podstawa%20zespo&#322;u.PDF" TargetMode="External"/><Relationship Id="rId69" Type="http://schemas.openxmlformats.org/officeDocument/2006/relationships/hyperlink" Target="5%20-%20RYSUNKI/2011-400-PRT-A0068777-A-Mocowanie%20prowadnika%202.STEP" TargetMode="External"/><Relationship Id="rId134" Type="http://schemas.openxmlformats.org/officeDocument/2006/relationships/hyperlink" Target="5%20-%20RYSUNKI/2011-200-PRT-A0069934-A-Blacha%20wzmacniaj&#261;ca.DXF" TargetMode="External"/><Relationship Id="rId579" Type="http://schemas.openxmlformats.org/officeDocument/2006/relationships/hyperlink" Target="5%20-%20RYSUNKI/2011-600-PRT-A0071409-A-P&#322;ytka%20blokady.DXF" TargetMode="External"/><Relationship Id="rId786" Type="http://schemas.openxmlformats.org/officeDocument/2006/relationships/hyperlink" Target="5%20-%20RYSUNKI/2011-990-PRT-A0072864-A-P&#322;yta.STEP" TargetMode="External"/><Relationship Id="rId993" Type="http://schemas.openxmlformats.org/officeDocument/2006/relationships/hyperlink" Target="5%20-%20RYSUNKI/2011-903-PRT-A0072941-A-Blokada%20Pinu.STEP" TargetMode="External"/><Relationship Id="rId341" Type="http://schemas.openxmlformats.org/officeDocument/2006/relationships/hyperlink" Target="5%20-%20RYSUNKI/2011-400-PRT-A0069182-A-Listwa%20spr&#281;&#380;yny%20prawa%201.PDF" TargetMode="External"/><Relationship Id="rId439" Type="http://schemas.openxmlformats.org/officeDocument/2006/relationships/hyperlink" Target="5%20-%20RYSUNKI/2011-200-PRT-A0070665-A-P&#322;yta%20montazowa.STEP" TargetMode="External"/><Relationship Id="rId646" Type="http://schemas.openxmlformats.org/officeDocument/2006/relationships/hyperlink" Target="5%20-%20RYSUNKI/2011-600-PRT-A0071265-A-Dok&#322;adka%20PP.STEP" TargetMode="External"/><Relationship Id="rId1069" Type="http://schemas.openxmlformats.org/officeDocument/2006/relationships/hyperlink" Target="5%20-%20RYSUNKI\000.MAG.90.06-B.PDF" TargetMode="External"/><Relationship Id="rId201" Type="http://schemas.openxmlformats.org/officeDocument/2006/relationships/hyperlink" Target="5%20-%20RYSUNKI/2011-200-PRT-A0069910-A-P&#322;yta%20suportu.STEP" TargetMode="External"/><Relationship Id="rId285" Type="http://schemas.openxmlformats.org/officeDocument/2006/relationships/hyperlink" Target="5%20-%20RYSUNKI/2011-200-PRT-A0069936-A-P&#322;ytka%20oporowa%20obrotu.DXF" TargetMode="External"/><Relationship Id="rId506" Type="http://schemas.openxmlformats.org/officeDocument/2006/relationships/hyperlink" Target="5%20-%20RYSUNKI/2011-600-PRT-A0070117-A-P&#322;yta%20zespo&#322;u%20dojazdu.PDF" TargetMode="External"/><Relationship Id="rId853" Type="http://schemas.openxmlformats.org/officeDocument/2006/relationships/hyperlink" Target="5%20-%20RYSUNKI\2011-903-PRT-A0072940-B-Podk&#322;adka.PDF" TargetMode="External"/><Relationship Id="rId492" Type="http://schemas.openxmlformats.org/officeDocument/2006/relationships/hyperlink" Target="5%20-%20RYSUNKI/2011-200-PRT-A0070613-A-Support%20uchwytu.DXF" TargetMode="External"/><Relationship Id="rId713" Type="http://schemas.openxmlformats.org/officeDocument/2006/relationships/hyperlink" Target="5%20-%20RYSUNKI/2011-600-PRT-A0070124-A-Mocowanie%20czujnik&#243;w.PDF" TargetMode="External"/><Relationship Id="rId797" Type="http://schemas.openxmlformats.org/officeDocument/2006/relationships/hyperlink" Target="5%20-%20RYSUNKI/2011-904-PRT-A0071248-A-P&#322;yta.DXF" TargetMode="External"/><Relationship Id="rId920" Type="http://schemas.openxmlformats.org/officeDocument/2006/relationships/hyperlink" Target="5%20-%20RYSUNKI/2011-902-PRT-A0069226-A-Mocowanie%20odboju.DXF" TargetMode="External"/><Relationship Id="rId145" Type="http://schemas.openxmlformats.org/officeDocument/2006/relationships/hyperlink" Target="5%20-%20RYSUNKI/2011-200-PRT-A0069923-A-Blaszka%20amortyzatora.PDF" TargetMode="External"/><Relationship Id="rId352" Type="http://schemas.openxmlformats.org/officeDocument/2006/relationships/hyperlink" Target="5%20-%20RYSUNKI/2011-400-PRT-A0068773-A-Ko&#322;ek.STEP" TargetMode="External"/><Relationship Id="rId212" Type="http://schemas.openxmlformats.org/officeDocument/2006/relationships/hyperlink" Target="5%20-%20RYSUNKI/2011-200-PRT-A0070506-A-Os&#322;ona%20dolna%20podmonta&#380;u.DXF" TargetMode="External"/><Relationship Id="rId657" Type="http://schemas.openxmlformats.org/officeDocument/2006/relationships/hyperlink" Target="5%20-%20RYSUNKI/2011-600-PRT-A0070418-A-&#346;ciana%20prawa.DXF" TargetMode="External"/><Relationship Id="rId864" Type="http://schemas.openxmlformats.org/officeDocument/2006/relationships/hyperlink" Target="5%20-%20RYSUNKI/2011-903-PRT-A0072937-A-Mocowanie%20zderzak&#243;w.STEP" TargetMode="External"/><Relationship Id="rId296" Type="http://schemas.openxmlformats.org/officeDocument/2006/relationships/hyperlink" Target="5%20-%20RYSUNKI/2011-400-PRT-A0068864-A-Mocowanie%20w&#243;zk&#243;w.PDF" TargetMode="External"/><Relationship Id="rId517" Type="http://schemas.openxmlformats.org/officeDocument/2006/relationships/hyperlink" Target="5%20-%20RYSUNKI/2011-600-PRT-A0070112-A-Adapter%20&#322;&#261;cznika.STEP" TargetMode="External"/><Relationship Id="rId724" Type="http://schemas.openxmlformats.org/officeDocument/2006/relationships/hyperlink" Target="5%20-%20RYSUNKI/2011-901-PRT-A0068945-A-Tuleja%20popychacza.STEP" TargetMode="External"/><Relationship Id="rId931" Type="http://schemas.openxmlformats.org/officeDocument/2006/relationships/hyperlink" Target="5%20-%20RYSUNKI\2011-903-PRT-A0072927-A-Chwytak%20beczki.PDF" TargetMode="External"/><Relationship Id="rId60" Type="http://schemas.openxmlformats.org/officeDocument/2006/relationships/hyperlink" Target="5%20-%20RYSUNKI/2011-400-PRT-A0068854-A-Nakr&#281;tka.STEP" TargetMode="External"/><Relationship Id="rId156" Type="http://schemas.openxmlformats.org/officeDocument/2006/relationships/hyperlink" Target="5%20-%20RYSUNKI/2011-200-PRT-A0070317-A-Gniazdo%20RH%20cz1.STEP" TargetMode="External"/><Relationship Id="rId363" Type="http://schemas.openxmlformats.org/officeDocument/2006/relationships/hyperlink" Target="5%20-%20RYSUNKI/2011-400-PRT-A0068769-A-Kostka%20czujnika.DXF" TargetMode="External"/><Relationship Id="rId570" Type="http://schemas.openxmlformats.org/officeDocument/2006/relationships/hyperlink" Target="5%20-%20RYSUNKI/2011-600-PRT-A0070546-A-Tuleja%20bazuj&#261;ca.DXF" TargetMode="External"/><Relationship Id="rId1007" Type="http://schemas.openxmlformats.org/officeDocument/2006/relationships/hyperlink" Target="5%20-%20RYSUNKI/2011-903-PRT-A0072975-A-Mocowanie%20prowadnika.DXF" TargetMode="External"/><Relationship Id="rId223" Type="http://schemas.openxmlformats.org/officeDocument/2006/relationships/hyperlink" Target="5%20-%20RYSUNKI/2011-200-PRT-A0069999-A-Kosteczka%20regulacyjna.PDF" TargetMode="External"/><Relationship Id="rId430" Type="http://schemas.openxmlformats.org/officeDocument/2006/relationships/hyperlink" Target="5%20-%20RYSUNKI/2011-200-PRT-A0071260-A-Mocowanie%20chwytaka.STEP" TargetMode="External"/><Relationship Id="rId668" Type="http://schemas.openxmlformats.org/officeDocument/2006/relationships/hyperlink" Target="5%20-%20RYSUNKI/2011-600-PRT-A0070125-A-Pokrywa%20&#322;o&#380;yska.PDF" TargetMode="External"/><Relationship Id="rId875" Type="http://schemas.openxmlformats.org/officeDocument/2006/relationships/hyperlink" Target="5%20-%20RYSUNKI/2011-903-PRT-A0072933-A-P&#322;yta.DXF" TargetMode="External"/><Relationship Id="rId1060" Type="http://schemas.openxmlformats.org/officeDocument/2006/relationships/hyperlink" Target="5%20-%20RYSUNKI\000.MAG.50%20-%20M5%20x%20L-C.PDF" TargetMode="External"/><Relationship Id="rId18" Type="http://schemas.openxmlformats.org/officeDocument/2006/relationships/hyperlink" Target="5%20-%20RYSUNKI/2011-400-PRT-A0068851-A-P&#322;yta%20dolna.STEP" TargetMode="External"/><Relationship Id="rId528" Type="http://schemas.openxmlformats.org/officeDocument/2006/relationships/hyperlink" Target="5%20-%20RYSUNKI/2011-600-PRT-A0070132-A-Wkr&#281;t%20dociskowy.DXF" TargetMode="External"/><Relationship Id="rId735" Type="http://schemas.openxmlformats.org/officeDocument/2006/relationships/hyperlink" Target="5%20-%20RYSUNKI/2011-901-PRT-A0068923-A-Popychacz.DXF" TargetMode="External"/><Relationship Id="rId942" Type="http://schemas.openxmlformats.org/officeDocument/2006/relationships/hyperlink" Target="5%20-%20RYSUNKI/2011-902-PRT-A0069979-A-Element%20sprz&#281;gaj&#261;cy.STEP" TargetMode="External"/><Relationship Id="rId167" Type="http://schemas.openxmlformats.org/officeDocument/2006/relationships/hyperlink" Target="5%20-%20RYSUNKI/2011-200-PRT-A0070378-A-P&#322;ytka%20adaptera.DXF" TargetMode="External"/><Relationship Id="rId374" Type="http://schemas.openxmlformats.org/officeDocument/2006/relationships/hyperlink" Target="5%20-%20RYSUNKI/2011-400-PRT-A0069181-A-Podpora%20sr&#281;&#380;yny%20prawa.PDF" TargetMode="External"/><Relationship Id="rId581" Type="http://schemas.openxmlformats.org/officeDocument/2006/relationships/hyperlink" Target="5%20-%20RYSUNKI/2011-600-PRT-A0071429-A-O&#347;.PDF" TargetMode="External"/><Relationship Id="rId1018" Type="http://schemas.openxmlformats.org/officeDocument/2006/relationships/hyperlink" Target="5%20-%20RYSUNKI\2011-990-PRT-A0072874-A-Mocowanie%20prowadnik&#243;w.PDF" TargetMode="External"/><Relationship Id="rId71" Type="http://schemas.openxmlformats.org/officeDocument/2006/relationships/hyperlink" Target="5%20-%20RYSUNKI/2011-400-PRT-A0068776-A-Mocowanie%20prowadnika.DXF" TargetMode="External"/><Relationship Id="rId234" Type="http://schemas.openxmlformats.org/officeDocument/2006/relationships/hyperlink" Target="5%20-%20RYSUNKI/2011-200-PRT-A0069930-A-Przed&#322;u&#380;ka%20podci&#347;nienia%201.STEP" TargetMode="External"/><Relationship Id="rId679" Type="http://schemas.openxmlformats.org/officeDocument/2006/relationships/hyperlink" Target="5%20-%20RYSUNKI/2011-600-PRT-A0070127-A-Pier&#347;cie&#324;%20dystansowy.STEP" TargetMode="External"/><Relationship Id="rId802" Type="http://schemas.openxmlformats.org/officeDocument/2006/relationships/hyperlink" Target="5%20-%20RYSUNKI\2011-904-PRT-A0070448-A-&#379;ebro.PDF" TargetMode="External"/><Relationship Id="rId886" Type="http://schemas.openxmlformats.org/officeDocument/2006/relationships/hyperlink" Target="5%20-%20RYSUNKI\2011-903-PRT-A0072920-A-Kostka%20zderzaka.PDF" TargetMode="External"/><Relationship Id="rId2" Type="http://schemas.openxmlformats.org/officeDocument/2006/relationships/hyperlink" Target="5%20-%20RYSUNKI/1704-01-PRT-A0065981-A-Os&#322;ona%203.DXF" TargetMode="External"/><Relationship Id="rId29" Type="http://schemas.openxmlformats.org/officeDocument/2006/relationships/hyperlink" Target="5%20-%20RYSUNKI/2011-400-PRT-A0068852-A-Tulejka%20.DXF" TargetMode="External"/><Relationship Id="rId441" Type="http://schemas.openxmlformats.org/officeDocument/2006/relationships/hyperlink" Target="5%20-%20RYSUNKI/2011-200-PRT-A0070662-A-P&#322;yta%20montazowa.DXF" TargetMode="External"/><Relationship Id="rId539" Type="http://schemas.openxmlformats.org/officeDocument/2006/relationships/hyperlink" Target="5%20-%20RYSUNKI/2011-600-PRT-A0070498-A-Mocowanie%20podpory%20przedniej.PDF" TargetMode="External"/><Relationship Id="rId746" Type="http://schemas.openxmlformats.org/officeDocument/2006/relationships/hyperlink" Target="5%20-%20RYSUNKI/2011-992-PRT-A0073447-Lustro-B-Gniazdo%20D&#378;wigni%20eCrafter%20Przesuwny%20RH.STEP" TargetMode="External"/><Relationship Id="rId1071" Type="http://schemas.openxmlformats.org/officeDocument/2006/relationships/hyperlink" Target="5%20-%20RYSUNKI/000.MAG.90.06-B.STEP" TargetMode="External"/><Relationship Id="rId178" Type="http://schemas.openxmlformats.org/officeDocument/2006/relationships/hyperlink" Target="5%20-%20RYSUNKI/2011-200-PRT-A0069970-A-P&#322;yta%20pod%20gniazdami.PDF" TargetMode="External"/><Relationship Id="rId301" Type="http://schemas.openxmlformats.org/officeDocument/2006/relationships/hyperlink" Target="5%20-%20RYSUNKI/2011-400-PRT-A0068871-A-Oprawa%20d&#378;wigni%20prawa.STEP" TargetMode="External"/><Relationship Id="rId953" Type="http://schemas.openxmlformats.org/officeDocument/2006/relationships/hyperlink" Target="5%20-%20RYSUNKI/2011-990-PRT-A0072865-A-Kostka%20podporowa.DXF" TargetMode="External"/><Relationship Id="rId1029" Type="http://schemas.openxmlformats.org/officeDocument/2006/relationships/hyperlink" Target="5%20-%20RYSUNKI/2011-990-PRT-A0072867-A-Mocowanie.STEP" TargetMode="External"/><Relationship Id="rId82" Type="http://schemas.openxmlformats.org/officeDocument/2006/relationships/hyperlink" Target="5%20-%20RYSUNKI/2011-400-PRT-A0068784-A-P&#322;ytka%20dolna.PDF" TargetMode="External"/><Relationship Id="rId385" Type="http://schemas.openxmlformats.org/officeDocument/2006/relationships/hyperlink" Target="5%20-%20RYSUNKI/2011-400-PRT-A0068801-A-Podpora%20&#347;rodkowa%202.STEP" TargetMode="External"/><Relationship Id="rId592" Type="http://schemas.openxmlformats.org/officeDocument/2006/relationships/hyperlink" Target="5%20-%20RYSUNKI/2011-600-PRT-A0071433-A-P&#322;ytka%20&#322;&#261;cz&#261;ca.STEP" TargetMode="External"/><Relationship Id="rId606" Type="http://schemas.openxmlformats.org/officeDocument/2006/relationships/hyperlink" Target="5%20-%20RYSUNKI/2011-600-PRT-A0071410-A-P&#322;ytka%20si&#322;ownika.DXF" TargetMode="External"/><Relationship Id="rId813" Type="http://schemas.openxmlformats.org/officeDocument/2006/relationships/hyperlink" Target="5%20-%20RYSUNKI/2011-900-PRT-A0070031-A-P&#322;yta%20narz&#281;dzia.STEP" TargetMode="External"/><Relationship Id="rId245" Type="http://schemas.openxmlformats.org/officeDocument/2006/relationships/hyperlink" Target="5%20-%20RYSUNKI/2011-200-PRT-A0069919-A-Kostka%20zderzaka.DXF" TargetMode="External"/><Relationship Id="rId452" Type="http://schemas.openxmlformats.org/officeDocument/2006/relationships/hyperlink" Target="5%20-%20RYSUNKI/2011-200-PRT-A0070607-A-P&#322;yta%20monra&#380;owa.PDF" TargetMode="External"/><Relationship Id="rId897" Type="http://schemas.openxmlformats.org/officeDocument/2006/relationships/hyperlink" Target="5%20-%20RYSUNKI/2011-903-PRT-A0072917-A-Kostka%20czujnika.STEP" TargetMode="External"/><Relationship Id="rId1082" Type="http://schemas.openxmlformats.org/officeDocument/2006/relationships/hyperlink" Target="5%20-%20RYSUNKI/2011-600-PRT-A0073372-A-Obudowa%20Fluke%203-3.DXF" TargetMode="External"/><Relationship Id="rId105" Type="http://schemas.openxmlformats.org/officeDocument/2006/relationships/hyperlink" Target="5%20-%20RYSUNKI/2011-400-PRT-A0068862-A-P&#322;yta%20narz&#281;dzia.STEP" TargetMode="External"/><Relationship Id="rId312" Type="http://schemas.openxmlformats.org/officeDocument/2006/relationships/hyperlink" Target="5%20-%20RYSUNKI/2011-400-PRT-A0068811-A-P&#322;yta%20pionowa%20prz&#243;d.DXF" TargetMode="External"/><Relationship Id="rId757" Type="http://schemas.openxmlformats.org/officeDocument/2006/relationships/hyperlink" Target="5%20-%20RYSUNKI/2011-992-PRT-A0073441-Lustro-A-Gniazdo%20D&#378;wigni%20eCrafter%20Przesuwny%20RH.STEP" TargetMode="External"/><Relationship Id="rId964" Type="http://schemas.openxmlformats.org/officeDocument/2006/relationships/hyperlink" Target="5%20-%20RYSUNKI\2011-902-PRT-A0069221-A-Dystans.PDF" TargetMode="External"/><Relationship Id="rId93" Type="http://schemas.openxmlformats.org/officeDocument/2006/relationships/hyperlink" Target="5%20-%20RYSUNKI/2011-400-PRT-A0068780-A-Mocowanie%20si&#322;ownika.STEP" TargetMode="External"/><Relationship Id="rId189" Type="http://schemas.openxmlformats.org/officeDocument/2006/relationships/hyperlink" Target="5%20-%20RYSUNKI/2011-200-PRT-A0069917-A-Zastrza&#322;%20osi%20Z.STEP" TargetMode="External"/><Relationship Id="rId396" Type="http://schemas.openxmlformats.org/officeDocument/2006/relationships/hyperlink" Target="5%20-%20RYSUNKI/2011-400-PRT-A0068794-A-Gniazdo%204.DXF" TargetMode="External"/><Relationship Id="rId617" Type="http://schemas.openxmlformats.org/officeDocument/2006/relationships/hyperlink" Target="5%20-%20RYSUNKI/2011-600-PRT-A0070430-A-P&#322;yta%20g&#322;&#243;wna%20eCrafter%20Ty&#322;.PDF" TargetMode="External"/><Relationship Id="rId824" Type="http://schemas.openxmlformats.org/officeDocument/2006/relationships/hyperlink" Target="5%20-%20RYSUNKI/2011-901-PRT-A0068942-A-P&#322;yta%20dolna.DXF" TargetMode="External"/><Relationship Id="rId256" Type="http://schemas.openxmlformats.org/officeDocument/2006/relationships/hyperlink" Target="5%20-%20RYSUNKI\2011-200-PRT-A0069989-A-Podp&#243;rka.PDF" TargetMode="External"/><Relationship Id="rId463" Type="http://schemas.openxmlformats.org/officeDocument/2006/relationships/hyperlink" Target="5%20-%20RYSUNKI/2011-200-PRT-A0071187-A-Kostka%20pozycjonuj&#261;ca.STEP" TargetMode="External"/><Relationship Id="rId670" Type="http://schemas.openxmlformats.org/officeDocument/2006/relationships/hyperlink" Target="5%20-%20RYSUNKI/2011-600-PRT-A0070125-A-Pokrywa%20&#322;o&#380;yska.STEP" TargetMode="External"/><Relationship Id="rId1093" Type="http://schemas.openxmlformats.org/officeDocument/2006/relationships/hyperlink" Target="5%20-%20RYSUNKI/2011-600-PRT-A0073479-A-K&#261;townik%20mocuj&#261;cy.DXF" TargetMode="External"/><Relationship Id="rId1107" Type="http://schemas.openxmlformats.org/officeDocument/2006/relationships/hyperlink" Target="5%20-%20RYSUNKI\2011-600-PRT-A0073466-A-Os&#322;ona%20prawa.PDF" TargetMode="External"/><Relationship Id="rId116" Type="http://schemas.openxmlformats.org/officeDocument/2006/relationships/hyperlink" Target="5%20-%20RYSUNKI/2011-800-PRT-A0069838-A-Uchwyt%20czujnika.DXF" TargetMode="External"/><Relationship Id="rId323" Type="http://schemas.openxmlformats.org/officeDocument/2006/relationships/hyperlink" Target="5%20-%20RYSUNKI/2011-400-PRT-A0071721-A-Gniazdo%20spr&#281;&#380;yny%20prawej.PDF" TargetMode="External"/><Relationship Id="rId530" Type="http://schemas.openxmlformats.org/officeDocument/2006/relationships/hyperlink" Target="5%20-%20RYSUNKI/2011-600-PRT-A0070109-A-Wspornik%20ruchomy%20prowadnika.PDF" TargetMode="External"/><Relationship Id="rId768" Type="http://schemas.openxmlformats.org/officeDocument/2006/relationships/hyperlink" Target="5%20-%20RYSUNKI/2011-990-PRT-A0072879-A-Os&#322;ona.STEP" TargetMode="External"/><Relationship Id="rId975" Type="http://schemas.openxmlformats.org/officeDocument/2006/relationships/hyperlink" Target="5%20-%20RYSUNKI/2011-901-PRT-A0068944-A-Element%20sprz&#281;gaj&#261;cy.STEP" TargetMode="External"/><Relationship Id="rId20" Type="http://schemas.openxmlformats.org/officeDocument/2006/relationships/hyperlink" Target="5%20-%20RYSUNKI/2011-400-PRT-A0068849-A-Mocowanie%20si&#322;ownika%201.DXF" TargetMode="External"/><Relationship Id="rId628" Type="http://schemas.openxmlformats.org/officeDocument/2006/relationships/hyperlink" Target="5%20-%20RYSUNKI/2011-600-PRT-A0070098-A-Kostka%20elektryczna.STEP" TargetMode="External"/><Relationship Id="rId835" Type="http://schemas.openxmlformats.org/officeDocument/2006/relationships/hyperlink" Target="5%20-%20RYSUNKI\2011-902-PRT-A0069223-A-Obracak.PDF" TargetMode="External"/><Relationship Id="rId267" Type="http://schemas.openxmlformats.org/officeDocument/2006/relationships/hyperlink" Target="5%20-%20RYSUNKI/2011-200-PRT-A0070407-A-Os&#322;onka%20boczna.STEP" TargetMode="External"/><Relationship Id="rId474" Type="http://schemas.openxmlformats.org/officeDocument/2006/relationships/hyperlink" Target="5%20-%20RYSUNKI/2011-200-PRT-A0070614-A-Support%20uchwytu.DXF" TargetMode="External"/><Relationship Id="rId1020" Type="http://schemas.openxmlformats.org/officeDocument/2006/relationships/hyperlink" Target="5%20-%20RYSUNKI/2011-990-PRT-A0072874-A-Mocowanie%20prowadnik&#243;w.STEP" TargetMode="External"/><Relationship Id="rId1118" Type="http://schemas.openxmlformats.org/officeDocument/2006/relationships/hyperlink" Target="5%20-%20RYSUNKI/2011-600-PRT-A0073401-A-Mocowanie%20magnesu.STEP" TargetMode="External"/><Relationship Id="rId127" Type="http://schemas.openxmlformats.org/officeDocument/2006/relationships/hyperlink" Target="5%20-%20RYSUNKI/000.MAG.22.M6H-A.PDF" TargetMode="External"/><Relationship Id="rId681" Type="http://schemas.openxmlformats.org/officeDocument/2006/relationships/hyperlink" Target="5%20-%20RYSUNKI/2011--PRT-A0073184-B-Uchwyt%20si&#322;ownika.DXF" TargetMode="External"/><Relationship Id="rId737" Type="http://schemas.openxmlformats.org/officeDocument/2006/relationships/hyperlink" Target="5%20-%20RYSUNKI\2011-903-PRT-A0072921-A-O&#347;%20obrotu.PDF" TargetMode="External"/><Relationship Id="rId779" Type="http://schemas.openxmlformats.org/officeDocument/2006/relationships/hyperlink" Target="5%20-%20RYSUNKI/2011-903-PRT-A0072923-A-Dystans%20si&#322;ownika.DXF" TargetMode="External"/><Relationship Id="rId902" Type="http://schemas.openxmlformats.org/officeDocument/2006/relationships/hyperlink" Target="5%20-%20RYSUNKI/2011-990-PRT-A0072872-A-Wspornik%20blokady.DXF" TargetMode="External"/><Relationship Id="rId944" Type="http://schemas.openxmlformats.org/officeDocument/2006/relationships/hyperlink" Target="5%20-%20RYSUNKI/2011-901-PRT-A0068943-A-Element%20sprz&#281;gaj&#261;cy.DXF" TargetMode="External"/><Relationship Id="rId986" Type="http://schemas.openxmlformats.org/officeDocument/2006/relationships/hyperlink" Target="5%20-%20RYSUNKI/2011-992-PRT-A0073443-Lustro-A-Gniazdo%20D&#378;wigni%20eCrafter%20Przesuwny%20RH.STEP" TargetMode="External"/><Relationship Id="rId31" Type="http://schemas.openxmlformats.org/officeDocument/2006/relationships/hyperlink" Target="5%20-%20RYSUNKI/2011-400-PRT-A0068850-A-Uchwyt%20sprz&#281;g&#322;a.PDF" TargetMode="External"/><Relationship Id="rId73" Type="http://schemas.openxmlformats.org/officeDocument/2006/relationships/hyperlink" Target="5%20-%20RYSUNKI/2011-400-PRT-A0068787-A-Wa&#322;ek%20docisku.PDF" TargetMode="External"/><Relationship Id="rId169" Type="http://schemas.openxmlformats.org/officeDocument/2006/relationships/hyperlink" Target="5%20-%20RYSUNKI/2011-200-PRT-A0070366-A-P&#322;ytka%20podstawowa%20podmonta&#380;u%20blaszek.PDF" TargetMode="External"/><Relationship Id="rId334" Type="http://schemas.openxmlformats.org/officeDocument/2006/relationships/hyperlink" Target="5%20-%20RYSUNKI/2011-400-PRT-A0068774-A-D&#378;wignia%20lewa.STEP" TargetMode="External"/><Relationship Id="rId376" Type="http://schemas.openxmlformats.org/officeDocument/2006/relationships/hyperlink" Target="5%20-%20RYSUNKI/2011-400-PRT-A0069181-A-Podpora%20sr&#281;&#380;yny%20prawa.STEP" TargetMode="External"/><Relationship Id="rId541" Type="http://schemas.openxmlformats.org/officeDocument/2006/relationships/hyperlink" Target="5%20-%20RYSUNKI/2011-600-PRT-A0070498-A-Mocowanie%20podpory%20przedniej.STEP" TargetMode="External"/><Relationship Id="rId583" Type="http://schemas.openxmlformats.org/officeDocument/2006/relationships/hyperlink" Target="5%20-%20RYSUNKI/2011-600-PRT-A0071429-A-O&#347;.STEP" TargetMode="External"/><Relationship Id="rId639" Type="http://schemas.openxmlformats.org/officeDocument/2006/relationships/hyperlink" Target="5%20-%20RYSUNKI/2011-600-PRT-A0071261-A-Podpora%20TL.DXF" TargetMode="External"/><Relationship Id="rId790" Type="http://schemas.openxmlformats.org/officeDocument/2006/relationships/hyperlink" Target="5%20-%20RYSUNKI\2011-990-PRT-A0072852-A-P&#322;yta.PDF" TargetMode="External"/><Relationship Id="rId804" Type="http://schemas.openxmlformats.org/officeDocument/2006/relationships/hyperlink" Target="5%20-%20RYSUNKI/2011-904-PRT-A0070448-A-&#379;ebro.STEP" TargetMode="External"/><Relationship Id="rId4" Type="http://schemas.openxmlformats.org/officeDocument/2006/relationships/hyperlink" Target="5%20-%20RYSUNKI/1927-000-PRT-A0062094-A-P&#322;ytka%20&#322;&#261;cz&#261;ca.PDF" TargetMode="External"/><Relationship Id="rId180" Type="http://schemas.openxmlformats.org/officeDocument/2006/relationships/hyperlink" Target="5%20-%20RYSUNKI/2011-200-PRT-A0069970-A-P&#322;yta%20pod%20gniazdami.STEP" TargetMode="External"/><Relationship Id="rId236" Type="http://schemas.openxmlformats.org/officeDocument/2006/relationships/hyperlink" Target="5%20-%20RYSUNKI/2011-200-PRT-A0069924-A-Kosteczka%20oporowa.DXF" TargetMode="External"/><Relationship Id="rId278" Type="http://schemas.openxmlformats.org/officeDocument/2006/relationships/hyperlink" Target="5%20-%20RYSUNKI/2011-200-PRT-A0069932-A-Tulejka%20dystansowa.PDF" TargetMode="External"/><Relationship Id="rId401" Type="http://schemas.openxmlformats.org/officeDocument/2006/relationships/hyperlink" Target="5%20-%20RYSUNKI/2011-400-PRT-A0068790-A-Gniazdo%205.PDF" TargetMode="External"/><Relationship Id="rId443" Type="http://schemas.openxmlformats.org/officeDocument/2006/relationships/hyperlink" Target="5%20-%20RYSUNKI/2011-200-PRT-A0070658-A-P&#322;yta%20monta&#380;owa.PDF" TargetMode="External"/><Relationship Id="rId650" Type="http://schemas.openxmlformats.org/officeDocument/2006/relationships/hyperlink" Target="5%20-%20RYSUNKI/2011-600-PRT-A0071262-A-Podpora%20PL.PDF" TargetMode="External"/><Relationship Id="rId846" Type="http://schemas.openxmlformats.org/officeDocument/2006/relationships/hyperlink" Target="5%20-%20RYSUNKI/2011-903-PRT-A0072944-A-&#379;ebro.STEP" TargetMode="External"/><Relationship Id="rId888" Type="http://schemas.openxmlformats.org/officeDocument/2006/relationships/hyperlink" Target="5%20-%20RYSUNKI/2011-903-PRT-A0072920-A-Kostka%20zderzaka.STEP" TargetMode="External"/><Relationship Id="rId1031" Type="http://schemas.openxmlformats.org/officeDocument/2006/relationships/hyperlink" Target="5%20-%20RYSUNKI/2011-902-PRT-A0072718-A-Mocowanie.DXF" TargetMode="External"/><Relationship Id="rId1073" Type="http://schemas.openxmlformats.org/officeDocument/2006/relationships/hyperlink" Target="5%20-%20RYSUNKI/000.MAG.50%20-%20M5-A.DXF" TargetMode="External"/><Relationship Id="rId1129" Type="http://schemas.openxmlformats.org/officeDocument/2006/relationships/drawing" Target="../drawings/drawing1.xml"/><Relationship Id="rId303" Type="http://schemas.openxmlformats.org/officeDocument/2006/relationships/hyperlink" Target="5%20-%20RYSUNKI/2011-400-PRT-A0069230-A-Gniazdo%2010.DXF" TargetMode="External"/><Relationship Id="rId485" Type="http://schemas.openxmlformats.org/officeDocument/2006/relationships/hyperlink" Target="5%20-%20RYSUNKI/2011-200-PRT-A0070628-A-Wa&#322;ek%20docisku.PDF" TargetMode="External"/><Relationship Id="rId692" Type="http://schemas.openxmlformats.org/officeDocument/2006/relationships/hyperlink" Target="5%20-%20RYSUNKI/2011-600-PRT-A0070120-A-Odwa&#380;nik%20prz&#243;d.PDF" TargetMode="External"/><Relationship Id="rId706" Type="http://schemas.openxmlformats.org/officeDocument/2006/relationships/hyperlink" Target="5%20-%20RYSUNKI/2011-600-PRT-A0070575-A-Rami&#281;%20ty&#322;.STEP" TargetMode="External"/><Relationship Id="rId748" Type="http://schemas.openxmlformats.org/officeDocument/2006/relationships/hyperlink" Target="5%20-%20RYSUNKI/2011-992-PRT-A0073446-A-Gniazdo%20D&#378;wigni%20eCrafter%20Przesuwny%20LH.DXF" TargetMode="External"/><Relationship Id="rId913" Type="http://schemas.openxmlformats.org/officeDocument/2006/relationships/hyperlink" Target="5%20-%20RYSUNKI\2011-904-PRT-A0071252-A-Mocowanie.PDF" TargetMode="External"/><Relationship Id="rId955" Type="http://schemas.openxmlformats.org/officeDocument/2006/relationships/hyperlink" Target="5%20-%20RYSUNKI\2011-990-PRT-A0072861-B-Kostka%20podporowa.PDF" TargetMode="External"/><Relationship Id="rId42" Type="http://schemas.openxmlformats.org/officeDocument/2006/relationships/hyperlink" Target="5%20-%20RYSUNKI/2011-400-PRT-A0068842-A-Mocowanie%20wypychacza.STEP" TargetMode="External"/><Relationship Id="rId84" Type="http://schemas.openxmlformats.org/officeDocument/2006/relationships/hyperlink" Target="5%20-%20RYSUNKI/2011-400-PRT-A0068784-A-P&#322;ytka%20dolna.STEP" TargetMode="External"/><Relationship Id="rId138" Type="http://schemas.openxmlformats.org/officeDocument/2006/relationships/hyperlink" Target="5%20-%20RYSUNKI/2011-200-PRT-A0069927-A-Blaszka%20prowadnika%20poziomego%20sta&#322;a.STEP" TargetMode="External"/><Relationship Id="rId345" Type="http://schemas.openxmlformats.org/officeDocument/2006/relationships/hyperlink" Target="5%20-%20RYSUNKI/2011-400-PRT-A0068813-A-Zderzak.DXF" TargetMode="External"/><Relationship Id="rId387" Type="http://schemas.openxmlformats.org/officeDocument/2006/relationships/hyperlink" Target="5%20-%20RYSUNKI/2011-400-PRT-A0068799-A-Gniazdo%201.DXF" TargetMode="External"/><Relationship Id="rId510" Type="http://schemas.openxmlformats.org/officeDocument/2006/relationships/hyperlink" Target="5%20-%20RYSUNKI/2011-600-PRT-A0070112-A-Adapter%20&#322;&#261;cznika.DXF" TargetMode="External"/><Relationship Id="rId552" Type="http://schemas.openxmlformats.org/officeDocument/2006/relationships/hyperlink" Target="5%20-%20RYSUNKI/2011-600-PRT-A0070107-A-P&#322;yta%20g&#322;&#243;wna.DXF" TargetMode="External"/><Relationship Id="rId594" Type="http://schemas.openxmlformats.org/officeDocument/2006/relationships/hyperlink" Target="5%20-%20RYSUNKI/2011-600-PRT-A0071423-A-P&#322;ytka%20po&#347;rednia.DXF" TargetMode="External"/><Relationship Id="rId608" Type="http://schemas.openxmlformats.org/officeDocument/2006/relationships/hyperlink" Target="5%20-%20RYSUNKI/2011-600-PRT-A0071412-A-Rami&#281;%20ma&#322;e.PDF" TargetMode="External"/><Relationship Id="rId815" Type="http://schemas.openxmlformats.org/officeDocument/2006/relationships/hyperlink" Target="5%20-%20RYSUNKI/2011-902-PRT-A0069228-A-Mocowanie%20szyny.DXF" TargetMode="External"/><Relationship Id="rId997" Type="http://schemas.openxmlformats.org/officeDocument/2006/relationships/hyperlink" Target="5%20-%20RYSUNKI\2011-903-PRT-A0072924-A-Blokada%20spr&#281;&#380;ynki.PDF" TargetMode="External"/><Relationship Id="rId191" Type="http://schemas.openxmlformats.org/officeDocument/2006/relationships/hyperlink" Target="5%20-%20RYSUNKI/2011-200-PRT-A0069916-A-Mocowanie%20sprz&#281;g&#322;a%20o&#347;%20Z.DXF" TargetMode="External"/><Relationship Id="rId205" Type="http://schemas.openxmlformats.org/officeDocument/2006/relationships/hyperlink" Target="5%20-%20RYSUNKI/2011-200-PRT-A0070388-A-Wspornik%20si&#322;ownika.PDF" TargetMode="External"/><Relationship Id="rId247" Type="http://schemas.openxmlformats.org/officeDocument/2006/relationships/hyperlink" Target="5%20-%20RYSUNKI/2011-200-PRT-A0070349-A-Gniazdko%20blaszek.PDF" TargetMode="External"/><Relationship Id="rId412" Type="http://schemas.openxmlformats.org/officeDocument/2006/relationships/hyperlink" Target="5%20-%20RYSUNKI/2011-200-PRT-A0071269-A-Kostka%20si&#322;ownika.STEP" TargetMode="External"/><Relationship Id="rId857" Type="http://schemas.openxmlformats.org/officeDocument/2006/relationships/hyperlink" Target="5%20-%20RYSUNKI/2011-903-PRT-A0072939-A-Podpora.DXF" TargetMode="External"/><Relationship Id="rId899" Type="http://schemas.openxmlformats.org/officeDocument/2006/relationships/hyperlink" Target="5%20-%20RYSUNKI/2011-990-PRT-A0072873-A-Wspornik%20blokady.DXF" TargetMode="External"/><Relationship Id="rId1000" Type="http://schemas.openxmlformats.org/officeDocument/2006/relationships/hyperlink" Target="5%20-%20RYSUNKI\2011-903-PRT-A0072913-A-Gniazdo%20ko&#322;eczka.PDF" TargetMode="External"/><Relationship Id="rId1042" Type="http://schemas.openxmlformats.org/officeDocument/2006/relationships/hyperlink" Target="5%20-%20RYSUNKI\2011-902-PRT-A0070603-A-Pier&#347;cie&#324;.PDF" TargetMode="External"/><Relationship Id="rId1084" Type="http://schemas.openxmlformats.org/officeDocument/2006/relationships/hyperlink" Target="5%20-%20RYSUNKI\2011-600-PRT-A0073371-A-Obudowa%20Fluke%201-3.PDF" TargetMode="External"/><Relationship Id="rId107" Type="http://schemas.openxmlformats.org/officeDocument/2006/relationships/hyperlink" Target="5%20-%20RYSUNKI/2011-400-PRT-A0068861-A-P&#322;ytka%20naro&#380;na.DXF" TargetMode="External"/><Relationship Id="rId289" Type="http://schemas.openxmlformats.org/officeDocument/2006/relationships/hyperlink" Target="5%20-%20RYSUNKI/2011-400-PRT-A0069265-A-Uchwyt%20czujnika%202.STEP" TargetMode="External"/><Relationship Id="rId454" Type="http://schemas.openxmlformats.org/officeDocument/2006/relationships/hyperlink" Target="5%20-%20RYSUNKI/2011-200-PRT-A0070607-A-P&#322;yta%20monra&#380;owa.STEP" TargetMode="External"/><Relationship Id="rId496" Type="http://schemas.openxmlformats.org/officeDocument/2006/relationships/hyperlink" Target="5%20-%20RYSUNKI/2011-200-PRT-A0070612-A-Support%20uchwytu.STEP" TargetMode="External"/><Relationship Id="rId661" Type="http://schemas.openxmlformats.org/officeDocument/2006/relationships/hyperlink" Target="5%20-%20RYSUNKI/2011-600-PRT-A0070548-A-&#346;ciana%20lewa.STEP" TargetMode="External"/><Relationship Id="rId717" Type="http://schemas.openxmlformats.org/officeDocument/2006/relationships/hyperlink" Target="5%20-%20RYSUNKI/2011-904-PRT-A0070449-A-Wa&#322;ek%20docisku.DXF" TargetMode="External"/><Relationship Id="rId759" Type="http://schemas.openxmlformats.org/officeDocument/2006/relationships/hyperlink" Target="5%20-%20RYSUNKI/2011-992-PRT-A0073440-A-Gniazdo%20D&#378;wigni%20eCrafter%20Przesuwny%20LH.DXF" TargetMode="External"/><Relationship Id="rId924" Type="http://schemas.openxmlformats.org/officeDocument/2006/relationships/hyperlink" Target="5%20-%20RYSUNKI/2011-901-PRT-A0068946-A-P&#322;yta%20po&#347;rednia.STEP" TargetMode="External"/><Relationship Id="rId966" Type="http://schemas.openxmlformats.org/officeDocument/2006/relationships/hyperlink" Target="5%20-%20RYSUNKI/2011-902-PRT-A0069221-A-Dystans.STEP" TargetMode="External"/><Relationship Id="rId11" Type="http://schemas.openxmlformats.org/officeDocument/2006/relationships/hyperlink" Target="5%20-%20RYSUNKI/1704-01-PRT-A0065972-A-Os&#322;ona.DXF" TargetMode="External"/><Relationship Id="rId53" Type="http://schemas.openxmlformats.org/officeDocument/2006/relationships/hyperlink" Target="5%20-%20RYSUNKI/2011-400-PRT-A0068856-A-Tuleja%20ko&#324;cowa.DXF" TargetMode="External"/><Relationship Id="rId149" Type="http://schemas.openxmlformats.org/officeDocument/2006/relationships/hyperlink" Target="5%20-%20RYSUNKI/2011-200-PRT-A0069922-A-Blacha%20amortyzator&#243;w.DXF" TargetMode="External"/><Relationship Id="rId314" Type="http://schemas.openxmlformats.org/officeDocument/2006/relationships/hyperlink" Target="5%20-%20RYSUNKI/2011-400-PRT-A0068810-A-P&#322;yta%20pionowa%20ty&#322;.PDF" TargetMode="External"/><Relationship Id="rId356" Type="http://schemas.openxmlformats.org/officeDocument/2006/relationships/hyperlink" Target="5%20-%20RYSUNKI/2011-400-PRT-A0068771-A-Zaczep.PDF" TargetMode="External"/><Relationship Id="rId398" Type="http://schemas.openxmlformats.org/officeDocument/2006/relationships/hyperlink" Target="5%20-%20RYSUNKI/2011-400-PRT-A0068791-A-Podpora%20&#347;rodkowa%203.PDF" TargetMode="External"/><Relationship Id="rId521" Type="http://schemas.openxmlformats.org/officeDocument/2006/relationships/hyperlink" Target="5%20-%20RYSUNKI/2011-600-PRT-A0070115-A-P&#322;yta%20pionowa%20supportu.PDF" TargetMode="External"/><Relationship Id="rId563" Type="http://schemas.openxmlformats.org/officeDocument/2006/relationships/hyperlink" Target="5%20-%20RYSUNKI/2011-600-PRT-A0070499-A-Podpora%20przednia%202.PDF" TargetMode="External"/><Relationship Id="rId619" Type="http://schemas.openxmlformats.org/officeDocument/2006/relationships/hyperlink" Target="5%20-%20RYSUNKI/2011-600-PRT-A0070430-A-P&#322;yta%20g&#322;&#243;wna%20eCrafter%20Ty&#322;.STEP" TargetMode="External"/><Relationship Id="rId770" Type="http://schemas.openxmlformats.org/officeDocument/2006/relationships/hyperlink" Target="5%20-%20RYSUNKI/2011-990-PRT-A0072860-A-P&#322;yta%20narz&#281;dzia%20ruchomego.DXF" TargetMode="External"/><Relationship Id="rId95" Type="http://schemas.openxmlformats.org/officeDocument/2006/relationships/hyperlink" Target="5%20-%20RYSUNKI/2011-400-PRT-A0068779-A-Mocowanie%20sprz&#281;g&#322;a.DXF" TargetMode="External"/><Relationship Id="rId160" Type="http://schemas.openxmlformats.org/officeDocument/2006/relationships/hyperlink" Target="5%20-%20RYSUNKI/2011-200-PRT-A0069975-A-Gniazdo%20LH%20cz1.PDF" TargetMode="External"/><Relationship Id="rId216" Type="http://schemas.openxmlformats.org/officeDocument/2006/relationships/hyperlink" Target="5%20-%20RYSUNKI/2011-200-PRT-A0070368-A-Klin.STEP" TargetMode="External"/><Relationship Id="rId423" Type="http://schemas.openxmlformats.org/officeDocument/2006/relationships/hyperlink" Target="5%20-%20RYSUNKI/2011-200-PRT-A0072089-B-Kostka%20czujnika.DXF" TargetMode="External"/><Relationship Id="rId826" Type="http://schemas.openxmlformats.org/officeDocument/2006/relationships/hyperlink" Target="5%20-%20RYSUNKI\2011-901-PRT-A0068940-A-P&#322;ytka%20mocowania%20si&#322;ownika.PDF" TargetMode="External"/><Relationship Id="rId868" Type="http://schemas.openxmlformats.org/officeDocument/2006/relationships/hyperlink" Target="5%20-%20RYSUNKI\2011-903-PRT-A0072935-A-P&#322;yta.PDF" TargetMode="External"/><Relationship Id="rId1011" Type="http://schemas.openxmlformats.org/officeDocument/2006/relationships/hyperlink" Target="5%20-%20RYSUNKI/2011-903-PRT-A0072946-B-Os&#322;ona.STEP" TargetMode="External"/><Relationship Id="rId1053" Type="http://schemas.openxmlformats.org/officeDocument/2006/relationships/hyperlink" Target="5%20-%20RYSUNKI/2011-904-PRT-A0070438-A-Oprawa%20&#322;o&#380;ysk.STEP" TargetMode="External"/><Relationship Id="rId1109" Type="http://schemas.openxmlformats.org/officeDocument/2006/relationships/hyperlink" Target="5%20-%20RYSUNKI/2011-600-PRT-A0073466-A-Os&#322;ona%20prawa.STEP" TargetMode="External"/><Relationship Id="rId258" Type="http://schemas.openxmlformats.org/officeDocument/2006/relationships/hyperlink" Target="5%20-%20RYSUNKI/2011-200-PRT-A0069989-A-Podp&#243;rka.STEP" TargetMode="External"/><Relationship Id="rId465" Type="http://schemas.openxmlformats.org/officeDocument/2006/relationships/hyperlink" Target="5%20-%20RYSUNKI/2011-200-PRT-A0071168-A-Prowadnica.DXF" TargetMode="External"/><Relationship Id="rId630" Type="http://schemas.openxmlformats.org/officeDocument/2006/relationships/hyperlink" Target="5%20-%20RYSUNKI/2011-600-PRT-A0071455-A-Blokada%20L.DXF" TargetMode="External"/><Relationship Id="rId672" Type="http://schemas.openxmlformats.org/officeDocument/2006/relationships/hyperlink" Target="5%20-%20RYSUNKI/2011-600-PRT-A0070123-A-Pokrywka.DXF" TargetMode="External"/><Relationship Id="rId728" Type="http://schemas.openxmlformats.org/officeDocument/2006/relationships/hyperlink" Target="5%20-%20RYSUNKI\2011-901-PRT-A0068930-A-Pozycjoner.PDF" TargetMode="External"/><Relationship Id="rId935" Type="http://schemas.openxmlformats.org/officeDocument/2006/relationships/hyperlink" Target="5%20-%20RYSUNKI/2011-903-PRT-A0072926-A-Gniazdo.DXF" TargetMode="External"/><Relationship Id="rId1095" Type="http://schemas.openxmlformats.org/officeDocument/2006/relationships/hyperlink" Target="5%20-%20RYSUNKI\2011-600-PRT-A0073380-A-Os&#322;ona%20tylna.PDF" TargetMode="External"/><Relationship Id="rId22" Type="http://schemas.openxmlformats.org/officeDocument/2006/relationships/hyperlink" Target="5%20-%20RYSUNKI/2011-400-PRT-A0068848-A-Mocowanie%20si&#322;ownika%202.PDF" TargetMode="External"/><Relationship Id="rId64" Type="http://schemas.openxmlformats.org/officeDocument/2006/relationships/hyperlink" Target="5%20-%20RYSUNKI/2011-400-PRT-A0068845-A-Blaszka%20boczna.PDF" TargetMode="External"/><Relationship Id="rId118" Type="http://schemas.openxmlformats.org/officeDocument/2006/relationships/hyperlink" Target="5%20-%20RYSUNKI/2011-300-PRT-A0070324-A-Uchwyt%20czujnika.PDF" TargetMode="External"/><Relationship Id="rId325" Type="http://schemas.openxmlformats.org/officeDocument/2006/relationships/hyperlink" Target="5%20-%20RYSUNKI/2011-400-PRT-A0071721-A-Gniazdo%20spr&#281;&#380;yny%20prawej.STEP" TargetMode="External"/><Relationship Id="rId367" Type="http://schemas.openxmlformats.org/officeDocument/2006/relationships/hyperlink" Target="5%20-%20RYSUNKI/2011-400-PRT-A0068768-A-Zderzak%20si&#322;ownika.STEP" TargetMode="External"/><Relationship Id="rId532" Type="http://schemas.openxmlformats.org/officeDocument/2006/relationships/hyperlink" Target="5%20-%20RYSUNKI/2011-600-PRT-A0070109-A-Wspornik%20ruchomy%20prowadnika.STEP" TargetMode="External"/><Relationship Id="rId574" Type="http://schemas.openxmlformats.org/officeDocument/2006/relationships/hyperlink" Target="5%20-%20RYSUNKI/2011-600-PRT-A0070105-A-Tuleja%20bazuj&#261;ca.STEP" TargetMode="External"/><Relationship Id="rId977" Type="http://schemas.openxmlformats.org/officeDocument/2006/relationships/hyperlink" Target="5%20-%20RYSUNKI/2011-901-PRT-A0068935-A-Gniazdo%20pina.DXF" TargetMode="External"/><Relationship Id="rId1120" Type="http://schemas.openxmlformats.org/officeDocument/2006/relationships/hyperlink" Target="5%20-%20RYSUNKI/2011-600-PRT-A0073379-A-Mocowanie%20uko&#347;ne.DXF" TargetMode="External"/><Relationship Id="rId171" Type="http://schemas.openxmlformats.org/officeDocument/2006/relationships/hyperlink" Target="5%20-%20RYSUNKI/2011-200-PRT-A0070366-A-P&#322;ytka%20podstawowa%20podmonta&#380;u%20blaszek.STEP" TargetMode="External"/><Relationship Id="rId227" Type="http://schemas.openxmlformats.org/officeDocument/2006/relationships/hyperlink" Target="5%20-%20RYSUNKI/2011-200-PRT-A0069937-A-Mocowanie%20&#347;ruby%20oporowej%20obrotu.DXF" TargetMode="External"/><Relationship Id="rId781" Type="http://schemas.openxmlformats.org/officeDocument/2006/relationships/hyperlink" Target="5%20-%20RYSUNKI\2011-990-PRT-A0072866-A-Mocowanie%20si&#322;ownika.PDF" TargetMode="External"/><Relationship Id="rId837" Type="http://schemas.openxmlformats.org/officeDocument/2006/relationships/hyperlink" Target="5%20-%20RYSUNKI/2011-902-PRT-A0069223-A-Obracak.STEP" TargetMode="External"/><Relationship Id="rId879" Type="http://schemas.openxmlformats.org/officeDocument/2006/relationships/hyperlink" Target="5%20-%20RYSUNKI/2011-903-PRT-A0072932-A-P&#322;yta.STEP" TargetMode="External"/><Relationship Id="rId1022" Type="http://schemas.openxmlformats.org/officeDocument/2006/relationships/hyperlink" Target="5%20-%20RYSUNKI/2011-990-PRT-A0072869-A-Wanienka%20na%20smar.DXF" TargetMode="External"/><Relationship Id="rId269" Type="http://schemas.openxmlformats.org/officeDocument/2006/relationships/hyperlink" Target="5%20-%20RYSUNKI/2011-200-PRT-A0070022-A-Uchwyt%20gniazda.PDF" TargetMode="External"/><Relationship Id="rId434" Type="http://schemas.openxmlformats.org/officeDocument/2006/relationships/hyperlink" Target="5%20-%20RYSUNKI/2011-200-PRT-A0070671-A-Mocowanie%20chwytaka.PDF" TargetMode="External"/><Relationship Id="rId476" Type="http://schemas.openxmlformats.org/officeDocument/2006/relationships/hyperlink" Target="5%20-%20RYSUNKI/2011-200-PRT-A0070434-A-G&#322;owica%20pobieraj&#261;ca%20detal.PDF" TargetMode="External"/><Relationship Id="rId641" Type="http://schemas.openxmlformats.org/officeDocument/2006/relationships/hyperlink" Target="5%20-%20RYSUNKI/2011-600-PRT-A0071267-A-Podpora%20PP.PDF" TargetMode="External"/><Relationship Id="rId683" Type="http://schemas.openxmlformats.org/officeDocument/2006/relationships/hyperlink" Target="5%20-%20RYSUNKI/2011--PRT-A0073197-B-Mocowanie%20si&#322;ownika.PDF" TargetMode="External"/><Relationship Id="rId739" Type="http://schemas.openxmlformats.org/officeDocument/2006/relationships/hyperlink" Target="5%20-%20RYSUNKI/2011-903-PRT-A0072921-A-O&#347;%20obrotu.STEP" TargetMode="External"/><Relationship Id="rId890" Type="http://schemas.openxmlformats.org/officeDocument/2006/relationships/hyperlink" Target="5%20-%20RYSUNKI/2011-903-PRT-A0072919-A-Ogranicznik%20szyny.DXF" TargetMode="External"/><Relationship Id="rId904" Type="http://schemas.openxmlformats.org/officeDocument/2006/relationships/hyperlink" Target="5%20-%20RYSUNKI\2011-990-PRT-A0072871-A-Mocowanie%20zderzaka.PDF" TargetMode="External"/><Relationship Id="rId1064" Type="http://schemas.openxmlformats.org/officeDocument/2006/relationships/hyperlink" Target="5%20-%20RYSUNKI/000.MAG.50%20-%20M6%20x30-H.DXF" TargetMode="External"/><Relationship Id="rId33" Type="http://schemas.openxmlformats.org/officeDocument/2006/relationships/hyperlink" Target="5%20-%20RYSUNKI/2011-400-PRT-A0068850-A-Uchwyt%20sprz&#281;g&#322;a.STEP" TargetMode="External"/><Relationship Id="rId129" Type="http://schemas.openxmlformats.org/officeDocument/2006/relationships/hyperlink" Target="5%20-%20RYSUNKI/000.MAG.22.M6H-A.STEP" TargetMode="External"/><Relationship Id="rId280" Type="http://schemas.openxmlformats.org/officeDocument/2006/relationships/hyperlink" Target="5%20-%20RYSUNKI/2011-200-PRT-A0069932-A-Tulejka%20dystansowa.STEP" TargetMode="External"/><Relationship Id="rId336" Type="http://schemas.openxmlformats.org/officeDocument/2006/relationships/hyperlink" Target="5%20-%20RYSUNKI/2011-400-PRT-A0068803-A-P&#322;yta%20g&#243;rna.DXF" TargetMode="External"/><Relationship Id="rId501" Type="http://schemas.openxmlformats.org/officeDocument/2006/relationships/hyperlink" Target="5%20-%20RYSUNKI/2011-600-PRT-A0070118-A-Zabezpieczenie%20szyny.DXF" TargetMode="External"/><Relationship Id="rId543" Type="http://schemas.openxmlformats.org/officeDocument/2006/relationships/hyperlink" Target="5%20-%20RYSUNKI/2011-600-PRT-A0070489-A-Mocowanie%20podpory%20&#347;rodkowej.DXF" TargetMode="External"/><Relationship Id="rId946" Type="http://schemas.openxmlformats.org/officeDocument/2006/relationships/hyperlink" Target="5%20-%20RYSUNKI\2011-903-PRT-A0072945-A-Zderzak.PDF" TargetMode="External"/><Relationship Id="rId988" Type="http://schemas.openxmlformats.org/officeDocument/2006/relationships/hyperlink" Target="5%20-%20RYSUNKI/2011-992-PRT-A0073442-A-Gniazdo%20D&#378;wigni%20eCrafter%20Przesuwny%20LH.DXF" TargetMode="External"/><Relationship Id="rId75" Type="http://schemas.openxmlformats.org/officeDocument/2006/relationships/hyperlink" Target="5%20-%20RYSUNKI/2011-400-PRT-A0068787-A-Wa&#322;ek%20docisku.STEP" TargetMode="External"/><Relationship Id="rId140" Type="http://schemas.openxmlformats.org/officeDocument/2006/relationships/hyperlink" Target="5%20-%20RYSUNKI/2011-200-PRT-A0069926-A-Blaszka%20prowadnika%20poziomego%20ruchoma.DXF" TargetMode="External"/><Relationship Id="rId182" Type="http://schemas.openxmlformats.org/officeDocument/2006/relationships/hyperlink" Target="5%20-%20RYSUNKI/2011-200-PRT-A0069929-A-Dystans%20docisku.DXF" TargetMode="External"/><Relationship Id="rId378" Type="http://schemas.openxmlformats.org/officeDocument/2006/relationships/hyperlink" Target="5%20-%20RYSUNKI/2011-400-PRT-A0068812-A-Podpora%20spr&#281;&#380;yny%20lewej.DXF" TargetMode="External"/><Relationship Id="rId403" Type="http://schemas.openxmlformats.org/officeDocument/2006/relationships/hyperlink" Target="5%20-%20RYSUNKI/2011-400-PRT-A0068790-A-Gniazdo%205.STEP" TargetMode="External"/><Relationship Id="rId585" Type="http://schemas.openxmlformats.org/officeDocument/2006/relationships/hyperlink" Target="5%20-%20RYSUNKI/2011-600-PRT-A0071415-A-O&#347;.DXF" TargetMode="External"/><Relationship Id="rId750" Type="http://schemas.openxmlformats.org/officeDocument/2006/relationships/hyperlink" Target="5%20-%20RYSUNKI/2011-992-PRT-A0073446-Lustro-A-Gniazdo%20D&#378;wigni%20eCrafter%20Przesuwny%20RH.STEP" TargetMode="External"/><Relationship Id="rId792" Type="http://schemas.openxmlformats.org/officeDocument/2006/relationships/hyperlink" Target="5%20-%20RYSUNKI/2011-990-PRT-A0072852-A-P&#322;yta.STEP" TargetMode="External"/><Relationship Id="rId806" Type="http://schemas.openxmlformats.org/officeDocument/2006/relationships/hyperlink" Target="5%20-%20RYSUNKI/2011-904-PRT-A0070446-A-P&#322;ytka%20dolna.DXF" TargetMode="External"/><Relationship Id="rId848" Type="http://schemas.openxmlformats.org/officeDocument/2006/relationships/hyperlink" Target="5%20-%20RYSUNKI/2011-903-PRT-A0072943-A-Mocowanie.DXF" TargetMode="External"/><Relationship Id="rId1033" Type="http://schemas.openxmlformats.org/officeDocument/2006/relationships/hyperlink" Target="5%20-%20RYSUNKI\2011-902-PRT-A0072038-A-Mocowanie%20prowadnika.PDF" TargetMode="External"/><Relationship Id="rId6" Type="http://schemas.openxmlformats.org/officeDocument/2006/relationships/hyperlink" Target="5%20-%20RYSUNKI/1927-000-PRT-A0062094-A-P&#322;ytka%20&#322;&#261;cz&#261;ca.STEP" TargetMode="External"/><Relationship Id="rId238" Type="http://schemas.openxmlformats.org/officeDocument/2006/relationships/hyperlink" Target="5%20-%20RYSUNKI/2011-200-PRT-A0069908-A-Wa&#322;ek%20stempla.PDF" TargetMode="External"/><Relationship Id="rId445" Type="http://schemas.openxmlformats.org/officeDocument/2006/relationships/hyperlink" Target="5%20-%20RYSUNKI/2011-200-PRT-A0070658-A-P&#322;yta%20monta&#380;owa.STEP" TargetMode="External"/><Relationship Id="rId487" Type="http://schemas.openxmlformats.org/officeDocument/2006/relationships/hyperlink" Target="5%20-%20RYSUNKI/2011-200-PRT-A0070628-A-Wa&#322;ek%20docisku.STEP" TargetMode="External"/><Relationship Id="rId610" Type="http://schemas.openxmlformats.org/officeDocument/2006/relationships/hyperlink" Target="5%20-%20RYSUNKI/2011-600-PRT-A0071412-A-Rami&#281;%20ma&#322;e.STEP" TargetMode="External"/><Relationship Id="rId652" Type="http://schemas.openxmlformats.org/officeDocument/2006/relationships/hyperlink" Target="5%20-%20RYSUNKI/2011-600-PRT-A0071262-A-Podpora%20PL.STEP" TargetMode="External"/><Relationship Id="rId694" Type="http://schemas.openxmlformats.org/officeDocument/2006/relationships/hyperlink" Target="5%20-%20RYSUNKI/2011-600-PRT-A0070120-A-Odwa&#380;nik%20prz&#243;d.STEP" TargetMode="External"/><Relationship Id="rId708" Type="http://schemas.openxmlformats.org/officeDocument/2006/relationships/hyperlink" Target="5%20-%20RYSUNKI/2011-600-PRT-A0070633-A-Palec%20ty&#322;%20zapas.DXF" TargetMode="External"/><Relationship Id="rId915" Type="http://schemas.openxmlformats.org/officeDocument/2006/relationships/hyperlink" Target="5%20-%20RYSUNKI/2011-904-PRT-A0071252-A-Mocowanie.STEP" TargetMode="External"/><Relationship Id="rId1075" Type="http://schemas.openxmlformats.org/officeDocument/2006/relationships/hyperlink" Target="5%20-%20RYSUNKI\000.MAG.50%20-%20M8-B.PDF" TargetMode="External"/><Relationship Id="rId291" Type="http://schemas.openxmlformats.org/officeDocument/2006/relationships/hyperlink" Target="5%20-%20RYSUNKI/2011-400-PRT-A0068767-A-Uchwyt%20czujnika%201.DXF" TargetMode="External"/><Relationship Id="rId305" Type="http://schemas.openxmlformats.org/officeDocument/2006/relationships/hyperlink" Target="5%20-%20RYSUNKI/2011-400-PRT-A0069217-A-Gniazdo%209.PDF" TargetMode="External"/><Relationship Id="rId347" Type="http://schemas.openxmlformats.org/officeDocument/2006/relationships/hyperlink" Target="5%20-%20RYSUNKI/2011-400-PRT-A0068804-A-Sprz&#281;g&#322;o.PDF" TargetMode="External"/><Relationship Id="rId512" Type="http://schemas.openxmlformats.org/officeDocument/2006/relationships/hyperlink" Target="5%20-%20RYSUNKI/2011-600-PRT-A0070113-A-P&#322;yta%20nap&#281;du%20liniowego.PDF" TargetMode="External"/><Relationship Id="rId957" Type="http://schemas.openxmlformats.org/officeDocument/2006/relationships/hyperlink" Target="5%20-%20RYSUNKI/2011-990-PRT-A0072861-B-Kostka%20podporowa.STEP" TargetMode="External"/><Relationship Id="rId999" Type="http://schemas.openxmlformats.org/officeDocument/2006/relationships/hyperlink" Target="5%20-%20RYSUNKI/2011-903-PRT-A0072924-A-Blokada%20spr&#281;&#380;ynki.STEP" TargetMode="External"/><Relationship Id="rId1100" Type="http://schemas.openxmlformats.org/officeDocument/2006/relationships/hyperlink" Target="5%20-%20RYSUNKI/2011-600-PRT-A0073374-A-Drzwiczki%20skrzynki.STEP" TargetMode="External"/><Relationship Id="rId44" Type="http://schemas.openxmlformats.org/officeDocument/2006/relationships/hyperlink" Target="5%20-%20RYSUNKI/2011-400-PRT-A0068841-A-Gniazdo%20g&#243;rne%20pina.DXF" TargetMode="External"/><Relationship Id="rId86" Type="http://schemas.openxmlformats.org/officeDocument/2006/relationships/hyperlink" Target="5%20-%20RYSUNKI/2011-400-PRT-A0068783-A-P&#322;ytka%20przednia.DXF" TargetMode="External"/><Relationship Id="rId151" Type="http://schemas.openxmlformats.org/officeDocument/2006/relationships/hyperlink" Target="5%20-%20RYSUNKI/2011-200-PRT-A0070322-A-Gniazdo%20RH%20cz2.PDF" TargetMode="External"/><Relationship Id="rId389" Type="http://schemas.openxmlformats.org/officeDocument/2006/relationships/hyperlink" Target="5%20-%20RYSUNKI/2011-400-PRT-A0068798-A-Gniazdo%202.PDF" TargetMode="External"/><Relationship Id="rId554" Type="http://schemas.openxmlformats.org/officeDocument/2006/relationships/hyperlink" Target="5%20-%20RYSUNKI/2011-600-PRT-A0070090-A-Wspornik%20si&#322;ownika.PDF" TargetMode="External"/><Relationship Id="rId596" Type="http://schemas.openxmlformats.org/officeDocument/2006/relationships/hyperlink" Target="5%20-%20RYSUNKI/2011-600-PRT-A0073063-A-Wa&#322;eczek%20gumowy.PDF" TargetMode="External"/><Relationship Id="rId761" Type="http://schemas.openxmlformats.org/officeDocument/2006/relationships/hyperlink" Target="5%20-%20RYSUNKI/2011-992-PRT-A0073440-Lustro-A-Gniazdo%20D&#378;wigni%20eCrafter%20Przesuwny%20RH.STEP" TargetMode="External"/><Relationship Id="rId817" Type="http://schemas.openxmlformats.org/officeDocument/2006/relationships/hyperlink" Target="5%20-%20RYSUNKI\2011-902-PRT-A0069227-A-Mocowanie%20si&#322;ownika.PDF" TargetMode="External"/><Relationship Id="rId859" Type="http://schemas.openxmlformats.org/officeDocument/2006/relationships/hyperlink" Target="5%20-%20RYSUNKI\2011-903-PRT-A0072938-A-Mocowanie.PDF" TargetMode="External"/><Relationship Id="rId1002" Type="http://schemas.openxmlformats.org/officeDocument/2006/relationships/hyperlink" Target="5%20-%20RYSUNKI/2011-903-PRT-A0072913-A-Gniazdo%20ko&#322;eczka.STEP" TargetMode="External"/><Relationship Id="rId193" Type="http://schemas.openxmlformats.org/officeDocument/2006/relationships/hyperlink" Target="5%20-%20RYSUNKI/2011-200-PRT-A0069913-A-P&#322;yta%20szyn%20osi%20Z.PDF" TargetMode="External"/><Relationship Id="rId207" Type="http://schemas.openxmlformats.org/officeDocument/2006/relationships/hyperlink" Target="5%20-%20RYSUNKI/2011-200-PRT-A0070388-A-Wspornik%20si&#322;ownika.STEP" TargetMode="External"/><Relationship Id="rId249" Type="http://schemas.openxmlformats.org/officeDocument/2006/relationships/hyperlink" Target="5%20-%20RYSUNKI/2011-200-PRT-A0070349-A-Gniazdko%20blaszek.STEP" TargetMode="External"/><Relationship Id="rId414" Type="http://schemas.openxmlformats.org/officeDocument/2006/relationships/hyperlink" Target="5%20-%20RYSUNKI/2011-200-PRT-A0070650-B-P&#322;yta%20monta&#380;owa.DXF" TargetMode="External"/><Relationship Id="rId456" Type="http://schemas.openxmlformats.org/officeDocument/2006/relationships/hyperlink" Target="5%20-%20RYSUNKI/2011-200-PRT-A0070606-A-P&#322;yta%20monta&#380;owa.DXF" TargetMode="External"/><Relationship Id="rId498" Type="http://schemas.openxmlformats.org/officeDocument/2006/relationships/hyperlink" Target="5%20-%20RYSUNKI/2011-200-PRT-A0070610-A-Support%20uchwytu.DXF" TargetMode="External"/><Relationship Id="rId621" Type="http://schemas.openxmlformats.org/officeDocument/2006/relationships/hyperlink" Target="5%20-%20RYSUNKI/2011-600-PRT-A0070100-A-Wspornik%20pin&#243;w%201.DXF" TargetMode="External"/><Relationship Id="rId663" Type="http://schemas.openxmlformats.org/officeDocument/2006/relationships/hyperlink" Target="5%20-%20RYSUNKI/2011-600-PRT-A0070110-A-Wa&#322;ek%20dystansowy.DXF" TargetMode="External"/><Relationship Id="rId870" Type="http://schemas.openxmlformats.org/officeDocument/2006/relationships/hyperlink" Target="5%20-%20RYSUNKI/2011-903-PRT-A0072935-A-P&#322;yta.STEP" TargetMode="External"/><Relationship Id="rId1044" Type="http://schemas.openxmlformats.org/officeDocument/2006/relationships/hyperlink" Target="5%20-%20RYSUNKI/2011-902-PRT-A0070603-A-Pier&#347;cie&#324;.STEP" TargetMode="External"/><Relationship Id="rId1086" Type="http://schemas.openxmlformats.org/officeDocument/2006/relationships/hyperlink" Target="5%20-%20RYSUNKI/2011-600-PRT-A0073371-A-Obudowa%20Fluke%201-3.STEP" TargetMode="External"/><Relationship Id="rId13" Type="http://schemas.openxmlformats.org/officeDocument/2006/relationships/hyperlink" Target="5%20-%20RYSUNKI/000.MAG.22.M8-A.PDF" TargetMode="External"/><Relationship Id="rId109" Type="http://schemas.openxmlformats.org/officeDocument/2006/relationships/hyperlink" Target="5%20-%20RYSUNKI/2011-400-PRT-A0068860-A-P&#322;ytka%20&#347;rodkowa.PDF" TargetMode="External"/><Relationship Id="rId260" Type="http://schemas.openxmlformats.org/officeDocument/2006/relationships/hyperlink" Target="5%20-%20RYSUNKI/2011-200-PRT-A0069907-A-Stempel%20prasy.DXF" TargetMode="External"/><Relationship Id="rId316" Type="http://schemas.openxmlformats.org/officeDocument/2006/relationships/hyperlink" Target="5%20-%20RYSUNKI/2011-400-PRT-A0068810-A-P&#322;yta%20pionowa%20ty&#322;.STEP" TargetMode="External"/><Relationship Id="rId523" Type="http://schemas.openxmlformats.org/officeDocument/2006/relationships/hyperlink" Target="5%20-%20RYSUNKI/2011-600-PRT-A0070115-A-P&#322;yta%20pionowa%20supportu.STEP" TargetMode="External"/><Relationship Id="rId719" Type="http://schemas.openxmlformats.org/officeDocument/2006/relationships/hyperlink" Target="5%20-%20RYSUNKI\2011-901-PRT-A0068958-A-Pozycjoner.PDF" TargetMode="External"/><Relationship Id="rId926" Type="http://schemas.openxmlformats.org/officeDocument/2006/relationships/hyperlink" Target="5%20-%20RYSUNKI/2011-903-PRT-A0072929-A-Bazwanie.DXF" TargetMode="External"/><Relationship Id="rId968" Type="http://schemas.openxmlformats.org/officeDocument/2006/relationships/hyperlink" Target="5%20-%20RYSUNKI/2011-901-PRT-A0068951-A-Zabierak.DXF" TargetMode="External"/><Relationship Id="rId1111" Type="http://schemas.openxmlformats.org/officeDocument/2006/relationships/hyperlink" Target="5%20-%20RYSUNKI/2011-600-PRT-A0073465-A-Os&#322;ona.DXF" TargetMode="External"/><Relationship Id="rId55" Type="http://schemas.openxmlformats.org/officeDocument/2006/relationships/hyperlink" Target="5%20-%20RYSUNKI/2011-400-PRT-A0068855-A-Wa&#322;ek%20gwintowany.PDF" TargetMode="External"/><Relationship Id="rId97" Type="http://schemas.openxmlformats.org/officeDocument/2006/relationships/hyperlink" Target="5%20-%20RYSUNKI/2011-400-PRT-A0068778-A-&#379;ebro.PDF" TargetMode="External"/><Relationship Id="rId120" Type="http://schemas.openxmlformats.org/officeDocument/2006/relationships/hyperlink" Target="5%20-%20RYSUNKI/2011-300-PRT-A0070324-A-Uchwyt%20czujnika.STEP" TargetMode="External"/><Relationship Id="rId358" Type="http://schemas.openxmlformats.org/officeDocument/2006/relationships/hyperlink" Target="5%20-%20RYSUNKI/2011-400-PRT-A0068771-A-Zaczep.STEP" TargetMode="External"/><Relationship Id="rId565" Type="http://schemas.openxmlformats.org/officeDocument/2006/relationships/hyperlink" Target="5%20-%20RYSUNKI/2011-600-PRT-A0070499-A-Podpora%20przednia%202.STEP" TargetMode="External"/><Relationship Id="rId730" Type="http://schemas.openxmlformats.org/officeDocument/2006/relationships/hyperlink" Target="5%20-%20RYSUNKI/2011-901-PRT-A0068930-A-Pozycjoner.STEP" TargetMode="External"/><Relationship Id="rId772" Type="http://schemas.openxmlformats.org/officeDocument/2006/relationships/hyperlink" Target="5%20-%20RYSUNKI\2011-992-PRT-A0072859-B-P&#322;yta%20Gniazda%20eCrafter%20RH.PDF" TargetMode="External"/><Relationship Id="rId828" Type="http://schemas.openxmlformats.org/officeDocument/2006/relationships/hyperlink" Target="5%20-%20RYSUNKI/2011-901-PRT-A0068940-A-P&#322;ytka%20mocowania%20si&#322;ownika.STEP" TargetMode="External"/><Relationship Id="rId1013" Type="http://schemas.openxmlformats.org/officeDocument/2006/relationships/hyperlink" Target="5%20-%20RYSUNKI/2011-990-PRT-A0072878-A-Mocowanie.DXF" TargetMode="External"/><Relationship Id="rId162" Type="http://schemas.openxmlformats.org/officeDocument/2006/relationships/hyperlink" Target="5%20-%20RYSUNKI/2011-200-PRT-A0069975-A-Gniazdo%20LH%20cz1.STEP" TargetMode="External"/><Relationship Id="rId218" Type="http://schemas.openxmlformats.org/officeDocument/2006/relationships/hyperlink" Target="5%20-%20RYSUNKI/2011-200-PRT-A0070361-A-Podstawa%20gniazda%20podmonta&#380;u.DXF" TargetMode="External"/><Relationship Id="rId425" Type="http://schemas.openxmlformats.org/officeDocument/2006/relationships/hyperlink" Target="5%20-%20RYSUNKI/2011-200-PRT-A0072085-A-Ramie%20reakcyjne%20si&#322;ownika.PDF" TargetMode="External"/><Relationship Id="rId467" Type="http://schemas.openxmlformats.org/officeDocument/2006/relationships/hyperlink" Target="5%20-%20RYSUNKI/2011-200-PRT-A0071749-A-Kostka%20bazuj&#261;ca.PDF" TargetMode="External"/><Relationship Id="rId632" Type="http://schemas.openxmlformats.org/officeDocument/2006/relationships/hyperlink" Target="5%20-%20RYSUNKI/2011-600-PRT-A0071450-A-Blokada%20P.PDF" TargetMode="External"/><Relationship Id="rId1055" Type="http://schemas.openxmlformats.org/officeDocument/2006/relationships/hyperlink" Target="5%20-%20RYSUNKI/000.MAG.50%20-%20M8%20x%20L-F.DXF" TargetMode="External"/><Relationship Id="rId1097" Type="http://schemas.openxmlformats.org/officeDocument/2006/relationships/hyperlink" Target="5%20-%20RYSUNKI/2011-600-PRT-A0073380-A-Os&#322;ona%20tylna.STEP" TargetMode="External"/><Relationship Id="rId271" Type="http://schemas.openxmlformats.org/officeDocument/2006/relationships/hyperlink" Target="5%20-%20RYSUNKI/2011-200-PRT-A0070022-A-Uchwyt%20gniazda.STEP" TargetMode="External"/><Relationship Id="rId674" Type="http://schemas.openxmlformats.org/officeDocument/2006/relationships/hyperlink" Target="5%20-%20RYSUNKI/2011-600-PRT-A0070129-A-Korpus.PDF" TargetMode="External"/><Relationship Id="rId881" Type="http://schemas.openxmlformats.org/officeDocument/2006/relationships/hyperlink" Target="5%20-%20RYSUNKI/2011-903-PRT-A0072930-A-Tulejka%20centruj&#261;ca.DXF" TargetMode="External"/><Relationship Id="rId937" Type="http://schemas.openxmlformats.org/officeDocument/2006/relationships/hyperlink" Target="5%20-%20RYSUNKI\2011-900-PRT-A0069192-A-Bazowanie.PDF" TargetMode="External"/><Relationship Id="rId979" Type="http://schemas.openxmlformats.org/officeDocument/2006/relationships/hyperlink" Target="5%20-%20RYSUNKI\2011-992-PRT-A0073444-A-Gniazdo%20D&#378;wigni%20eCrafter%20Przesuwny%20LH.PDF" TargetMode="External"/><Relationship Id="rId1122" Type="http://schemas.openxmlformats.org/officeDocument/2006/relationships/hyperlink" Target="5%20-%20RYSUNKI/2011-600-PRT-A0073376-A-Mocowanie%20prz&#243;d.PDF" TargetMode="External"/><Relationship Id="rId24" Type="http://schemas.openxmlformats.org/officeDocument/2006/relationships/hyperlink" Target="5%20-%20RYSUNKI/2011-400-PRT-A0068848-A-Mocowanie%20si&#322;ownika%202.STEP" TargetMode="External"/><Relationship Id="rId66" Type="http://schemas.openxmlformats.org/officeDocument/2006/relationships/hyperlink" Target="5%20-%20RYSUNKI/2011-400-PRT-A0068845-A-Blaszka%20boczna.STEP" TargetMode="External"/><Relationship Id="rId131" Type="http://schemas.openxmlformats.org/officeDocument/2006/relationships/hyperlink" Target="5%20-%20RYSUNKI/000.MAG.22.M6-B.DXF" TargetMode="External"/><Relationship Id="rId327" Type="http://schemas.openxmlformats.org/officeDocument/2006/relationships/hyperlink" Target="5%20-%20RYSUNKI/2011-400-PRT-A0069147-B-D&#378;wignia%20prawa.DXF" TargetMode="External"/><Relationship Id="rId369" Type="http://schemas.openxmlformats.org/officeDocument/2006/relationships/hyperlink" Target="5%20-%20RYSUNKI/2011-400-PRT-A0069205-A-Gniazdo%208.DXF" TargetMode="External"/><Relationship Id="rId534" Type="http://schemas.openxmlformats.org/officeDocument/2006/relationships/hyperlink" Target="5%20-%20RYSUNKI/2011-600-PRT-A0070487-A-Podpora%20&#347;rodkowa.DXF" TargetMode="External"/><Relationship Id="rId576" Type="http://schemas.openxmlformats.org/officeDocument/2006/relationships/hyperlink" Target="5%20-%20RYSUNKI/2011-600-PRT-A0070542-A-Wspornik%20si&#322;ownika%201.DXF" TargetMode="External"/><Relationship Id="rId741" Type="http://schemas.openxmlformats.org/officeDocument/2006/relationships/hyperlink" Target="5%20-%20RYSUNKI/2011-902-PRT-A0069222-A-Tulejka%20pozycjonuj&#261;ca.DXF" TargetMode="External"/><Relationship Id="rId783" Type="http://schemas.openxmlformats.org/officeDocument/2006/relationships/hyperlink" Target="5%20-%20RYSUNKI/2011-990-PRT-A0072866-A-Mocowanie%20si&#322;ownika.STEP" TargetMode="External"/><Relationship Id="rId839" Type="http://schemas.openxmlformats.org/officeDocument/2006/relationships/hyperlink" Target="5%20-%20RYSUNKI/2011-901-PRT-A0068932-A-&#321;&#261;cznik.DXF" TargetMode="External"/><Relationship Id="rId990" Type="http://schemas.openxmlformats.org/officeDocument/2006/relationships/hyperlink" Target="5%20-%20RYSUNKI/2011-992-PRT-A0073442-Lustro-A-Gniazdo%20D&#378;wigni%20eCrafter%20Przesuwny%20RH.STEP" TargetMode="External"/><Relationship Id="rId173" Type="http://schemas.openxmlformats.org/officeDocument/2006/relationships/hyperlink" Target="5%20-%20RYSUNKI/2011-200-PRT-A0070313-A-Podstawka%20gniazda%20ECrafter%20RH.DXF" TargetMode="External"/><Relationship Id="rId229" Type="http://schemas.openxmlformats.org/officeDocument/2006/relationships/hyperlink" Target="5%20-%20RYSUNKI/2011-200-PRT-A0069933-A-Kostka%20amortyzatora%20Z.PDF" TargetMode="External"/><Relationship Id="rId380" Type="http://schemas.openxmlformats.org/officeDocument/2006/relationships/hyperlink" Target="5%20-%20RYSUNKI/2011-400-PRT-A0068802-A-Podpora%20&#347;rodkowa%201.PDF" TargetMode="External"/><Relationship Id="rId436" Type="http://schemas.openxmlformats.org/officeDocument/2006/relationships/hyperlink" Target="5%20-%20RYSUNKI/2011-200-PRT-A0070671-A-Mocowanie%20chwytaka.STEP" TargetMode="External"/><Relationship Id="rId601" Type="http://schemas.openxmlformats.org/officeDocument/2006/relationships/hyperlink" Target="5%20-%20RYSUNKI/2011-600-PRT-A0071414-A-Rami&#281;%20docisku.STEP" TargetMode="External"/><Relationship Id="rId643" Type="http://schemas.openxmlformats.org/officeDocument/2006/relationships/hyperlink" Target="5%20-%20RYSUNKI/2011-600-PRT-A0071267-A-Podpora%20PP.STEP" TargetMode="External"/><Relationship Id="rId1024" Type="http://schemas.openxmlformats.org/officeDocument/2006/relationships/hyperlink" Target="5%20-%20RYSUNKI\2011-990-PRT-A0072868-A-Przek&#322;adka.PDF" TargetMode="External"/><Relationship Id="rId1066" Type="http://schemas.openxmlformats.org/officeDocument/2006/relationships/hyperlink" Target="5%20-%20RYSUNKI\000.MAG.90.07-B.PDF" TargetMode="External"/><Relationship Id="rId240" Type="http://schemas.openxmlformats.org/officeDocument/2006/relationships/hyperlink" Target="5%20-%20RYSUNKI/2011-200-PRT-A0069908-A-Wa&#322;ek%20stempla.STEP" TargetMode="External"/><Relationship Id="rId478" Type="http://schemas.openxmlformats.org/officeDocument/2006/relationships/hyperlink" Target="5%20-%20RYSUNKI/2011-200-PRT-A0070434-A-G&#322;owica%20pobieraj&#261;ca%20detal.STEP" TargetMode="External"/><Relationship Id="rId685" Type="http://schemas.openxmlformats.org/officeDocument/2006/relationships/hyperlink" Target="5%20-%20RYSUNKI/2011--PRT-A0073197-B-Mocowanie%20si&#322;ownika.STEP" TargetMode="External"/><Relationship Id="rId850" Type="http://schemas.openxmlformats.org/officeDocument/2006/relationships/hyperlink" Target="5%20-%20RYSUNKI\2011-903-PRT-A0072942-A-Mocowanie%20si&#322;ownika.PDF" TargetMode="External"/><Relationship Id="rId892" Type="http://schemas.openxmlformats.org/officeDocument/2006/relationships/hyperlink" Target="5%20-%20RYSUNKI\2011-903-PRT-A0072918-A-Talerzyk.PDF" TargetMode="External"/><Relationship Id="rId906" Type="http://schemas.openxmlformats.org/officeDocument/2006/relationships/hyperlink" Target="5%20-%20RYSUNKI/2011-990-PRT-A0072871-A-Mocowanie%20zderzaka.STEP" TargetMode="External"/><Relationship Id="rId948" Type="http://schemas.openxmlformats.org/officeDocument/2006/relationships/hyperlink" Target="5%20-%20RYSUNKI/2011-903-PRT-A0072945-A-Zderzak.STEP" TargetMode="External"/><Relationship Id="rId35" Type="http://schemas.openxmlformats.org/officeDocument/2006/relationships/hyperlink" Target="5%20-%20RYSUNKI/2011-400-PRT-A0068846-A-Uchwyt%20sprz&#281;g&#322;a%202.DXF" TargetMode="External"/><Relationship Id="rId77" Type="http://schemas.openxmlformats.org/officeDocument/2006/relationships/hyperlink" Target="5%20-%20RYSUNKI/2011-400-PRT-A0068781-A-Dystans%20blokady.DXF" TargetMode="External"/><Relationship Id="rId100" Type="http://schemas.openxmlformats.org/officeDocument/2006/relationships/hyperlink" Target="5%20-%20RYSUNKI/2011-400-PRT-A0068786-A-Oprawa%20&#322;o&#380;ysk.PDF" TargetMode="External"/><Relationship Id="rId282" Type="http://schemas.openxmlformats.org/officeDocument/2006/relationships/hyperlink" Target="5%20-%20RYSUNKI/2011-200-PRT-A0069914-A-Jarzmo.DXF" TargetMode="External"/><Relationship Id="rId338" Type="http://schemas.openxmlformats.org/officeDocument/2006/relationships/hyperlink" Target="5%20-%20RYSUNKI/2011-400-PRT-A0069184-A-Listwa%20spr&#281;&#380;yny%20prawa%202.PDF" TargetMode="External"/><Relationship Id="rId503" Type="http://schemas.openxmlformats.org/officeDocument/2006/relationships/hyperlink" Target="5%20-%20RYSUNKI/2011-600-PRT-A0070119-A-Wspornik%20p&#322;yty%20prowadnic.PDF" TargetMode="External"/><Relationship Id="rId545" Type="http://schemas.openxmlformats.org/officeDocument/2006/relationships/hyperlink" Target="5%20-%20RYSUNKI/2011-600-PRT-A0070491-A-Wspornik%20si&#322;ownika%202.PDF" TargetMode="External"/><Relationship Id="rId587" Type="http://schemas.openxmlformats.org/officeDocument/2006/relationships/hyperlink" Target="5%20-%20RYSUNKI/2011-600-PRT-A0071413-A-O&#347;.PDF" TargetMode="External"/><Relationship Id="rId710" Type="http://schemas.openxmlformats.org/officeDocument/2006/relationships/hyperlink" Target="5%20-%20RYSUNKI/2011-600-PRT-A0070128-A-Wa&#322;ek%20g&#322;&#243;wny.PDF" TargetMode="External"/><Relationship Id="rId752" Type="http://schemas.openxmlformats.org/officeDocument/2006/relationships/hyperlink" Target="5%20-%20RYSUNKI/2011-992-PRT-A0073445-C-Gniazdo%20D&#378;wigni%20eCrafter%20Przesuwny%20LH.DXF" TargetMode="External"/><Relationship Id="rId808" Type="http://schemas.openxmlformats.org/officeDocument/2006/relationships/hyperlink" Target="5%20-%20RYSUNKI\2011-904-PRT-A0070440-A-Dystans%20blokady.PDF" TargetMode="External"/><Relationship Id="rId8" Type="http://schemas.openxmlformats.org/officeDocument/2006/relationships/hyperlink" Target="5%20-%20RYSUNKI/1704-01-PRT-A0065974-A-Os&#322;ona%202.DXF" TargetMode="External"/><Relationship Id="rId142" Type="http://schemas.openxmlformats.org/officeDocument/2006/relationships/hyperlink" Target="5%20-%20RYSUNKI/2011-200-PRT-A0069925-A-Blaszka%20prowadnika%20pionowego%20ruchoma.PDF" TargetMode="External"/><Relationship Id="rId184" Type="http://schemas.openxmlformats.org/officeDocument/2006/relationships/hyperlink" Target="5%20-%20RYSUNKI/2011-200-PRT-A0069921-A-Podstawa%20szyny.PDF" TargetMode="External"/><Relationship Id="rId391" Type="http://schemas.openxmlformats.org/officeDocument/2006/relationships/hyperlink" Target="5%20-%20RYSUNKI/2011-400-PRT-A0068798-A-Gniazdo%202.STEP" TargetMode="External"/><Relationship Id="rId405" Type="http://schemas.openxmlformats.org/officeDocument/2006/relationships/hyperlink" Target="5%20-%20RYSUNKI/2011-400-PRT-A0068789-A-Gniazdo%206.DXF" TargetMode="External"/><Relationship Id="rId447" Type="http://schemas.openxmlformats.org/officeDocument/2006/relationships/hyperlink" Target="5%20-%20RYSUNKI/2011-200-PRT-A0070655-A-P&#322;yta%20monta&#380;owa.DXF" TargetMode="External"/><Relationship Id="rId612" Type="http://schemas.openxmlformats.org/officeDocument/2006/relationships/hyperlink" Target="5%20-%20RYSUNKI/2011-600-PRT-A0071411-A-Rami&#281;.DXF" TargetMode="External"/><Relationship Id="rId794" Type="http://schemas.openxmlformats.org/officeDocument/2006/relationships/hyperlink" Target="5%20-%20RYSUNKI/2011-901-PRT-A0071396-A-P&#322;yta%20pionowa.DXF" TargetMode="External"/><Relationship Id="rId1035" Type="http://schemas.openxmlformats.org/officeDocument/2006/relationships/hyperlink" Target="5%20-%20RYSUNKI/2011-902-PRT-A0072038-A-Mocowanie%20prowadnika.STEP" TargetMode="External"/><Relationship Id="rId1077" Type="http://schemas.openxmlformats.org/officeDocument/2006/relationships/hyperlink" Target="5%20-%20RYSUNKI/000.MAG.50%20-%20M8-B.STEP" TargetMode="External"/><Relationship Id="rId251" Type="http://schemas.openxmlformats.org/officeDocument/2006/relationships/hyperlink" Target="5%20-%20RYSUNKI/2011-200-PRT-A0070417-A-Os&#322;ona%20si&#322;ownika.DXF" TargetMode="External"/><Relationship Id="rId489" Type="http://schemas.openxmlformats.org/officeDocument/2006/relationships/hyperlink" Target="5%20-%20RYSUNKI/2011-200-PRT-A0070616-A-Support%20uchwytu.DXF" TargetMode="External"/><Relationship Id="rId654" Type="http://schemas.openxmlformats.org/officeDocument/2006/relationships/hyperlink" Target="5%20-%20RYSUNKI/2011-600-PRT-A0070108-A-Rynna%20prowadnika.DXF" TargetMode="External"/><Relationship Id="rId696" Type="http://schemas.openxmlformats.org/officeDocument/2006/relationships/hyperlink" Target="5%20-%20RYSUNKI/2011-600-PRT-A0070126-A-Rami&#281;%20prz&#243;d.DXF" TargetMode="External"/><Relationship Id="rId861" Type="http://schemas.openxmlformats.org/officeDocument/2006/relationships/hyperlink" Target="5%20-%20RYSUNKI/2011-903-PRT-A0072938-A-Mocowanie.STEP" TargetMode="External"/><Relationship Id="rId917" Type="http://schemas.openxmlformats.org/officeDocument/2006/relationships/hyperlink" Target="5%20-%20RYSUNKI/2011-901-PRT-A0069990-B-Mocowanie.DXF" TargetMode="External"/><Relationship Id="rId959" Type="http://schemas.openxmlformats.org/officeDocument/2006/relationships/hyperlink" Target="5%20-%20RYSUNKI/2011-992-PRT-A0072856-A-Tulejka%20bazuj&#261;ca.DXF" TargetMode="External"/><Relationship Id="rId1102" Type="http://schemas.openxmlformats.org/officeDocument/2006/relationships/hyperlink" Target="5%20-%20RYSUNKI/2011-600-PRT-A0073375-A-Stopka.DXF" TargetMode="External"/><Relationship Id="rId46" Type="http://schemas.openxmlformats.org/officeDocument/2006/relationships/hyperlink" Target="5%20-%20RYSUNKI/2011-400-PRT-A0068857-A-Tuleja%20prowadz&#261;ca.PDF" TargetMode="External"/><Relationship Id="rId293" Type="http://schemas.openxmlformats.org/officeDocument/2006/relationships/hyperlink" Target="5%20-%20RYSUNKI/2011-400-PRT-A0069148-B-&#321;&#261;cznik%20d&#378;wigni.PDF" TargetMode="External"/><Relationship Id="rId307" Type="http://schemas.openxmlformats.org/officeDocument/2006/relationships/hyperlink" Target="5%20-%20RYSUNKI/2011-400-PRT-A0069217-A-Gniazdo%209.STEP" TargetMode="External"/><Relationship Id="rId349" Type="http://schemas.openxmlformats.org/officeDocument/2006/relationships/hyperlink" Target="5%20-%20RYSUNKI/2011-400-PRT-A0068804-A-Sprz&#281;g&#322;o.STEP" TargetMode="External"/><Relationship Id="rId514" Type="http://schemas.openxmlformats.org/officeDocument/2006/relationships/hyperlink" Target="5%20-%20RYSUNKI/2011-600-PRT-A0070113-A-P&#322;yta%20nap&#281;du%20liniowego.STEP" TargetMode="External"/><Relationship Id="rId556" Type="http://schemas.openxmlformats.org/officeDocument/2006/relationships/hyperlink" Target="5%20-%20RYSUNKI/2011-600-PRT-A0070090-A-Wspornik%20si&#322;ownika.STEP" TargetMode="External"/><Relationship Id="rId721" Type="http://schemas.openxmlformats.org/officeDocument/2006/relationships/hyperlink" Target="5%20-%20RYSUNKI/2011-901-PRT-A0068958-A-Pozycjoner.STEP" TargetMode="External"/><Relationship Id="rId763" Type="http://schemas.openxmlformats.org/officeDocument/2006/relationships/hyperlink" Target="5%20-%20RYSUNKI/2011-992-PRT-A0072854-A-Gniazdo%20D&#378;wigni%20eCrafter%20Przesuwny%20LH.DXF" TargetMode="External"/><Relationship Id="rId88" Type="http://schemas.openxmlformats.org/officeDocument/2006/relationships/hyperlink" Target="5%20-%20RYSUNKI/2011-400-PRT-A0068782-A-&#379;ebro%202.PDF" TargetMode="External"/><Relationship Id="rId111" Type="http://schemas.openxmlformats.org/officeDocument/2006/relationships/hyperlink" Target="5%20-%20RYSUNKI/2011-400-PRT-A0068860-A-P&#322;ytka%20&#347;rodkowa.STEP" TargetMode="External"/><Relationship Id="rId153" Type="http://schemas.openxmlformats.org/officeDocument/2006/relationships/hyperlink" Target="5%20-%20RYSUNKI/2011-200-PRT-A0070322-A-Gniazdo%20RH%20cz2.STEP" TargetMode="External"/><Relationship Id="rId195" Type="http://schemas.openxmlformats.org/officeDocument/2006/relationships/hyperlink" Target="5%20-%20RYSUNKI/2011-200-PRT-A0069913-A-P&#322;yta%20szyn%20osi%20Z.STEP" TargetMode="External"/><Relationship Id="rId209" Type="http://schemas.openxmlformats.org/officeDocument/2006/relationships/hyperlink" Target="5%20-%20RYSUNKI/2011-200-PRT-A0069915-A-Adapter%20sto&#322;u%20obrotowego.DXF" TargetMode="External"/><Relationship Id="rId360" Type="http://schemas.openxmlformats.org/officeDocument/2006/relationships/hyperlink" Target="5%20-%20RYSUNKI/2011-400-PRT-A0068770-A-Kostka%20&#322;o&#380;yska.DXF" TargetMode="External"/><Relationship Id="rId416" Type="http://schemas.openxmlformats.org/officeDocument/2006/relationships/hyperlink" Target="5%20-%20RYSUNKI/2011-200-PRT-A0072093-A-Uchwyt%20czujnika.PDF" TargetMode="External"/><Relationship Id="rId598" Type="http://schemas.openxmlformats.org/officeDocument/2006/relationships/hyperlink" Target="5%20-%20RYSUNKI/2011-600-PRT-A0073063-A-Wa&#322;eczek%20gumowy.STEP" TargetMode="External"/><Relationship Id="rId819" Type="http://schemas.openxmlformats.org/officeDocument/2006/relationships/hyperlink" Target="5%20-%20RYSUNKI/2011-902-PRT-A0069227-A-Mocowanie%20si&#322;ownika.STEP" TargetMode="External"/><Relationship Id="rId970" Type="http://schemas.openxmlformats.org/officeDocument/2006/relationships/hyperlink" Target="5%20-%20RYSUNKI\2011-901-PRT-A0068950-B-Mocowanie%20popychacza.PDF" TargetMode="External"/><Relationship Id="rId1004" Type="http://schemas.openxmlformats.org/officeDocument/2006/relationships/hyperlink" Target="5%20-%20RYSUNKI/2011-903-PRT-A0072977-A-Mocowanie%20prowadnika.DXF" TargetMode="External"/><Relationship Id="rId1046" Type="http://schemas.openxmlformats.org/officeDocument/2006/relationships/hyperlink" Target="5%20-%20RYSUNKI/2011-904-PRT-A0070445-A-Mocowanie%20prowadnika.DXF" TargetMode="External"/><Relationship Id="rId220" Type="http://schemas.openxmlformats.org/officeDocument/2006/relationships/hyperlink" Target="5%20-%20RYSUNKI/2011-200-PRT-A0070004-A-Kostka%20podpierajaca.PDF" TargetMode="External"/><Relationship Id="rId458" Type="http://schemas.openxmlformats.org/officeDocument/2006/relationships/hyperlink" Target="5%20-%20RYSUNKI/2011-200-PRT-A0071416-A-Kostka%20amortyzatora.PDF" TargetMode="External"/><Relationship Id="rId623" Type="http://schemas.openxmlformats.org/officeDocument/2006/relationships/hyperlink" Target="5%20-%20RYSUNKI/2011-600-PRT-A0070099-A-Wspornik%20pin&#243;w%202.PDF" TargetMode="External"/><Relationship Id="rId665" Type="http://schemas.openxmlformats.org/officeDocument/2006/relationships/hyperlink" Target="5%20-%20RYSUNKI/2011-600-PRT-A0070121-A-Wpust.PDF" TargetMode="External"/><Relationship Id="rId830" Type="http://schemas.openxmlformats.org/officeDocument/2006/relationships/hyperlink" Target="5%20-%20RYSUNKI/2011-901-PRT-A0068939-A-P&#322;yta%20pionowa.DXF" TargetMode="External"/><Relationship Id="rId872" Type="http://schemas.openxmlformats.org/officeDocument/2006/relationships/hyperlink" Target="5%20-%20RYSUNKI/2011-903-PRT-A0072934-A-&#379;ebro.DXF" TargetMode="External"/><Relationship Id="rId928" Type="http://schemas.openxmlformats.org/officeDocument/2006/relationships/hyperlink" Target="5%20-%20RYSUNKI\2011-903-PRT-A0072928-B-Szcz&#281;ka.PDF" TargetMode="External"/><Relationship Id="rId1088" Type="http://schemas.openxmlformats.org/officeDocument/2006/relationships/hyperlink" Target="5%20-%20RYSUNKI/2011-600-PRT-A0073373-A-Obudowa%20Fluke%202-3.DXF" TargetMode="External"/><Relationship Id="rId15" Type="http://schemas.openxmlformats.org/officeDocument/2006/relationships/hyperlink" Target="5%20-%20RYSUNKI/000.MAG.22.M8-A.STEP" TargetMode="External"/><Relationship Id="rId57" Type="http://schemas.openxmlformats.org/officeDocument/2006/relationships/hyperlink" Target="5%20-%20RYSUNKI/2011-400-PRT-A0068855-A-Wa&#322;ek%20gwintowany.STEP" TargetMode="External"/><Relationship Id="rId262" Type="http://schemas.openxmlformats.org/officeDocument/2006/relationships/hyperlink" Target="5%20-%20RYSUNKI/2011-200-PRT-A0070409-A-Os&#322;onka.PDF" TargetMode="External"/><Relationship Id="rId318" Type="http://schemas.openxmlformats.org/officeDocument/2006/relationships/hyperlink" Target="5%20-%20RYSUNKI/2011-400-PRT-A0068809-A-P&#322;yta%20g&#243;rna.DXF" TargetMode="External"/><Relationship Id="rId525" Type="http://schemas.openxmlformats.org/officeDocument/2006/relationships/hyperlink" Target="5%20-%20RYSUNKI/2011-600-PRT-A0070114-A-Wzmocnienie%20supportu.DXF" TargetMode="External"/><Relationship Id="rId567" Type="http://schemas.openxmlformats.org/officeDocument/2006/relationships/hyperlink" Target="5%20-%20RYSUNKI/2011-600-PRT-A0070494-A-Podpora%20przednia%201.DXF" TargetMode="External"/><Relationship Id="rId732" Type="http://schemas.openxmlformats.org/officeDocument/2006/relationships/hyperlink" Target="5%20-%20RYSUNKI/2011-901-PRT-A0068929-A-Tulejka.DXF" TargetMode="External"/><Relationship Id="rId1113" Type="http://schemas.openxmlformats.org/officeDocument/2006/relationships/hyperlink" Target="5%20-%20RYSUNKI\2011-600-PRT-A0073377-A-Okno.PDF" TargetMode="External"/><Relationship Id="rId99" Type="http://schemas.openxmlformats.org/officeDocument/2006/relationships/hyperlink" Target="5%20-%20RYSUNKI/2011-400-PRT-A0068778-A-&#379;ebro.STEP" TargetMode="External"/><Relationship Id="rId122" Type="http://schemas.openxmlformats.org/officeDocument/2006/relationships/hyperlink" Target="5%20-%20RYSUNKI/000.MAG.50%20-%20M6%20x30-H.DXF" TargetMode="External"/><Relationship Id="rId164" Type="http://schemas.openxmlformats.org/officeDocument/2006/relationships/hyperlink" Target="5%20-%20RYSUNKI/2011-200-PRT-A0069928-A-Wspornik%20si&#322;ownika%20obrotowego.DXF" TargetMode="External"/><Relationship Id="rId371" Type="http://schemas.openxmlformats.org/officeDocument/2006/relationships/hyperlink" Target="5%20-%20RYSUNKI/2011-400-PRT-A0069198-A-Gniazdo%207.PDF" TargetMode="External"/><Relationship Id="rId774" Type="http://schemas.openxmlformats.org/officeDocument/2006/relationships/hyperlink" Target="5%20-%20RYSUNKI/2011-992-PRT-A0072859-B-P&#322;yta%20Gniazda%20eCrafter%20RH.STEP" TargetMode="External"/><Relationship Id="rId981" Type="http://schemas.openxmlformats.org/officeDocument/2006/relationships/hyperlink" Target="5%20-%20RYSUNKI/2011-992-PRT-A0073444-A-Gniazdo%20D&#378;wigni%20eCrafter%20Przesuwny%20LH.STEP" TargetMode="External"/><Relationship Id="rId1015" Type="http://schemas.openxmlformats.org/officeDocument/2006/relationships/hyperlink" Target="5%20-%20RYSUNKI\2011-990-PRT-A0072875-A-Mocowanie%20prowadnika.PDF" TargetMode="External"/><Relationship Id="rId1057" Type="http://schemas.openxmlformats.org/officeDocument/2006/relationships/hyperlink" Target="5%20-%20RYSUNKI\000.MAG.50%20-%20M6%20x30-H.PDF" TargetMode="External"/><Relationship Id="rId427" Type="http://schemas.openxmlformats.org/officeDocument/2006/relationships/hyperlink" Target="5%20-%20RYSUNKI/2011-200-PRT-A0072085-A-Ramie%20reakcyjne%20si&#322;ownika.STEP" TargetMode="External"/><Relationship Id="rId469" Type="http://schemas.openxmlformats.org/officeDocument/2006/relationships/hyperlink" Target="5%20-%20RYSUNKI/2011-200-PRT-A0071749-A-Kostka%20bazuj&#261;ca.STEP" TargetMode="External"/><Relationship Id="rId634" Type="http://schemas.openxmlformats.org/officeDocument/2006/relationships/hyperlink" Target="5%20-%20RYSUNKI/2011-600-PRT-A0071450-A-Blokada%20P.STEP" TargetMode="External"/><Relationship Id="rId676" Type="http://schemas.openxmlformats.org/officeDocument/2006/relationships/hyperlink" Target="5%20-%20RYSUNKI/2011-600-PRT-A0070129-A-Korpus.STEP" TargetMode="External"/><Relationship Id="rId841" Type="http://schemas.openxmlformats.org/officeDocument/2006/relationships/hyperlink" Target="5%20-%20RYSUNKI\2011-901-PRT-A0068941-A-P&#322;ytka%20mocowania%20si&#322;ownika.PDF" TargetMode="External"/><Relationship Id="rId883" Type="http://schemas.openxmlformats.org/officeDocument/2006/relationships/hyperlink" Target="5%20-%20RYSUNKI\2011-903-PRT-A0072922-A-Obsada%20blokady%20spr&#281;&#380;ynki.PDF" TargetMode="External"/><Relationship Id="rId1099" Type="http://schemas.openxmlformats.org/officeDocument/2006/relationships/hyperlink" Target="5%20-%20RYSUNKI/2011-600-PRT-A0073374-A-Drzwiczki%20skrzynki.DXF" TargetMode="External"/><Relationship Id="rId26" Type="http://schemas.openxmlformats.org/officeDocument/2006/relationships/hyperlink" Target="5%20-%20RYSUNKI/2011-400-PRT-A0068847-A-P&#322;yta%20pionowa.DXF" TargetMode="External"/><Relationship Id="rId231" Type="http://schemas.openxmlformats.org/officeDocument/2006/relationships/hyperlink" Target="5%20-%20RYSUNKI/2011-200-PRT-A0069933-A-Kostka%20amortyzatora%20Z.STEP" TargetMode="External"/><Relationship Id="rId273" Type="http://schemas.openxmlformats.org/officeDocument/2006/relationships/hyperlink" Target="5%20-%20RYSUNKI/2011-200-PRT-A0069918-A-P&#322;ytka%20si&#322;ownika%20osi%20Y.DXF" TargetMode="External"/><Relationship Id="rId329" Type="http://schemas.openxmlformats.org/officeDocument/2006/relationships/hyperlink" Target="5%20-%20RYSUNKI/2011-400-PRT-A0068775-A-Gniazdo%20spr&#281;&#380;yny%20lewej.PDF" TargetMode="External"/><Relationship Id="rId480" Type="http://schemas.openxmlformats.org/officeDocument/2006/relationships/hyperlink" Target="5%20-%20RYSUNKI/2011-200-PRT-A0071764-A-Gniazdo%20wtyczki%20V2.DXF" TargetMode="External"/><Relationship Id="rId536" Type="http://schemas.openxmlformats.org/officeDocument/2006/relationships/hyperlink" Target="5%20-%20RYSUNKI/2011-600-PRT-A0070088-A-Tuleja%20docisku.PDF" TargetMode="External"/><Relationship Id="rId701" Type="http://schemas.openxmlformats.org/officeDocument/2006/relationships/hyperlink" Target="5%20-%20RYSUNKI/2011-600-PRT-A0070576-A-Odwa&#380;nik%20ty&#322;.PDF" TargetMode="External"/><Relationship Id="rId939" Type="http://schemas.openxmlformats.org/officeDocument/2006/relationships/hyperlink" Target="5%20-%20RYSUNKI/2011-900-PRT-A0069192-A-Bazowanie.STEP" TargetMode="External"/><Relationship Id="rId1124" Type="http://schemas.openxmlformats.org/officeDocument/2006/relationships/hyperlink" Target="5%20-%20RYSUNKI/2011-600-PRT-A0073376-A-Mocowanie%20prz&#243;d.STEP" TargetMode="External"/><Relationship Id="rId68" Type="http://schemas.openxmlformats.org/officeDocument/2006/relationships/hyperlink" Target="5%20-%20RYSUNKI/2011-400-PRT-A0068777-A-Mocowanie%20prowadnika%202.DXF" TargetMode="External"/><Relationship Id="rId133" Type="http://schemas.openxmlformats.org/officeDocument/2006/relationships/hyperlink" Target="5%20-%20RYSUNKI/2011-200-PRT-A0069934-A-Blacha%20wzmacniaj&#261;ca.PDF" TargetMode="External"/><Relationship Id="rId175" Type="http://schemas.openxmlformats.org/officeDocument/2006/relationships/hyperlink" Target="5%20-%20RYSUNKI/2011-200-PRT-A0069974-A-Podstawka%20gniazda%20ECrafter%20LH.PDF" TargetMode="External"/><Relationship Id="rId340" Type="http://schemas.openxmlformats.org/officeDocument/2006/relationships/hyperlink" Target="5%20-%20RYSUNKI/2011-400-PRT-A0069184-A-Listwa%20spr&#281;&#380;yny%20prawa%202.STEP" TargetMode="External"/><Relationship Id="rId578" Type="http://schemas.openxmlformats.org/officeDocument/2006/relationships/hyperlink" Target="5%20-%20RYSUNKI/2011-600-PRT-A0071409-A-P&#322;ytka%20blokady.PDF" TargetMode="External"/><Relationship Id="rId743" Type="http://schemas.openxmlformats.org/officeDocument/2006/relationships/hyperlink" Target="5%20-%20RYSUNKI\2011-992-PRT-A0073447-B-Gniazdo%20D&#378;wigni%20eCrafter%20Przesuwny%20LH.PDF" TargetMode="External"/><Relationship Id="rId785" Type="http://schemas.openxmlformats.org/officeDocument/2006/relationships/hyperlink" Target="5%20-%20RYSUNKI/2011-990-PRT-A0072864-A-P&#322;yta.DXF" TargetMode="External"/><Relationship Id="rId950" Type="http://schemas.openxmlformats.org/officeDocument/2006/relationships/hyperlink" Target="5%20-%20RYSUNKI/2011-903-PRT-A0072916-A-Kostka%20podporowa.DXF" TargetMode="External"/><Relationship Id="rId992" Type="http://schemas.openxmlformats.org/officeDocument/2006/relationships/hyperlink" Target="5%20-%20RYSUNKI/2011-903-PRT-A0072941-A-Blokada%20Pinu.DXF" TargetMode="External"/><Relationship Id="rId1026" Type="http://schemas.openxmlformats.org/officeDocument/2006/relationships/hyperlink" Target="5%20-%20RYSUNKI/2011-990-PRT-A0072868-A-Przek&#322;adka.STEP" TargetMode="External"/><Relationship Id="rId200" Type="http://schemas.openxmlformats.org/officeDocument/2006/relationships/hyperlink" Target="5%20-%20RYSUNKI/2011-200-PRT-A0069910-A-P&#322;yta%20suportu.DXF" TargetMode="External"/><Relationship Id="rId382" Type="http://schemas.openxmlformats.org/officeDocument/2006/relationships/hyperlink" Target="5%20-%20RYSUNKI/2011-400-PRT-A0068802-A-Podpora%20&#347;rodkowa%201.STEP" TargetMode="External"/><Relationship Id="rId438" Type="http://schemas.openxmlformats.org/officeDocument/2006/relationships/hyperlink" Target="5%20-%20RYSUNKI/2011-200-PRT-A0070665-A-P&#322;yta%20montazowa.DXF" TargetMode="External"/><Relationship Id="rId603" Type="http://schemas.openxmlformats.org/officeDocument/2006/relationships/hyperlink" Target="5%20-%20RYSUNKI/2011-600-PRT-A0071419-A-Dociskacz.DXF" TargetMode="External"/><Relationship Id="rId645" Type="http://schemas.openxmlformats.org/officeDocument/2006/relationships/hyperlink" Target="5%20-%20RYSUNKI/2011-600-PRT-A0071265-A-Dok&#322;adka%20PP.DXF" TargetMode="External"/><Relationship Id="rId687" Type="http://schemas.openxmlformats.org/officeDocument/2006/relationships/hyperlink" Target="5%20-%20RYSUNKI/2011--PRT-A0073195-B-Mocowanie%20si&#322;ownika.DXF" TargetMode="External"/><Relationship Id="rId810" Type="http://schemas.openxmlformats.org/officeDocument/2006/relationships/hyperlink" Target="5%20-%20RYSUNKI/2011-904-PRT-A0070440-A-Dystans%20blokady.STEP" TargetMode="External"/><Relationship Id="rId852" Type="http://schemas.openxmlformats.org/officeDocument/2006/relationships/hyperlink" Target="5%20-%20RYSUNKI/2011-903-PRT-A0072942-A-Mocowanie%20si&#322;ownika.STEP" TargetMode="External"/><Relationship Id="rId908" Type="http://schemas.openxmlformats.org/officeDocument/2006/relationships/hyperlink" Target="5%20-%20RYSUNKI/2011-990-PRT-A0072870-A-Mocowanie%20si&#322;ownika.DXF" TargetMode="External"/><Relationship Id="rId1068" Type="http://schemas.openxmlformats.org/officeDocument/2006/relationships/hyperlink" Target="5%20-%20RYSUNKI/000.MAG.90.07-B.STEP" TargetMode="External"/><Relationship Id="rId242" Type="http://schemas.openxmlformats.org/officeDocument/2006/relationships/hyperlink" Target="5%20-%20RYSUNKI/2011-200-PRT-A0069935-A-Kostka%20zderzaka%20osi%20Z.DXF" TargetMode="External"/><Relationship Id="rId284" Type="http://schemas.openxmlformats.org/officeDocument/2006/relationships/hyperlink" Target="5%20-%20RYSUNKI/2011-200-PRT-A0069936-A-P&#322;ytka%20oporowa%20obrotu.PDF" TargetMode="External"/><Relationship Id="rId491" Type="http://schemas.openxmlformats.org/officeDocument/2006/relationships/hyperlink" Target="5%20-%20RYSUNKI/2011-200-PRT-A0070613-A-Support%20uchwytu.PDF" TargetMode="External"/><Relationship Id="rId505" Type="http://schemas.openxmlformats.org/officeDocument/2006/relationships/hyperlink" Target="5%20-%20RYSUNKI/2011-600-PRT-A0070119-A-Wspornik%20p&#322;yty%20prowadnic.STEP" TargetMode="External"/><Relationship Id="rId712" Type="http://schemas.openxmlformats.org/officeDocument/2006/relationships/hyperlink" Target="5%20-%20RYSUNKI/2011-600-PRT-A0070128-A-Wa&#322;ek%20g&#322;&#243;wny.STEP" TargetMode="External"/><Relationship Id="rId894" Type="http://schemas.openxmlformats.org/officeDocument/2006/relationships/hyperlink" Target="5%20-%20RYSUNKI/2011-903-PRT-A0072918-A-Talerzyk.STEP" TargetMode="External"/><Relationship Id="rId37" Type="http://schemas.openxmlformats.org/officeDocument/2006/relationships/hyperlink" Target="5%20-%20RYSUNKI/2011-400-PRT-A0068844-A-P&#322;ytka%20boczna.PDF" TargetMode="External"/><Relationship Id="rId79" Type="http://schemas.openxmlformats.org/officeDocument/2006/relationships/hyperlink" Target="5%20-%20RYSUNKI/2011-400-PRT-A0068785-A-P&#322;yta%20pionowa.PDF" TargetMode="External"/><Relationship Id="rId102" Type="http://schemas.openxmlformats.org/officeDocument/2006/relationships/hyperlink" Target="5%20-%20RYSUNKI/2011-400-PRT-A0068786-A-Oprawa%20&#322;o&#380;ysk.STEP" TargetMode="External"/><Relationship Id="rId144" Type="http://schemas.openxmlformats.org/officeDocument/2006/relationships/hyperlink" Target="5%20-%20RYSUNKI/2011-200-PRT-A0069925-A-Blaszka%20prowadnika%20pionowego%20ruchoma.STEP" TargetMode="External"/><Relationship Id="rId547" Type="http://schemas.openxmlformats.org/officeDocument/2006/relationships/hyperlink" Target="5%20-%20RYSUNKI/2011-600-PRT-A0070491-A-Wspornik%20si&#322;ownika%202.STEP" TargetMode="External"/><Relationship Id="rId589" Type="http://schemas.openxmlformats.org/officeDocument/2006/relationships/hyperlink" Target="5%20-%20RYSUNKI/2011-600-PRT-A0071413-A-O&#347;.STEP" TargetMode="External"/><Relationship Id="rId754" Type="http://schemas.openxmlformats.org/officeDocument/2006/relationships/hyperlink" Target="5%20-%20RYSUNKI\2011-992-PRT-A0073441-A-Gniazdo%20D&#378;wigni%20eCrafter%20Przesuwny%20LH.PDF" TargetMode="External"/><Relationship Id="rId796" Type="http://schemas.openxmlformats.org/officeDocument/2006/relationships/hyperlink" Target="5%20-%20RYSUNKI\2011-904-PRT-A0071248-A-P&#322;yta.PDF" TargetMode="External"/><Relationship Id="rId961" Type="http://schemas.openxmlformats.org/officeDocument/2006/relationships/hyperlink" Target="5%20-%20RYSUNKI\2011-902-PRT-A0070000-A-Element%20sprz&#281;gaj&#261;cy.PDF" TargetMode="External"/><Relationship Id="rId90" Type="http://schemas.openxmlformats.org/officeDocument/2006/relationships/hyperlink" Target="5%20-%20RYSUNKI/2011-400-PRT-A0068782-A-&#379;ebro%202.STEP" TargetMode="External"/><Relationship Id="rId186" Type="http://schemas.openxmlformats.org/officeDocument/2006/relationships/hyperlink" Target="5%20-%20RYSUNKI/2011-200-PRT-A0069921-A-Podstawa%20szyny.STEP" TargetMode="External"/><Relationship Id="rId351" Type="http://schemas.openxmlformats.org/officeDocument/2006/relationships/hyperlink" Target="5%20-%20RYSUNKI/2011-400-PRT-A0068773-A-Ko&#322;ek.DXF" TargetMode="External"/><Relationship Id="rId393" Type="http://schemas.openxmlformats.org/officeDocument/2006/relationships/hyperlink" Target="5%20-%20RYSUNKI/2011-400-PRT-A0068797-A-Gniazdo%203.DXF" TargetMode="External"/><Relationship Id="rId407" Type="http://schemas.openxmlformats.org/officeDocument/2006/relationships/hyperlink" Target="5%20-%20RYSUNKI/2011-200-PRT-A0071752-A-Kostka%20mocuj&#261;ca.PDF" TargetMode="External"/><Relationship Id="rId449" Type="http://schemas.openxmlformats.org/officeDocument/2006/relationships/hyperlink" Target="5%20-%20RYSUNKI/2011-200-PRT-A0070624-A-P&#322;yta%20mocuj&#261;ca.PDF" TargetMode="External"/><Relationship Id="rId614" Type="http://schemas.openxmlformats.org/officeDocument/2006/relationships/hyperlink" Target="5%20-%20RYSUNKI/2011-600-PRT-A0073136-A-Mocowanie%20BSC00PJ.PDF" TargetMode="External"/><Relationship Id="rId656" Type="http://schemas.openxmlformats.org/officeDocument/2006/relationships/hyperlink" Target="5%20-%20RYSUNKI/2011-600-PRT-A0070418-A-&#346;ciana%20prawa.PDF" TargetMode="External"/><Relationship Id="rId821" Type="http://schemas.openxmlformats.org/officeDocument/2006/relationships/hyperlink" Target="5%20-%20RYSUNKI/2011-902-PRT-A0069225-A-Mocowanie%20w&#243;zka.DXF" TargetMode="External"/><Relationship Id="rId863" Type="http://schemas.openxmlformats.org/officeDocument/2006/relationships/hyperlink" Target="5%20-%20RYSUNKI/2011-903-PRT-A0072937-A-Mocowanie%20zderzak&#243;w.DXF" TargetMode="External"/><Relationship Id="rId1037" Type="http://schemas.openxmlformats.org/officeDocument/2006/relationships/hyperlink" Target="5%20-%20RYSUNKI/2011-902-PRT-A0072036-A-Mocowanie%20prowadnika.DXF" TargetMode="External"/><Relationship Id="rId1079" Type="http://schemas.openxmlformats.org/officeDocument/2006/relationships/hyperlink" Target="5%20-%20RYSUNKI/000.MAG.22.M8-A.DXF" TargetMode="External"/><Relationship Id="rId211" Type="http://schemas.openxmlformats.org/officeDocument/2006/relationships/hyperlink" Target="5%20-%20RYSUNKI/2011-200-PRT-A0070506-A-Os&#322;ona%20dolna%20podmonta&#380;u.PDF" TargetMode="External"/><Relationship Id="rId253" Type="http://schemas.openxmlformats.org/officeDocument/2006/relationships/hyperlink" Target="5%20-%20RYSUNKI/2011-200-PRT-A0070375-A-Gniazdko%20switch&#243;w.PDF" TargetMode="External"/><Relationship Id="rId295" Type="http://schemas.openxmlformats.org/officeDocument/2006/relationships/hyperlink" Target="5%20-%20RYSUNKI/2011-400-PRT-A0069148-B-&#321;&#261;cznik%20d&#378;wigni.STEP" TargetMode="External"/><Relationship Id="rId309" Type="http://schemas.openxmlformats.org/officeDocument/2006/relationships/hyperlink" Target="5%20-%20RYSUNKI/2011-400-PRT-A0068814-A-P&#322;yta%20dolna.DXF" TargetMode="External"/><Relationship Id="rId460" Type="http://schemas.openxmlformats.org/officeDocument/2006/relationships/hyperlink" Target="5%20-%20RYSUNKI/2011-200-PRT-A0071416-A-Kostka%20amortyzatora.STEP" TargetMode="External"/><Relationship Id="rId516" Type="http://schemas.openxmlformats.org/officeDocument/2006/relationships/hyperlink" Target="5%20-%20RYSUNKI/2011-600-PRT-A0070112-A-Adapter%20&#322;&#261;cznika.DXF" TargetMode="External"/><Relationship Id="rId698" Type="http://schemas.openxmlformats.org/officeDocument/2006/relationships/hyperlink" Target="5%20-%20RYSUNKI/2011-600-PRT-A0070122-A-Palec%20prz&#243;d.PDF" TargetMode="External"/><Relationship Id="rId919" Type="http://schemas.openxmlformats.org/officeDocument/2006/relationships/hyperlink" Target="5%20-%20RYSUNKI\2011-902-PRT-A0069226-A-Mocowanie%20odboju.PDF" TargetMode="External"/><Relationship Id="rId1090" Type="http://schemas.openxmlformats.org/officeDocument/2006/relationships/hyperlink" Target="5%20-%20RYSUNKI\2011-600-ASM-A0011301-A-Skrzynka%20spawana%20Fluke.PDF" TargetMode="External"/><Relationship Id="rId1104" Type="http://schemas.openxmlformats.org/officeDocument/2006/relationships/hyperlink" Target="5%20-%20RYSUNKI\2011-600-PRT-A0073469-A-Os&#322;ona%20lewa.PDF" TargetMode="External"/><Relationship Id="rId48" Type="http://schemas.openxmlformats.org/officeDocument/2006/relationships/hyperlink" Target="5%20-%20RYSUNKI/2011-400-PRT-A0068857-A-Tuleja%20prowadz&#261;ca.STEP" TargetMode="External"/><Relationship Id="rId113" Type="http://schemas.openxmlformats.org/officeDocument/2006/relationships/hyperlink" Target="5%20-%20RYSUNKI/2011-400-PRT-A0068859-A-&#346;lizg.DXF" TargetMode="External"/><Relationship Id="rId320" Type="http://schemas.openxmlformats.org/officeDocument/2006/relationships/hyperlink" Target="5%20-%20RYSUNKI/2011-400-PRT-A0068808-A-Mocowanie%20szyny.PDF" TargetMode="External"/><Relationship Id="rId558" Type="http://schemas.openxmlformats.org/officeDocument/2006/relationships/hyperlink" Target="5%20-%20RYSUNKI/2011-600-PRT-A0070492-A-Kostka%20elektryczna.DXF" TargetMode="External"/><Relationship Id="rId723" Type="http://schemas.openxmlformats.org/officeDocument/2006/relationships/hyperlink" Target="5%20-%20RYSUNKI/2011-901-PRT-A0068945-A-Tuleja%20popychacza.DXF" TargetMode="External"/><Relationship Id="rId765" Type="http://schemas.openxmlformats.org/officeDocument/2006/relationships/hyperlink" Target="5%20-%20RYSUNKI/2011-992-PRT-A0072854-Lustro-A-Gniazdo%20D&#378;wigni%20eCrafter%20Przesuwny%20RH.STEP" TargetMode="External"/><Relationship Id="rId930" Type="http://schemas.openxmlformats.org/officeDocument/2006/relationships/hyperlink" Target="5%20-%20RYSUNKI/2011-903-PRT-A0072928-B-Szcz&#281;ka.STEP" TargetMode="External"/><Relationship Id="rId972" Type="http://schemas.openxmlformats.org/officeDocument/2006/relationships/hyperlink" Target="5%20-%20RYSUNKI/2011-901-PRT-A0068950-B-Mocowanie%20popychacza.STEP" TargetMode="External"/><Relationship Id="rId1006" Type="http://schemas.openxmlformats.org/officeDocument/2006/relationships/hyperlink" Target="5%20-%20RYSUNKI\2011-903-PRT-A0072975-A-Mocowanie%20prowadnika.PDF" TargetMode="External"/><Relationship Id="rId155" Type="http://schemas.openxmlformats.org/officeDocument/2006/relationships/hyperlink" Target="5%20-%20RYSUNKI/2011-200-PRT-A0070317-A-Gniazdo%20RH%20cz1.DXF" TargetMode="External"/><Relationship Id="rId197" Type="http://schemas.openxmlformats.org/officeDocument/2006/relationships/hyperlink" Target="5%20-%20RYSUNKI/2011-200-PRT-A0069912-A-Podstawa%20szyny.DXF" TargetMode="External"/><Relationship Id="rId362" Type="http://schemas.openxmlformats.org/officeDocument/2006/relationships/hyperlink" Target="5%20-%20RYSUNKI/2011-400-PRT-A0068769-A-Kostka%20czujnika.PDF" TargetMode="External"/><Relationship Id="rId418" Type="http://schemas.openxmlformats.org/officeDocument/2006/relationships/hyperlink" Target="5%20-%20RYSUNKI/2011-200-PRT-A0072093-A-Uchwyt%20czujnika.STEP" TargetMode="External"/><Relationship Id="rId625" Type="http://schemas.openxmlformats.org/officeDocument/2006/relationships/hyperlink" Target="5%20-%20RYSUNKI/2011-600-PRT-A0070099-A-Wspornik%20pin&#243;w%202.STEP" TargetMode="External"/><Relationship Id="rId832" Type="http://schemas.openxmlformats.org/officeDocument/2006/relationships/hyperlink" Target="5%20-%20RYSUNKI\2011-902-PRT-A0069224-A-Trzpie&#324;.PDF" TargetMode="External"/><Relationship Id="rId1048" Type="http://schemas.openxmlformats.org/officeDocument/2006/relationships/hyperlink" Target="5%20-%20RYSUNKI\2011-904-PRT-A0070444-B-Mocowanie%20prowadnika.PDF" TargetMode="External"/><Relationship Id="rId222" Type="http://schemas.openxmlformats.org/officeDocument/2006/relationships/hyperlink" Target="5%20-%20RYSUNKI/2011-200-PRT-A0070004-A-Kostka%20podpierajaca.STEP" TargetMode="External"/><Relationship Id="rId264" Type="http://schemas.openxmlformats.org/officeDocument/2006/relationships/hyperlink" Target="5%20-%20RYSUNKI/2011-200-PRT-A0070409-A-Os&#322;onka.STEP" TargetMode="External"/><Relationship Id="rId471" Type="http://schemas.openxmlformats.org/officeDocument/2006/relationships/hyperlink" Target="5%20-%20RYSUNKI/2011-200-PRT-A0070615-A-Support%20uchwytu.DXF" TargetMode="External"/><Relationship Id="rId667" Type="http://schemas.openxmlformats.org/officeDocument/2006/relationships/hyperlink" Target="5%20-%20RYSUNKI/2011-600-PRT-A0070121-A-Wpust.STEP" TargetMode="External"/><Relationship Id="rId874" Type="http://schemas.openxmlformats.org/officeDocument/2006/relationships/hyperlink" Target="5%20-%20RYSUNKI\2011-903-PRT-A0072933-A-P&#322;yta.PDF" TargetMode="External"/><Relationship Id="rId1115" Type="http://schemas.openxmlformats.org/officeDocument/2006/relationships/hyperlink" Target="5%20-%20RYSUNKI/2011-600-PRT-A0073377-A-Okno.STEP" TargetMode="External"/><Relationship Id="rId17" Type="http://schemas.openxmlformats.org/officeDocument/2006/relationships/hyperlink" Target="5%20-%20RYSUNKI/2011-400-PRT-A0068851-A-P&#322;yta%20dolna.DXF" TargetMode="External"/><Relationship Id="rId59" Type="http://schemas.openxmlformats.org/officeDocument/2006/relationships/hyperlink" Target="5%20-%20RYSUNKI/2011-400-PRT-A0068854-A-Nakr&#281;tka.DXF" TargetMode="External"/><Relationship Id="rId124" Type="http://schemas.openxmlformats.org/officeDocument/2006/relationships/hyperlink" Target="5%20-%20RYSUNKI/000.MAG.50%20-%20M5%20x30.PDF" TargetMode="External"/><Relationship Id="rId527" Type="http://schemas.openxmlformats.org/officeDocument/2006/relationships/hyperlink" Target="5%20-%20RYSUNKI/2011-600-PRT-A0070132-A-Wkr&#281;t%20dociskowy.PDF" TargetMode="External"/><Relationship Id="rId569" Type="http://schemas.openxmlformats.org/officeDocument/2006/relationships/hyperlink" Target="5%20-%20RYSUNKI/2011-600-PRT-A0070546-A-Tuleja%20bazuj&#261;ca.PDF" TargetMode="External"/><Relationship Id="rId734" Type="http://schemas.openxmlformats.org/officeDocument/2006/relationships/hyperlink" Target="5%20-%20RYSUNKI\2011-901-PRT-A0068923-A-Popychacz.PDF" TargetMode="External"/><Relationship Id="rId776" Type="http://schemas.openxmlformats.org/officeDocument/2006/relationships/hyperlink" Target="5%20-%20RYSUNKI/2011-991-PRT-A0072855-C-Gniazdo%20eCrafter%20LH.DXF" TargetMode="External"/><Relationship Id="rId941" Type="http://schemas.openxmlformats.org/officeDocument/2006/relationships/hyperlink" Target="5%20-%20RYSUNKI/2011-902-PRT-A0069979-A-Element%20sprz&#281;gaj&#261;cy.DXF" TargetMode="External"/><Relationship Id="rId983" Type="http://schemas.openxmlformats.org/officeDocument/2006/relationships/hyperlink" Target="5%20-%20RYSUNKI\2011-992-PRT-A0073443-A-Gniazdo%20D&#378;wigni%20eCrafter%20Przesuwny%20LH.PDF" TargetMode="External"/><Relationship Id="rId70" Type="http://schemas.openxmlformats.org/officeDocument/2006/relationships/hyperlink" Target="5%20-%20RYSUNKI/2011-400-PRT-A0068776-A-Mocowanie%20prowadnika.PDF" TargetMode="External"/><Relationship Id="rId166" Type="http://schemas.openxmlformats.org/officeDocument/2006/relationships/hyperlink" Target="5%20-%20RYSUNKI/2011-200-PRT-A0070378-A-P&#322;ytka%20adaptera.PDF" TargetMode="External"/><Relationship Id="rId331" Type="http://schemas.openxmlformats.org/officeDocument/2006/relationships/hyperlink" Target="5%20-%20RYSUNKI/2011-400-PRT-A0068775-A-Gniazdo%20spr&#281;&#380;yny%20lewej.STEP" TargetMode="External"/><Relationship Id="rId373" Type="http://schemas.openxmlformats.org/officeDocument/2006/relationships/hyperlink" Target="5%20-%20RYSUNKI/2011-400-PRT-A0069198-A-Gniazdo%207.STEP" TargetMode="External"/><Relationship Id="rId429" Type="http://schemas.openxmlformats.org/officeDocument/2006/relationships/hyperlink" Target="5%20-%20RYSUNKI/2011-200-PRT-A0071260-A-Mocowanie%20chwytaka.DXF" TargetMode="External"/><Relationship Id="rId580" Type="http://schemas.openxmlformats.org/officeDocument/2006/relationships/hyperlink" Target="5%20-%20RYSUNKI/2011-600-PRT-A0071409-A-P&#322;ytka%20blokady.STEP" TargetMode="External"/><Relationship Id="rId636" Type="http://schemas.openxmlformats.org/officeDocument/2006/relationships/hyperlink" Target="5%20-%20RYSUNKI/2011-600-PRT-A0071266-A-Podpora%20PT.DXF" TargetMode="External"/><Relationship Id="rId801" Type="http://schemas.openxmlformats.org/officeDocument/2006/relationships/hyperlink" Target="5%20-%20RYSUNKI/2011-902-PRT-A0071207-A-Wa&#322;eczek.STEP" TargetMode="External"/><Relationship Id="rId1017" Type="http://schemas.openxmlformats.org/officeDocument/2006/relationships/hyperlink" Target="5%20-%20RYSUNKI/2011-990-PRT-A0072875-A-Mocowanie%20prowadnika.STEP" TargetMode="External"/><Relationship Id="rId1059" Type="http://schemas.openxmlformats.org/officeDocument/2006/relationships/hyperlink" Target="5%20-%20RYSUNKI/000.MAG.50%20-%20M6%20x30-H.STEP" TargetMode="External"/><Relationship Id="rId1" Type="http://schemas.openxmlformats.org/officeDocument/2006/relationships/hyperlink" Target="5%20-%20RYSUNKI/1704-01-PRT-A0065981-A-Os&#322;ona%203.PDF" TargetMode="External"/><Relationship Id="rId233" Type="http://schemas.openxmlformats.org/officeDocument/2006/relationships/hyperlink" Target="5%20-%20RYSUNKI/2011-200-PRT-A0069930-A-Przed&#322;u&#380;ka%20podci&#347;nienia%201.DXF" TargetMode="External"/><Relationship Id="rId440" Type="http://schemas.openxmlformats.org/officeDocument/2006/relationships/hyperlink" Target="5%20-%20RYSUNKI/2011-200-PRT-A0070662-A-P&#322;yta%20montazowa.PDF" TargetMode="External"/><Relationship Id="rId678" Type="http://schemas.openxmlformats.org/officeDocument/2006/relationships/hyperlink" Target="5%20-%20RYSUNKI/2011-600-PRT-A0070127-A-Pier&#347;cie&#324;%20dystansowy.DXF" TargetMode="External"/><Relationship Id="rId843" Type="http://schemas.openxmlformats.org/officeDocument/2006/relationships/hyperlink" Target="5%20-%20RYSUNKI/2011-901-PRT-A0068941-A-P&#322;ytka%20mocowania%20si&#322;ownika.STEP" TargetMode="External"/><Relationship Id="rId885" Type="http://schemas.openxmlformats.org/officeDocument/2006/relationships/hyperlink" Target="5%20-%20RYSUNKI/2011-903-PRT-A0072922-A-Obsada%20blokady%20spr&#281;&#380;ynki.STEP" TargetMode="External"/><Relationship Id="rId1070" Type="http://schemas.openxmlformats.org/officeDocument/2006/relationships/hyperlink" Target="5%20-%20RYSUNKI/000.MAG.90.06-B.DXF" TargetMode="External"/><Relationship Id="rId1126" Type="http://schemas.openxmlformats.org/officeDocument/2006/relationships/hyperlink" Target="5%20-%20RYSUNKI/2011-600-PRT-A0070131-A-Podstawa%20zespo&#322;u.DXF" TargetMode="External"/><Relationship Id="rId28" Type="http://schemas.openxmlformats.org/officeDocument/2006/relationships/hyperlink" Target="5%20-%20RYSUNKI/2011-400-PRT-A0068852-A-Tulejka%20.PDF" TargetMode="External"/><Relationship Id="rId275" Type="http://schemas.openxmlformats.org/officeDocument/2006/relationships/hyperlink" Target="5%20-%20RYSUNKI/2011-200-PRT-A0069909-A-&#379;ebro.PDF" TargetMode="External"/><Relationship Id="rId300" Type="http://schemas.openxmlformats.org/officeDocument/2006/relationships/hyperlink" Target="5%20-%20RYSUNKI/2011-400-PRT-A0068871-A-Oprawa%20d&#378;wigni%20prawa.DXF" TargetMode="External"/><Relationship Id="rId482" Type="http://schemas.openxmlformats.org/officeDocument/2006/relationships/hyperlink" Target="5%20-%20RYSUNKI/2011-200-PRT-A0071418-A-P&#322;ytka%20nierdzewna.PDF" TargetMode="External"/><Relationship Id="rId538" Type="http://schemas.openxmlformats.org/officeDocument/2006/relationships/hyperlink" Target="5%20-%20RYSUNKI/2011-600-PRT-A0070088-A-Tuleja%20docisku.STEP" TargetMode="External"/><Relationship Id="rId703" Type="http://schemas.openxmlformats.org/officeDocument/2006/relationships/hyperlink" Target="5%20-%20RYSUNKI/2011-600-PRT-A0070576-A-Odwa&#380;nik%20ty&#322;.STEP" TargetMode="External"/><Relationship Id="rId745" Type="http://schemas.openxmlformats.org/officeDocument/2006/relationships/hyperlink" Target="5%20-%20RYSUNKI/2011-992-PRT-A0073447-B-Gniazdo%20D&#378;wigni%20eCrafter%20Przesuwny%20LH.STEP" TargetMode="External"/><Relationship Id="rId910" Type="http://schemas.openxmlformats.org/officeDocument/2006/relationships/hyperlink" Target="5%20-%20RYSUNKI\2011-990-PRT-A0072862-B-Wspornik%20blokady.PDF" TargetMode="External"/><Relationship Id="rId952" Type="http://schemas.openxmlformats.org/officeDocument/2006/relationships/hyperlink" Target="5%20-%20RYSUNKI\2011-990-PRT-A0072865-A-Kostka%20podporowa.PDF" TargetMode="External"/><Relationship Id="rId81" Type="http://schemas.openxmlformats.org/officeDocument/2006/relationships/hyperlink" Target="5%20-%20RYSUNKI/2011-400-PRT-A0068785-A-P&#322;yta%20pionowa.STEP" TargetMode="External"/><Relationship Id="rId135" Type="http://schemas.openxmlformats.org/officeDocument/2006/relationships/hyperlink" Target="5%20-%20RYSUNKI/2011-200-PRT-A0069934-A-Blacha%20wzmacniaj&#261;ca.STEP" TargetMode="External"/><Relationship Id="rId177" Type="http://schemas.openxmlformats.org/officeDocument/2006/relationships/hyperlink" Target="5%20-%20RYSUNKI/2011-200-PRT-A0069974-A-Podstawka%20gniazda%20ECrafter%20LH.STEP" TargetMode="External"/><Relationship Id="rId342" Type="http://schemas.openxmlformats.org/officeDocument/2006/relationships/hyperlink" Target="5%20-%20RYSUNKI/2011-400-PRT-A0069182-A-Listwa%20spr&#281;&#380;yny%20prawa%201.DXF" TargetMode="External"/><Relationship Id="rId384" Type="http://schemas.openxmlformats.org/officeDocument/2006/relationships/hyperlink" Target="5%20-%20RYSUNKI/2011-400-PRT-A0068801-A-Podpora%20&#347;rodkowa%202.DXF" TargetMode="External"/><Relationship Id="rId591" Type="http://schemas.openxmlformats.org/officeDocument/2006/relationships/hyperlink" Target="5%20-%20RYSUNKI/2011-600-PRT-A0071433-A-P&#322;ytka%20&#322;&#261;cz&#261;ca.DXF" TargetMode="External"/><Relationship Id="rId605" Type="http://schemas.openxmlformats.org/officeDocument/2006/relationships/hyperlink" Target="5%20-%20RYSUNKI/2011-600-PRT-A0071410-A-P&#322;ytka%20si&#322;ownika.PDF" TargetMode="External"/><Relationship Id="rId787" Type="http://schemas.openxmlformats.org/officeDocument/2006/relationships/hyperlink" Target="5%20-%20RYSUNKI\2011-990-PRT-A0072863-B-Mocowanie%20szyny.PDF" TargetMode="External"/><Relationship Id="rId812" Type="http://schemas.openxmlformats.org/officeDocument/2006/relationships/hyperlink" Target="5%20-%20RYSUNKI/2011-900-PRT-A0070031-A-P&#322;yta%20narz&#281;dzia.DXF" TargetMode="External"/><Relationship Id="rId994" Type="http://schemas.openxmlformats.org/officeDocument/2006/relationships/hyperlink" Target="5%20-%20RYSUNKI\2011-903-PRT-A0072931-A-Blokada%20spr&#281;&#380;yny.PDF" TargetMode="External"/><Relationship Id="rId1028" Type="http://schemas.openxmlformats.org/officeDocument/2006/relationships/hyperlink" Target="5%20-%20RYSUNKI/2011-990-PRT-A0072867-A-Mocowanie.DXF" TargetMode="External"/><Relationship Id="rId202" Type="http://schemas.openxmlformats.org/officeDocument/2006/relationships/hyperlink" Target="5%20-%20RYSUNKI/2011-200-PRT-A0069906-A-P&#322;yta%20prasy.PDF" TargetMode="External"/><Relationship Id="rId244" Type="http://schemas.openxmlformats.org/officeDocument/2006/relationships/hyperlink" Target="5%20-%20RYSUNKI/2011-200-PRT-A0069919-A-Kostka%20zderzaka.PDF" TargetMode="External"/><Relationship Id="rId647" Type="http://schemas.openxmlformats.org/officeDocument/2006/relationships/hyperlink" Target="5%20-%20RYSUNKI/2011-600-PRT-A0071263-A-Dok&#322;adka%20PL.PDF" TargetMode="External"/><Relationship Id="rId689" Type="http://schemas.openxmlformats.org/officeDocument/2006/relationships/hyperlink" Target="5%20-%20RYSUNKI/2011--PRT-A0073178-B-Mocowanie%20si&#322;ownika.PDF" TargetMode="External"/><Relationship Id="rId854" Type="http://schemas.openxmlformats.org/officeDocument/2006/relationships/hyperlink" Target="5%20-%20RYSUNKI/2011-903-PRT-A0072940-B-Podk&#322;adka.DXF" TargetMode="External"/><Relationship Id="rId896" Type="http://schemas.openxmlformats.org/officeDocument/2006/relationships/hyperlink" Target="5%20-%20RYSUNKI/2011-903-PRT-A0072917-A-Kostka%20czujnika.DXF" TargetMode="External"/><Relationship Id="rId1081" Type="http://schemas.openxmlformats.org/officeDocument/2006/relationships/hyperlink" Target="5%20-%20RYSUNKI\2011-600-PRT-A0073372-A-Obudowa%20Fluke%203-3.PDF" TargetMode="External"/><Relationship Id="rId39" Type="http://schemas.openxmlformats.org/officeDocument/2006/relationships/hyperlink" Target="5%20-%20RYSUNKI/2011-400-PRT-A0068844-A-P&#322;ytka%20boczna.STEP" TargetMode="External"/><Relationship Id="rId286" Type="http://schemas.openxmlformats.org/officeDocument/2006/relationships/hyperlink" Target="5%20-%20RYSUNKI/2011-200-PRT-A0069936-A-P&#322;ytka%20oporowa%20obrotu.STEP" TargetMode="External"/><Relationship Id="rId451" Type="http://schemas.openxmlformats.org/officeDocument/2006/relationships/hyperlink" Target="5%20-%20RYSUNKI/2011-200-PRT-A0070624-A-P&#322;yta%20mocuj&#261;ca.STEP" TargetMode="External"/><Relationship Id="rId493" Type="http://schemas.openxmlformats.org/officeDocument/2006/relationships/hyperlink" Target="5%20-%20RYSUNKI/2011-200-PRT-A0070613-A-Support%20uchwytu.STEP" TargetMode="External"/><Relationship Id="rId507" Type="http://schemas.openxmlformats.org/officeDocument/2006/relationships/hyperlink" Target="5%20-%20RYSUNKI/2011-600-PRT-A0070117-A-P&#322;yta%20zespo&#322;u%20dojazdu.DXF" TargetMode="External"/><Relationship Id="rId549" Type="http://schemas.openxmlformats.org/officeDocument/2006/relationships/hyperlink" Target="5%20-%20RYSUNKI/2011-600-PRT-A0070490-A-Wspornik%20si&#322;ownika%201.DXF" TargetMode="External"/><Relationship Id="rId714" Type="http://schemas.openxmlformats.org/officeDocument/2006/relationships/hyperlink" Target="5%20-%20RYSUNKI/2011-600-PRT-A0070124-A-Mocowanie%20czujnik&#243;w.DXF" TargetMode="External"/><Relationship Id="rId756" Type="http://schemas.openxmlformats.org/officeDocument/2006/relationships/hyperlink" Target="5%20-%20RYSUNKI/2011-992-PRT-A0073441-A-Gniazdo%20D&#378;wigni%20eCrafter%20Przesuwny%20LH.STEP" TargetMode="External"/><Relationship Id="rId921" Type="http://schemas.openxmlformats.org/officeDocument/2006/relationships/hyperlink" Target="5%20-%20RYSUNKI/2011-902-PRT-A0069226-A-Mocowanie%20odboju.STEP" TargetMode="External"/><Relationship Id="rId50" Type="http://schemas.openxmlformats.org/officeDocument/2006/relationships/hyperlink" Target="5%20-%20RYSUNKI/2011-400-PRT-A0068858-A-Gniazdo%20pina.DXF" TargetMode="External"/><Relationship Id="rId104" Type="http://schemas.openxmlformats.org/officeDocument/2006/relationships/hyperlink" Target="5%20-%20RYSUNKI/2011-400-PRT-A0068862-A-P&#322;yta%20narz&#281;dzia.DXF" TargetMode="External"/><Relationship Id="rId146" Type="http://schemas.openxmlformats.org/officeDocument/2006/relationships/hyperlink" Target="5%20-%20RYSUNKI/2011-200-PRT-A0069923-A-Blaszka%20amortyzatora.DXF" TargetMode="External"/><Relationship Id="rId188" Type="http://schemas.openxmlformats.org/officeDocument/2006/relationships/hyperlink" Target="5%20-%20RYSUNKI/2011-200-PRT-A0069917-A-Zastrza&#322;%20osi%20Z.DXF" TargetMode="External"/><Relationship Id="rId311" Type="http://schemas.openxmlformats.org/officeDocument/2006/relationships/hyperlink" Target="5%20-%20RYSUNKI/2011-400-PRT-A0068811-A-P&#322;yta%20pionowa%20prz&#243;d.PDF" TargetMode="External"/><Relationship Id="rId353" Type="http://schemas.openxmlformats.org/officeDocument/2006/relationships/hyperlink" Target="5%20-%20RYSUNKI/2011-400-PRT-A0068772-A-Oprawa%20d&#378;wigni.PDF" TargetMode="External"/><Relationship Id="rId395" Type="http://schemas.openxmlformats.org/officeDocument/2006/relationships/hyperlink" Target="5%20-%20RYSUNKI/2011-400-PRT-A0068794-A-Gniazdo%204.PDF" TargetMode="External"/><Relationship Id="rId409" Type="http://schemas.openxmlformats.org/officeDocument/2006/relationships/hyperlink" Target="5%20-%20RYSUNKI/2011-200-PRT-A0071752-A-Kostka%20mocuj&#261;ca.STEP" TargetMode="External"/><Relationship Id="rId560" Type="http://schemas.openxmlformats.org/officeDocument/2006/relationships/hyperlink" Target="5%20-%20RYSUNKI/2011-600-PRT-A0070089-A-Ramie%20dociskowe.PDF" TargetMode="External"/><Relationship Id="rId798" Type="http://schemas.openxmlformats.org/officeDocument/2006/relationships/hyperlink" Target="5%20-%20RYSUNKI/2011-904-PRT-A0071248-A-P&#322;yta.STEP" TargetMode="External"/><Relationship Id="rId963" Type="http://schemas.openxmlformats.org/officeDocument/2006/relationships/hyperlink" Target="5%20-%20RYSUNKI/2011-902-PRT-A0070000-A-Element%20sprz&#281;gaj&#261;cy.STEP" TargetMode="External"/><Relationship Id="rId1039" Type="http://schemas.openxmlformats.org/officeDocument/2006/relationships/hyperlink" Target="5%20-%20RYSUNKI\2011-902-PRT-A0071206-A-Os&#322;ona.PDF" TargetMode="External"/><Relationship Id="rId92" Type="http://schemas.openxmlformats.org/officeDocument/2006/relationships/hyperlink" Target="5%20-%20RYSUNKI/2011-400-PRT-A0068780-A-Mocowanie%20si&#322;ownika.DXF" TargetMode="External"/><Relationship Id="rId213" Type="http://schemas.openxmlformats.org/officeDocument/2006/relationships/hyperlink" Target="5%20-%20RYSUNKI/2011-200-PRT-A0070506-A-Os&#322;ona%20dolna%20podmonta&#380;u.STEP" TargetMode="External"/><Relationship Id="rId420" Type="http://schemas.openxmlformats.org/officeDocument/2006/relationships/hyperlink" Target="5%20-%20RYSUNKI/2011-200-PRT-A0072092-A-Uchwyt%20czujnika.DXF" TargetMode="External"/><Relationship Id="rId616" Type="http://schemas.openxmlformats.org/officeDocument/2006/relationships/hyperlink" Target="5%20-%20RYSUNKI/2011-600-PRT-A0073136-A-Mocowanie%20BSC00PJ.STEP" TargetMode="External"/><Relationship Id="rId658" Type="http://schemas.openxmlformats.org/officeDocument/2006/relationships/hyperlink" Target="5%20-%20RYSUNKI/2011-600-PRT-A0070418-A-&#346;ciana%20prawa.STEP" TargetMode="External"/><Relationship Id="rId823" Type="http://schemas.openxmlformats.org/officeDocument/2006/relationships/hyperlink" Target="5%20-%20RYSUNKI\2011-901-PRT-A0068942-A-P&#322;yta%20dolna.PDF" TargetMode="External"/><Relationship Id="rId865" Type="http://schemas.openxmlformats.org/officeDocument/2006/relationships/hyperlink" Target="5%20-%20RYSUNKI\2011-903-PRT-A0072936-A-P&#322;yta.PDF" TargetMode="External"/><Relationship Id="rId1050" Type="http://schemas.openxmlformats.org/officeDocument/2006/relationships/hyperlink" Target="5%20-%20RYSUNKI/2011-904-PRT-A0070444-B-Mocowanie%20prowadnika.STEP" TargetMode="External"/><Relationship Id="rId255" Type="http://schemas.openxmlformats.org/officeDocument/2006/relationships/hyperlink" Target="5%20-%20RYSUNKI/2011-200-PRT-A0070375-A-Gniazdko%20switch&#243;w.STEP" TargetMode="External"/><Relationship Id="rId297" Type="http://schemas.openxmlformats.org/officeDocument/2006/relationships/hyperlink" Target="5%20-%20RYSUNKI/2011-400-PRT-A0068864-A-Mocowanie%20w&#243;zk&#243;w.DXF" TargetMode="External"/><Relationship Id="rId462" Type="http://schemas.openxmlformats.org/officeDocument/2006/relationships/hyperlink" Target="5%20-%20RYSUNKI/2011-200-PRT-A0071187-A-Kostka%20pozycjonuj&#261;ca.DXF" TargetMode="External"/><Relationship Id="rId518" Type="http://schemas.openxmlformats.org/officeDocument/2006/relationships/hyperlink" Target="5%20-%20RYSUNKI/2011-600-PRT-A0070116-A-P&#322;yta%20supportu%201.PDF" TargetMode="External"/><Relationship Id="rId725" Type="http://schemas.openxmlformats.org/officeDocument/2006/relationships/hyperlink" Target="5%20-%20RYSUNKI\2011-901-PRT-A0068931-A-Nakr&#281;tka%20specjalna.PDF" TargetMode="External"/><Relationship Id="rId932" Type="http://schemas.openxmlformats.org/officeDocument/2006/relationships/hyperlink" Target="5%20-%20RYSUNKI/2011-903-PRT-A0072927-A-Chwytak%20beczki.DXF" TargetMode="External"/><Relationship Id="rId1092" Type="http://schemas.openxmlformats.org/officeDocument/2006/relationships/hyperlink" Target="5%20-%20RYSUNKI\2011-600-PRT-A0073479-A-K&#261;townik%20mocuj&#261;cy.PDF" TargetMode="External"/><Relationship Id="rId1106" Type="http://schemas.openxmlformats.org/officeDocument/2006/relationships/hyperlink" Target="5%20-%20RYSUNKI/2011-600-PRT-A0073469-A-Os&#322;ona%20lewa.STEP" TargetMode="External"/><Relationship Id="rId115" Type="http://schemas.openxmlformats.org/officeDocument/2006/relationships/hyperlink" Target="5%20-%20RYSUNKI/2011-800-PRT-A0069838-A-Uchwyt%20czujnika.PDF" TargetMode="External"/><Relationship Id="rId157" Type="http://schemas.openxmlformats.org/officeDocument/2006/relationships/hyperlink" Target="5%20-%20RYSUNKI/2011-200-PRT-A0069982-A-Gniazdo%20LH%20cz2.PDF" TargetMode="External"/><Relationship Id="rId322" Type="http://schemas.openxmlformats.org/officeDocument/2006/relationships/hyperlink" Target="5%20-%20RYSUNKI/2011-400-PRT-A0068808-A-Mocowanie%20szyny.STEP" TargetMode="External"/><Relationship Id="rId364" Type="http://schemas.openxmlformats.org/officeDocument/2006/relationships/hyperlink" Target="5%20-%20RYSUNKI/2011-400-PRT-A0068769-A-Kostka%20czujnika.STEP" TargetMode="External"/><Relationship Id="rId767" Type="http://schemas.openxmlformats.org/officeDocument/2006/relationships/hyperlink" Target="5%20-%20RYSUNKI/2011-990-PRT-A0072879-A-Os&#322;ona.DXF" TargetMode="External"/><Relationship Id="rId974" Type="http://schemas.openxmlformats.org/officeDocument/2006/relationships/hyperlink" Target="5%20-%20RYSUNKI/2011-901-PRT-A0068944-A-Element%20sprz&#281;gaj&#261;cy.DXF" TargetMode="External"/><Relationship Id="rId1008" Type="http://schemas.openxmlformats.org/officeDocument/2006/relationships/hyperlink" Target="5%20-%20RYSUNKI/2011-903-PRT-A0072975-A-Mocowanie%20prowadnika.STEP" TargetMode="External"/><Relationship Id="rId61" Type="http://schemas.openxmlformats.org/officeDocument/2006/relationships/hyperlink" Target="5%20-%20RYSUNKI/2011-400-PRT-A0068853-A-Nakr&#281;tka%202.PDF" TargetMode="External"/><Relationship Id="rId199" Type="http://schemas.openxmlformats.org/officeDocument/2006/relationships/hyperlink" Target="5%20-%20RYSUNKI/2011-200-PRT-A0069910-A-P&#322;yta%20suportu.PDF" TargetMode="External"/><Relationship Id="rId571" Type="http://schemas.openxmlformats.org/officeDocument/2006/relationships/hyperlink" Target="5%20-%20RYSUNKI/2011-600-PRT-A0070546-A-Tuleja%20bazuj&#261;ca.STEP" TargetMode="External"/><Relationship Id="rId627" Type="http://schemas.openxmlformats.org/officeDocument/2006/relationships/hyperlink" Target="5%20-%20RYSUNKI/2011-600-PRT-A0070098-A-Kostka%20elektryczna.DXF" TargetMode="External"/><Relationship Id="rId669" Type="http://schemas.openxmlformats.org/officeDocument/2006/relationships/hyperlink" Target="5%20-%20RYSUNKI/2011-600-PRT-A0070125-A-Pokrywa%20&#322;o&#380;yska.DXF" TargetMode="External"/><Relationship Id="rId834" Type="http://schemas.openxmlformats.org/officeDocument/2006/relationships/hyperlink" Target="5%20-%20RYSUNKI/2011-902-PRT-A0069224-A-Trzpie&#324;.STEP" TargetMode="External"/><Relationship Id="rId876" Type="http://schemas.openxmlformats.org/officeDocument/2006/relationships/hyperlink" Target="5%20-%20RYSUNKI/2011-903-PRT-A0072933-A-P&#322;yta.STEP" TargetMode="External"/><Relationship Id="rId19" Type="http://schemas.openxmlformats.org/officeDocument/2006/relationships/hyperlink" Target="5%20-%20RYSUNKI/2011-400-PRT-A0068849-A-Mocowanie%20si&#322;ownika%201.PDF" TargetMode="External"/><Relationship Id="rId224" Type="http://schemas.openxmlformats.org/officeDocument/2006/relationships/hyperlink" Target="5%20-%20RYSUNKI/2011-200-PRT-A0069999-A-Kosteczka%20regulacyjna.DXF" TargetMode="External"/><Relationship Id="rId266" Type="http://schemas.openxmlformats.org/officeDocument/2006/relationships/hyperlink" Target="5%20-%20RYSUNKI/2011-200-PRT-A0070407-A-Os&#322;onka%20boczna.DXF" TargetMode="External"/><Relationship Id="rId431" Type="http://schemas.openxmlformats.org/officeDocument/2006/relationships/hyperlink" Target="5%20-%20RYSUNKI/2011-200-PRT-A0071141-A-Profil%20aluminiowy.PDF" TargetMode="External"/><Relationship Id="rId473" Type="http://schemas.openxmlformats.org/officeDocument/2006/relationships/hyperlink" Target="5%20-%20RYSUNKI/2011-200-PRT-A0070614-A-Support%20uchwytu.PDF" TargetMode="External"/><Relationship Id="rId529" Type="http://schemas.openxmlformats.org/officeDocument/2006/relationships/hyperlink" Target="5%20-%20RYSUNKI/2011-600-PRT-A0070132-A-Wkr&#281;t%20dociskowy.STEP" TargetMode="External"/><Relationship Id="rId680" Type="http://schemas.openxmlformats.org/officeDocument/2006/relationships/hyperlink" Target="5%20-%20RYSUNKI/2011--PRT-A0073184-B-Uchwyt%20si&#322;ownika.PDF" TargetMode="External"/><Relationship Id="rId736" Type="http://schemas.openxmlformats.org/officeDocument/2006/relationships/hyperlink" Target="5%20-%20RYSUNKI/2011-901-PRT-A0068923-A-Popychacz.STEP" TargetMode="External"/><Relationship Id="rId901" Type="http://schemas.openxmlformats.org/officeDocument/2006/relationships/hyperlink" Target="5%20-%20RYSUNKI\2011-990-PRT-A0072872-A-Wspornik%20blokady.PDF" TargetMode="External"/><Relationship Id="rId1061" Type="http://schemas.openxmlformats.org/officeDocument/2006/relationships/hyperlink" Target="5%20-%20RYSUNKI/000.MAG.50%20-%20M5%20x%20L-C.DXF" TargetMode="External"/><Relationship Id="rId1117" Type="http://schemas.openxmlformats.org/officeDocument/2006/relationships/hyperlink" Target="5%20-%20RYSUNKI/2011-600-PRT-A0073401-A-Mocowanie%20magnesu.DXF" TargetMode="External"/><Relationship Id="rId30" Type="http://schemas.openxmlformats.org/officeDocument/2006/relationships/hyperlink" Target="5%20-%20RYSUNKI/2011-400-PRT-A0068852-A-Tulejka%20.STEP" TargetMode="External"/><Relationship Id="rId126" Type="http://schemas.openxmlformats.org/officeDocument/2006/relationships/hyperlink" Target="5%20-%20RYSUNKI/000.MAG.50%20-%20M5%20x30.STEP" TargetMode="External"/><Relationship Id="rId168" Type="http://schemas.openxmlformats.org/officeDocument/2006/relationships/hyperlink" Target="5%20-%20RYSUNKI/2011-200-PRT-A0070378-A-P&#322;ytka%20adaptera.STEP" TargetMode="External"/><Relationship Id="rId333" Type="http://schemas.openxmlformats.org/officeDocument/2006/relationships/hyperlink" Target="5%20-%20RYSUNKI/2011-400-PRT-A0068774-A-D&#378;wignia%20lewa.DXF" TargetMode="External"/><Relationship Id="rId540" Type="http://schemas.openxmlformats.org/officeDocument/2006/relationships/hyperlink" Target="5%20-%20RYSUNKI/2011-600-PRT-A0070498-A-Mocowanie%20podpory%20przedniej.DXF" TargetMode="External"/><Relationship Id="rId778" Type="http://schemas.openxmlformats.org/officeDocument/2006/relationships/hyperlink" Target="5%20-%20RYSUNKI\2011-903-PRT-A0072923-A-Dystans%20si&#322;ownika.PDF" TargetMode="External"/><Relationship Id="rId943" Type="http://schemas.openxmlformats.org/officeDocument/2006/relationships/hyperlink" Target="5%20-%20RYSUNKI\2011-901-PRT-A0068943-A-Element%20sprz&#281;gaj&#261;cy.PDF" TargetMode="External"/><Relationship Id="rId985" Type="http://schemas.openxmlformats.org/officeDocument/2006/relationships/hyperlink" Target="5%20-%20RYSUNKI/2011-992-PRT-A0073443-A-Gniazdo%20D&#378;wigni%20eCrafter%20Przesuwny%20LH.STEP" TargetMode="External"/><Relationship Id="rId1019" Type="http://schemas.openxmlformats.org/officeDocument/2006/relationships/hyperlink" Target="5%20-%20RYSUNKI/2011-990-PRT-A0072874-A-Mocowanie%20prowadnik&#243;w.DXF" TargetMode="External"/><Relationship Id="rId72" Type="http://schemas.openxmlformats.org/officeDocument/2006/relationships/hyperlink" Target="5%20-%20RYSUNKI/2011-400-PRT-A0068776-A-Mocowanie%20prowadnika.STEP" TargetMode="External"/><Relationship Id="rId375" Type="http://schemas.openxmlformats.org/officeDocument/2006/relationships/hyperlink" Target="5%20-%20RYSUNKI/2011-400-PRT-A0069181-A-Podpora%20sr&#281;&#380;yny%20prawa.DXF" TargetMode="External"/><Relationship Id="rId582" Type="http://schemas.openxmlformats.org/officeDocument/2006/relationships/hyperlink" Target="5%20-%20RYSUNKI/2011-600-PRT-A0071429-A-O&#347;.DXF" TargetMode="External"/><Relationship Id="rId638" Type="http://schemas.openxmlformats.org/officeDocument/2006/relationships/hyperlink" Target="5%20-%20RYSUNKI/2011-600-PRT-A0071261-A-Podpora%20TL.PDF" TargetMode="External"/><Relationship Id="rId803" Type="http://schemas.openxmlformats.org/officeDocument/2006/relationships/hyperlink" Target="5%20-%20RYSUNKI/2011-904-PRT-A0070448-A-&#379;ebro.DXF" TargetMode="External"/><Relationship Id="rId845" Type="http://schemas.openxmlformats.org/officeDocument/2006/relationships/hyperlink" Target="5%20-%20RYSUNKI/2011-903-PRT-A0072944-A-&#379;ebro.DXF" TargetMode="External"/><Relationship Id="rId1030" Type="http://schemas.openxmlformats.org/officeDocument/2006/relationships/hyperlink" Target="5%20-%20RYSUNKI\2011-902-PRT-A0072718-A-Mocowanie.PDF" TargetMode="External"/><Relationship Id="rId3" Type="http://schemas.openxmlformats.org/officeDocument/2006/relationships/hyperlink" Target="5%20-%20RYSUNKI/1704-01-PRT-A0065981-A-Os&#322;ona%203.STEP" TargetMode="External"/><Relationship Id="rId235" Type="http://schemas.openxmlformats.org/officeDocument/2006/relationships/hyperlink" Target="5%20-%20RYSUNKI/2011-200-PRT-A0069924-A-Kosteczka%20oporowa.PDF" TargetMode="External"/><Relationship Id="rId277" Type="http://schemas.openxmlformats.org/officeDocument/2006/relationships/hyperlink" Target="5%20-%20RYSUNKI/2011-200-PRT-A0069909-A-&#379;ebro.STEP" TargetMode="External"/><Relationship Id="rId400" Type="http://schemas.openxmlformats.org/officeDocument/2006/relationships/hyperlink" Target="5%20-%20RYSUNKI/2011-400-PRT-A0068791-A-Podpora%20&#347;rodkowa%203.STEP" TargetMode="External"/><Relationship Id="rId442" Type="http://schemas.openxmlformats.org/officeDocument/2006/relationships/hyperlink" Target="5%20-%20RYSUNKI/2011-200-PRT-A0070662-A-P&#322;yta%20montazowa.STEP" TargetMode="External"/><Relationship Id="rId484" Type="http://schemas.openxmlformats.org/officeDocument/2006/relationships/hyperlink" Target="5%20-%20RYSUNKI/2011-200-PRT-A0071418-A-P&#322;ytka%20nierdzewna.STEP" TargetMode="External"/><Relationship Id="rId705" Type="http://schemas.openxmlformats.org/officeDocument/2006/relationships/hyperlink" Target="5%20-%20RYSUNKI/2011-600-PRT-A0070575-A-Rami&#281;%20ty&#322;.DXF" TargetMode="External"/><Relationship Id="rId887" Type="http://schemas.openxmlformats.org/officeDocument/2006/relationships/hyperlink" Target="5%20-%20RYSUNKI/2011-903-PRT-A0072920-A-Kostka%20zderzaka.DXF" TargetMode="External"/><Relationship Id="rId1072" Type="http://schemas.openxmlformats.org/officeDocument/2006/relationships/hyperlink" Target="5%20-%20RYSUNKI\000.MAG.50%20-%20M5-A.PDF" TargetMode="External"/><Relationship Id="rId1128" Type="http://schemas.openxmlformats.org/officeDocument/2006/relationships/printerSettings" Target="../printerSettings/printerSettings2.bin"/><Relationship Id="rId137" Type="http://schemas.openxmlformats.org/officeDocument/2006/relationships/hyperlink" Target="5%20-%20RYSUNKI/2011-200-PRT-A0069927-A-Blaszka%20prowadnika%20poziomego%20sta&#322;a.DXF" TargetMode="External"/><Relationship Id="rId302" Type="http://schemas.openxmlformats.org/officeDocument/2006/relationships/hyperlink" Target="5%20-%20RYSUNKI/2011-400-PRT-A0069230-A-Gniazdo%2010.PDF" TargetMode="External"/><Relationship Id="rId344" Type="http://schemas.openxmlformats.org/officeDocument/2006/relationships/hyperlink" Target="5%20-%20RYSUNKI/2011-400-PRT-A0068813-A-Zderzak.PDF" TargetMode="External"/><Relationship Id="rId691" Type="http://schemas.openxmlformats.org/officeDocument/2006/relationships/hyperlink" Target="5%20-%20RYSUNKI/2011--PRT-A0073178-B-Mocowanie%20si&#322;ownika.STEP" TargetMode="External"/><Relationship Id="rId747" Type="http://schemas.openxmlformats.org/officeDocument/2006/relationships/hyperlink" Target="5%20-%20RYSUNKI\2011-992-PRT-A0073446-A-Gniazdo%20D&#378;wigni%20eCrafter%20Przesuwny%20LH.PDF" TargetMode="External"/><Relationship Id="rId789" Type="http://schemas.openxmlformats.org/officeDocument/2006/relationships/hyperlink" Target="5%20-%20RYSUNKI/2011-990-PRT-A0072863-B-Mocowanie%20szyny.STEP" TargetMode="External"/><Relationship Id="rId912" Type="http://schemas.openxmlformats.org/officeDocument/2006/relationships/hyperlink" Target="5%20-%20RYSUNKI/2011-990-PRT-A0072862-B-Wspornik%20blokady.STEP" TargetMode="External"/><Relationship Id="rId954" Type="http://schemas.openxmlformats.org/officeDocument/2006/relationships/hyperlink" Target="5%20-%20RYSUNKI/2011-990-PRT-A0072865-A-Kostka%20podporowa.STEP" TargetMode="External"/><Relationship Id="rId996" Type="http://schemas.openxmlformats.org/officeDocument/2006/relationships/hyperlink" Target="5%20-%20RYSUNKI/2011-903-PRT-A0072931-A-Blokada%20spr&#281;&#380;yny.STEP" TargetMode="External"/><Relationship Id="rId41" Type="http://schemas.openxmlformats.org/officeDocument/2006/relationships/hyperlink" Target="5%20-%20RYSUNKI/2011-400-PRT-A0068842-A-Mocowanie%20wypychacza.DXF" TargetMode="External"/><Relationship Id="rId83" Type="http://schemas.openxmlformats.org/officeDocument/2006/relationships/hyperlink" Target="5%20-%20RYSUNKI/2011-400-PRT-A0068784-A-P&#322;ytka%20dolna.DXF" TargetMode="External"/><Relationship Id="rId179" Type="http://schemas.openxmlformats.org/officeDocument/2006/relationships/hyperlink" Target="5%20-%20RYSUNKI/2011-200-PRT-A0069970-A-P&#322;yta%20pod%20gniazdami.DXF" TargetMode="External"/><Relationship Id="rId386" Type="http://schemas.openxmlformats.org/officeDocument/2006/relationships/hyperlink" Target="5%20-%20RYSUNKI/2011-400-PRT-A0068799-A-Gniazdo%201.PDF" TargetMode="External"/><Relationship Id="rId551" Type="http://schemas.openxmlformats.org/officeDocument/2006/relationships/hyperlink" Target="5%20-%20RYSUNKI/2011-600-PRT-A0070107-A-P&#322;yta%20g&#322;&#243;wna.PDF" TargetMode="External"/><Relationship Id="rId593" Type="http://schemas.openxmlformats.org/officeDocument/2006/relationships/hyperlink" Target="5%20-%20RYSUNKI/2011-600-PRT-A0071423-A-P&#322;ytka%20po&#347;rednia.PDF" TargetMode="External"/><Relationship Id="rId607" Type="http://schemas.openxmlformats.org/officeDocument/2006/relationships/hyperlink" Target="5%20-%20RYSUNKI/2011-600-PRT-A0071410-A-P&#322;ytka%20si&#322;ownika.STEP" TargetMode="External"/><Relationship Id="rId649" Type="http://schemas.openxmlformats.org/officeDocument/2006/relationships/hyperlink" Target="5%20-%20RYSUNKI/2011-600-PRT-A0071263-A-Dok&#322;adka%20PL.STEP" TargetMode="External"/><Relationship Id="rId814" Type="http://schemas.openxmlformats.org/officeDocument/2006/relationships/hyperlink" Target="5%20-%20RYSUNKI\2011-902-PRT-A0069228-A-Mocowanie%20szyny.PDF" TargetMode="External"/><Relationship Id="rId856" Type="http://schemas.openxmlformats.org/officeDocument/2006/relationships/hyperlink" Target="5%20-%20RYSUNKI\2011-903-PRT-A0072939-A-Podpora.PDF" TargetMode="External"/><Relationship Id="rId190" Type="http://schemas.openxmlformats.org/officeDocument/2006/relationships/hyperlink" Target="5%20-%20RYSUNKI/2011-200-PRT-A0069916-A-Mocowanie%20sprz&#281;g&#322;a%20o&#347;%20Z.PDF" TargetMode="External"/><Relationship Id="rId204" Type="http://schemas.openxmlformats.org/officeDocument/2006/relationships/hyperlink" Target="5%20-%20RYSUNKI/2011-200-PRT-A0069906-A-P&#322;yta%20prasy.STEP" TargetMode="External"/><Relationship Id="rId246" Type="http://schemas.openxmlformats.org/officeDocument/2006/relationships/hyperlink" Target="5%20-%20RYSUNKI/2011-200-PRT-A0069919-A-Kostka%20zderzaka.STEP" TargetMode="External"/><Relationship Id="rId288" Type="http://schemas.openxmlformats.org/officeDocument/2006/relationships/hyperlink" Target="5%20-%20RYSUNKI/2011-400-PRT-A0069265-A-Uchwyt%20czujnika%202.DXF" TargetMode="External"/><Relationship Id="rId411" Type="http://schemas.openxmlformats.org/officeDocument/2006/relationships/hyperlink" Target="5%20-%20RYSUNKI/2011-200-PRT-A0071269-A-Kostka%20si&#322;ownika.DXF" TargetMode="External"/><Relationship Id="rId453" Type="http://schemas.openxmlformats.org/officeDocument/2006/relationships/hyperlink" Target="5%20-%20RYSUNKI/2011-200-PRT-A0070607-A-P&#322;yta%20monra&#380;owa.DXF" TargetMode="External"/><Relationship Id="rId509" Type="http://schemas.openxmlformats.org/officeDocument/2006/relationships/hyperlink" Target="5%20-%20RYSUNKI/2011-600-PRT-A0070112-A-Adapter%20&#322;&#261;cznika.PDF" TargetMode="External"/><Relationship Id="rId660" Type="http://schemas.openxmlformats.org/officeDocument/2006/relationships/hyperlink" Target="5%20-%20RYSUNKI/2011-600-PRT-A0070548-A-&#346;ciana%20lewa.DXF" TargetMode="External"/><Relationship Id="rId898" Type="http://schemas.openxmlformats.org/officeDocument/2006/relationships/hyperlink" Target="5%20-%20RYSUNKI\2011-990-PRT-A0072873-A-Wspornik%20blokady.PDF" TargetMode="External"/><Relationship Id="rId1041" Type="http://schemas.openxmlformats.org/officeDocument/2006/relationships/hyperlink" Target="5%20-%20RYSUNKI/2011-902-PRT-A0071206-A-Os&#322;ona.STEP" TargetMode="External"/><Relationship Id="rId1083" Type="http://schemas.openxmlformats.org/officeDocument/2006/relationships/hyperlink" Target="5%20-%20RYSUNKI/2011-600-PRT-A0073372-A-Obudowa%20Fluke%203-3.STEP" TargetMode="External"/><Relationship Id="rId106" Type="http://schemas.openxmlformats.org/officeDocument/2006/relationships/hyperlink" Target="5%20-%20RYSUNKI/2011-400-PRT-A0068861-A-P&#322;ytka%20naro&#380;na.PDF" TargetMode="External"/><Relationship Id="rId313" Type="http://schemas.openxmlformats.org/officeDocument/2006/relationships/hyperlink" Target="5%20-%20RYSUNKI/2011-400-PRT-A0068811-A-P&#322;yta%20pionowa%20prz&#243;d.STEP" TargetMode="External"/><Relationship Id="rId495" Type="http://schemas.openxmlformats.org/officeDocument/2006/relationships/hyperlink" Target="5%20-%20RYSUNKI/2011-200-PRT-A0070612-A-Support%20uchwytu.DXF" TargetMode="External"/><Relationship Id="rId716" Type="http://schemas.openxmlformats.org/officeDocument/2006/relationships/hyperlink" Target="5%20-%20RYSUNKI\2011-904-PRT-A0070449-A-Wa&#322;ek%20docisku.PDF" TargetMode="External"/><Relationship Id="rId758" Type="http://schemas.openxmlformats.org/officeDocument/2006/relationships/hyperlink" Target="5%20-%20RYSUNKI\2011-992-PRT-A0073440-A-Gniazdo%20D&#378;wigni%20eCrafter%20Przesuwny%20LH.PDF" TargetMode="External"/><Relationship Id="rId923" Type="http://schemas.openxmlformats.org/officeDocument/2006/relationships/hyperlink" Target="5%20-%20RYSUNKI/2011-901-PRT-A0068946-A-P&#322;yta%20po&#347;rednia.DXF" TargetMode="External"/><Relationship Id="rId965" Type="http://schemas.openxmlformats.org/officeDocument/2006/relationships/hyperlink" Target="5%20-%20RYSUNKI/2011-902-PRT-A0069221-A-Dystans.DXF" TargetMode="External"/><Relationship Id="rId10" Type="http://schemas.openxmlformats.org/officeDocument/2006/relationships/hyperlink" Target="5%20-%20RYSUNKI/1704-01-PRT-A0065972-A-Os&#322;ona.PDF" TargetMode="External"/><Relationship Id="rId52" Type="http://schemas.openxmlformats.org/officeDocument/2006/relationships/hyperlink" Target="5%20-%20RYSUNKI/2011-400-PRT-A0068856-A-Tuleja%20ko&#324;cowa.PDF" TargetMode="External"/><Relationship Id="rId94" Type="http://schemas.openxmlformats.org/officeDocument/2006/relationships/hyperlink" Target="5%20-%20RYSUNKI/2011-400-PRT-A0068779-A-Mocowanie%20sprz&#281;g&#322;a.PDF" TargetMode="External"/><Relationship Id="rId148" Type="http://schemas.openxmlformats.org/officeDocument/2006/relationships/hyperlink" Target="5%20-%20RYSUNKI/2011-200-PRT-A0069922-A-Blacha%20amortyzator&#243;w.PDF" TargetMode="External"/><Relationship Id="rId355" Type="http://schemas.openxmlformats.org/officeDocument/2006/relationships/hyperlink" Target="5%20-%20RYSUNKI/2011-400-PRT-A0068772-A-Oprawa%20d&#378;wigni.STEP" TargetMode="External"/><Relationship Id="rId397" Type="http://schemas.openxmlformats.org/officeDocument/2006/relationships/hyperlink" Target="5%20-%20RYSUNKI/2011-400-PRT-A0068794-A-Gniazdo%204.STEP" TargetMode="External"/><Relationship Id="rId520" Type="http://schemas.openxmlformats.org/officeDocument/2006/relationships/hyperlink" Target="5%20-%20RYSUNKI/2011-600-PRT-A0070116-A-P&#322;yta%20supportu%201.STEP" TargetMode="External"/><Relationship Id="rId562" Type="http://schemas.openxmlformats.org/officeDocument/2006/relationships/hyperlink" Target="5%20-%20RYSUNKI/2011-600-PRT-A0070089-A-Ramie%20dociskowe.STEP" TargetMode="External"/><Relationship Id="rId618" Type="http://schemas.openxmlformats.org/officeDocument/2006/relationships/hyperlink" Target="5%20-%20RYSUNKI/2011-600-PRT-A0070430-A-P&#322;yta%20g&#322;&#243;wna%20eCrafter%20Ty&#322;.DXF" TargetMode="External"/><Relationship Id="rId825" Type="http://schemas.openxmlformats.org/officeDocument/2006/relationships/hyperlink" Target="5%20-%20RYSUNKI/2011-901-PRT-A0068942-A-P&#322;yta%20dolna.STEP" TargetMode="External"/><Relationship Id="rId215" Type="http://schemas.openxmlformats.org/officeDocument/2006/relationships/hyperlink" Target="5%20-%20RYSUNKI/2011-200-PRT-A0070368-A-Klin.DXF" TargetMode="External"/><Relationship Id="rId257" Type="http://schemas.openxmlformats.org/officeDocument/2006/relationships/hyperlink" Target="5%20-%20RYSUNKI/2011-200-PRT-A0069989-A-Podp&#243;rka.DXF" TargetMode="External"/><Relationship Id="rId422" Type="http://schemas.openxmlformats.org/officeDocument/2006/relationships/hyperlink" Target="5%20-%20RYSUNKI/2011-200-PRT-A0072089-B-Kostka%20czujnika.PDF" TargetMode="External"/><Relationship Id="rId464" Type="http://schemas.openxmlformats.org/officeDocument/2006/relationships/hyperlink" Target="5%20-%20RYSUNKI/2011-200-PRT-A0071168-A-Prowadnica.PDF" TargetMode="External"/><Relationship Id="rId867" Type="http://schemas.openxmlformats.org/officeDocument/2006/relationships/hyperlink" Target="5%20-%20RYSUNKI/2011-903-PRT-A0072936-A-P&#322;yta.STEP" TargetMode="External"/><Relationship Id="rId1010" Type="http://schemas.openxmlformats.org/officeDocument/2006/relationships/hyperlink" Target="5%20-%20RYSUNKI/2011-903-PRT-A0072946-B-Os&#322;ona.DXF" TargetMode="External"/><Relationship Id="rId1052" Type="http://schemas.openxmlformats.org/officeDocument/2006/relationships/hyperlink" Target="5%20-%20RYSUNKI/2011-904-PRT-A0070438-A-Oprawa%20&#322;o&#380;ysk.DXF" TargetMode="External"/><Relationship Id="rId1094" Type="http://schemas.openxmlformats.org/officeDocument/2006/relationships/hyperlink" Target="5%20-%20RYSUNKI/2011-600-PRT-A0073479-A-K&#261;townik%20mocuj&#261;cy.STEP" TargetMode="External"/><Relationship Id="rId1108" Type="http://schemas.openxmlformats.org/officeDocument/2006/relationships/hyperlink" Target="5%20-%20RYSUNKI/2011-600-PRT-A0073466-A-Os&#322;ona%20prawa.DXF" TargetMode="External"/><Relationship Id="rId299" Type="http://schemas.openxmlformats.org/officeDocument/2006/relationships/hyperlink" Target="5%20-%20RYSUNKI/2011-400-PRT-A0068871-A-Oprawa%20d&#378;wigni%20prawa.PDF" TargetMode="External"/><Relationship Id="rId727" Type="http://schemas.openxmlformats.org/officeDocument/2006/relationships/hyperlink" Target="5%20-%20RYSUNKI/2011-901-PRT-A0068931-A-Nakr&#281;tka%20specjalna.STEP" TargetMode="External"/><Relationship Id="rId934" Type="http://schemas.openxmlformats.org/officeDocument/2006/relationships/hyperlink" Target="5%20-%20RYSUNKI\2011-903-PRT-A0072926-A-Gniazdo.PDF" TargetMode="External"/><Relationship Id="rId63" Type="http://schemas.openxmlformats.org/officeDocument/2006/relationships/hyperlink" Target="5%20-%20RYSUNKI/2011-400-PRT-A0068853-A-Nakr&#281;tka%202.STEP" TargetMode="External"/><Relationship Id="rId159" Type="http://schemas.openxmlformats.org/officeDocument/2006/relationships/hyperlink" Target="5%20-%20RYSUNKI/2011-200-PRT-A0069982-A-Gniazdo%20LH%20cz2.STEP" TargetMode="External"/><Relationship Id="rId366" Type="http://schemas.openxmlformats.org/officeDocument/2006/relationships/hyperlink" Target="5%20-%20RYSUNKI/2011-400-PRT-A0068768-A-Zderzak%20si&#322;ownika.DXF" TargetMode="External"/><Relationship Id="rId573" Type="http://schemas.openxmlformats.org/officeDocument/2006/relationships/hyperlink" Target="5%20-%20RYSUNKI/2011-600-PRT-A0070105-A-Tuleja%20bazuj&#261;ca.DXF" TargetMode="External"/><Relationship Id="rId780" Type="http://schemas.openxmlformats.org/officeDocument/2006/relationships/hyperlink" Target="5%20-%20RYSUNKI/2011-903-PRT-A0072923-A-Dystans%20si&#322;ownika.STEP" TargetMode="External"/><Relationship Id="rId226" Type="http://schemas.openxmlformats.org/officeDocument/2006/relationships/hyperlink" Target="5%20-%20RYSUNKI/2011-200-PRT-A0069937-A-Mocowanie%20&#347;ruby%20oporowej%20obrotu.PDF" TargetMode="External"/><Relationship Id="rId433" Type="http://schemas.openxmlformats.org/officeDocument/2006/relationships/hyperlink" Target="5%20-%20RYSUNKI/2011-200-PRT-A0071141-A-Profil%20aluminiowy.STEP" TargetMode="External"/><Relationship Id="rId878" Type="http://schemas.openxmlformats.org/officeDocument/2006/relationships/hyperlink" Target="5%20-%20RYSUNKI/2011-903-PRT-A0072932-A-P&#322;yta.DXF" TargetMode="External"/><Relationship Id="rId1063" Type="http://schemas.openxmlformats.org/officeDocument/2006/relationships/hyperlink" Target="5%20-%20RYSUNKI\000.MAG.50%20-%20M6%20x30-H.PDF" TargetMode="External"/><Relationship Id="rId640" Type="http://schemas.openxmlformats.org/officeDocument/2006/relationships/hyperlink" Target="5%20-%20RYSUNKI\2011-600-PRT-A0071261-A-Podpora%20TL.STEP" TargetMode="External"/><Relationship Id="rId738" Type="http://schemas.openxmlformats.org/officeDocument/2006/relationships/hyperlink" Target="5%20-%20RYSUNKI/2011-903-PRT-A0072921-A-O&#347;%20obrotu.DXF" TargetMode="External"/><Relationship Id="rId945" Type="http://schemas.openxmlformats.org/officeDocument/2006/relationships/hyperlink" Target="5%20-%20RYSUNKI/2011-901-PRT-A0068943-A-Element%20sprz&#281;gaj&#261;cy.STEP" TargetMode="External"/><Relationship Id="rId74" Type="http://schemas.openxmlformats.org/officeDocument/2006/relationships/hyperlink" Target="5%20-%20RYSUNKI/2011-400-PRT-A0068787-A-Wa&#322;ek%20docisku.DXF" TargetMode="External"/><Relationship Id="rId377" Type="http://schemas.openxmlformats.org/officeDocument/2006/relationships/hyperlink" Target="5%20-%20RYSUNKI/2011-400-PRT-A0068812-A-Podpora%20spr&#281;&#380;yny%20lewej.PDF" TargetMode="External"/><Relationship Id="rId500" Type="http://schemas.openxmlformats.org/officeDocument/2006/relationships/hyperlink" Target="5%20-%20RYSUNKI/2011-600-PRT-A0070118-A-Zabezpieczenie%20szyny.PDF" TargetMode="External"/><Relationship Id="rId584" Type="http://schemas.openxmlformats.org/officeDocument/2006/relationships/hyperlink" Target="5%20-%20RYSUNKI/2011-600-PRT-A0071415-A-O&#347;.PDF" TargetMode="External"/><Relationship Id="rId805" Type="http://schemas.openxmlformats.org/officeDocument/2006/relationships/hyperlink" Target="5%20-%20RYSUNKI\2011-904-PRT-A0070446-A-P&#322;ytka%20dolna.PDF" TargetMode="External"/><Relationship Id="rId5" Type="http://schemas.openxmlformats.org/officeDocument/2006/relationships/hyperlink" Target="5%20-%20RYSUNKI/1927-000-PRT-A0062094-A-P&#322;ytka%20&#322;&#261;cz&#261;ca.DXF" TargetMode="External"/><Relationship Id="rId237" Type="http://schemas.openxmlformats.org/officeDocument/2006/relationships/hyperlink" Target="5%20-%20RYSUNKI/2011-200-PRT-A0069924-A-Kosteczka%20oporowa.STEP" TargetMode="External"/><Relationship Id="rId791" Type="http://schemas.openxmlformats.org/officeDocument/2006/relationships/hyperlink" Target="5%20-%20RYSUNKI/2011-990-PRT-A0072852-A-P&#322;yta.DXF" TargetMode="External"/><Relationship Id="rId889" Type="http://schemas.openxmlformats.org/officeDocument/2006/relationships/hyperlink" Target="5%20-%20RYSUNKI\2011-903-PRT-A0072919-A-Ogranicznik%20szyny.PDF" TargetMode="External"/><Relationship Id="rId1074" Type="http://schemas.openxmlformats.org/officeDocument/2006/relationships/hyperlink" Target="5%20-%20RYSUNKI/000.MAG.50%20-%20M5-A.STEP" TargetMode="External"/><Relationship Id="rId444" Type="http://schemas.openxmlformats.org/officeDocument/2006/relationships/hyperlink" Target="5%20-%20RYSUNKI/2011-200-PRT-A0070658-A-P&#322;yta%20monta&#380;owa.DXF" TargetMode="External"/><Relationship Id="rId651" Type="http://schemas.openxmlformats.org/officeDocument/2006/relationships/hyperlink" Target="5%20-%20RYSUNKI/2011-600-PRT-A0071262-A-Podpora%20PL.DXF" TargetMode="External"/><Relationship Id="rId749" Type="http://schemas.openxmlformats.org/officeDocument/2006/relationships/hyperlink" Target="5%20-%20RYSUNKI/2011-992-PRT-A0073446-A-Gniazdo%20D&#378;wigni%20eCrafter%20Przesuwny%20LH.STEP" TargetMode="External"/><Relationship Id="rId290" Type="http://schemas.openxmlformats.org/officeDocument/2006/relationships/hyperlink" Target="5%20-%20RYSUNKI/2011-400-PRT-A0068767-A-Uchwyt%20czujnika%201.PDF" TargetMode="External"/><Relationship Id="rId304" Type="http://schemas.openxmlformats.org/officeDocument/2006/relationships/hyperlink" Target="5%20-%20RYSUNKI/2011-400-PRT-A0069230-A-Gniazdo%2010.STEP" TargetMode="External"/><Relationship Id="rId388" Type="http://schemas.openxmlformats.org/officeDocument/2006/relationships/hyperlink" Target="5%20-%20RYSUNKI/2011-400-PRT-A0068799-A-Gniazdo%201.STEP" TargetMode="External"/><Relationship Id="rId511" Type="http://schemas.openxmlformats.org/officeDocument/2006/relationships/hyperlink" Target="5%20-%20RYSUNKI/2011-600-PRT-A0070112-A-Adapter%20&#322;&#261;cznika.STEP" TargetMode="External"/><Relationship Id="rId609" Type="http://schemas.openxmlformats.org/officeDocument/2006/relationships/hyperlink" Target="5%20-%20RYSUNKI/2011-600-PRT-A0071412-A-Rami&#281;%20ma&#322;e.DXF" TargetMode="External"/><Relationship Id="rId956" Type="http://schemas.openxmlformats.org/officeDocument/2006/relationships/hyperlink" Target="5%20-%20RYSUNKI/2011-990-PRT-A0072861-B-Kostka%20podporowa.DXF" TargetMode="External"/><Relationship Id="rId85" Type="http://schemas.openxmlformats.org/officeDocument/2006/relationships/hyperlink" Target="5%20-%20RYSUNKI/2011-400-PRT-A0068783-A-P&#322;ytka%20przednia.PDF" TargetMode="External"/><Relationship Id="rId150" Type="http://schemas.openxmlformats.org/officeDocument/2006/relationships/hyperlink" Target="5%20-%20RYSUNKI/2011-200-PRT-A0069922-A-Blacha%20amortyzator&#243;w.STEP" TargetMode="External"/><Relationship Id="rId595" Type="http://schemas.openxmlformats.org/officeDocument/2006/relationships/hyperlink" Target="5%20-%20RYSUNKI/2011-600-PRT-A0071423-A-P&#322;ytka%20po&#347;rednia.STEP" TargetMode="External"/><Relationship Id="rId816" Type="http://schemas.openxmlformats.org/officeDocument/2006/relationships/hyperlink" Target="5%20-%20RYSUNKI/2011-902-PRT-A0069228-A-Mocowanie%20szyny.STEP" TargetMode="External"/><Relationship Id="rId1001" Type="http://schemas.openxmlformats.org/officeDocument/2006/relationships/hyperlink" Target="5%20-%20RYSUNKI/2011-903-PRT-A0072913-A-Gniazdo%20ko&#322;eczka.DXF" TargetMode="External"/><Relationship Id="rId248" Type="http://schemas.openxmlformats.org/officeDocument/2006/relationships/hyperlink" Target="5%20-%20RYSUNKI/2011-200-PRT-A0070349-A-Gniazdko%20blaszek.DXF" TargetMode="External"/><Relationship Id="rId455" Type="http://schemas.openxmlformats.org/officeDocument/2006/relationships/hyperlink" Target="5%20-%20RYSUNKI/2011-200-PRT-A0070606-A-P&#322;yta%20monta&#380;owa.PDF" TargetMode="External"/><Relationship Id="rId662" Type="http://schemas.openxmlformats.org/officeDocument/2006/relationships/hyperlink" Target="5%20-%20RYSUNKI/2011-600-PRT-A0070110-A-Wa&#322;ek%20dystansowy.PDF" TargetMode="External"/><Relationship Id="rId1085" Type="http://schemas.openxmlformats.org/officeDocument/2006/relationships/hyperlink" Target="5%20-%20RYSUNKI/2011-600-PRT-A0073371-A-Obudowa%20Fluke%201-3.DXF" TargetMode="External"/><Relationship Id="rId12" Type="http://schemas.openxmlformats.org/officeDocument/2006/relationships/hyperlink" Target="5%20-%20RYSUNKI/1704-01-PRT-A0065972-A-Os&#322;ona.STEP" TargetMode="External"/><Relationship Id="rId108" Type="http://schemas.openxmlformats.org/officeDocument/2006/relationships/hyperlink" Target="5%20-%20RYSUNKI/2011-400-PRT-A0068861-A-P&#322;ytka%20naro&#380;na.STEP" TargetMode="External"/><Relationship Id="rId315" Type="http://schemas.openxmlformats.org/officeDocument/2006/relationships/hyperlink" Target="5%20-%20RYSUNKI/2011-400-PRT-A0068810-A-P&#322;yta%20pionowa%20ty&#322;.DXF" TargetMode="External"/><Relationship Id="rId522" Type="http://schemas.openxmlformats.org/officeDocument/2006/relationships/hyperlink" Target="5%20-%20RYSUNKI/2011-600-PRT-A0070115-A-P&#322;yta%20pionowa%20supportu.DXF" TargetMode="External"/><Relationship Id="rId967" Type="http://schemas.openxmlformats.org/officeDocument/2006/relationships/hyperlink" Target="5%20-%20RYSUNKI\2011-901-PRT-A0068951-A-Zabierak.PDF" TargetMode="External"/><Relationship Id="rId96" Type="http://schemas.openxmlformats.org/officeDocument/2006/relationships/hyperlink" Target="5%20-%20RYSUNKI/2011-400-PRT-A0068779-A-Mocowanie%20sprz&#281;g&#322;a.STEP" TargetMode="External"/><Relationship Id="rId161" Type="http://schemas.openxmlformats.org/officeDocument/2006/relationships/hyperlink" Target="5%20-%20RYSUNKI/2011-200-PRT-A0069975-A-Gniazdo%20LH%20cz1.DXF" TargetMode="External"/><Relationship Id="rId399" Type="http://schemas.openxmlformats.org/officeDocument/2006/relationships/hyperlink" Target="5%20-%20RYSUNKI/2011-400-PRT-A0068791-A-Podpora%20&#347;rodkowa%203.DXF" TargetMode="External"/><Relationship Id="rId827" Type="http://schemas.openxmlformats.org/officeDocument/2006/relationships/hyperlink" Target="5%20-%20RYSUNKI/2011-901-PRT-A0068940-A-P&#322;ytka%20mocowania%20si&#322;ownika.DXF" TargetMode="External"/><Relationship Id="rId1012" Type="http://schemas.openxmlformats.org/officeDocument/2006/relationships/hyperlink" Target="5%20-%20RYSUNKI\2011-990-PRT-A0072878-A-Mocowanie.PDF" TargetMode="External"/><Relationship Id="rId259" Type="http://schemas.openxmlformats.org/officeDocument/2006/relationships/hyperlink" Target="5%20-%20RYSUNKI/2011-200-PRT-A0069907-A-Stempel%20prasy.PDF" TargetMode="External"/><Relationship Id="rId466" Type="http://schemas.openxmlformats.org/officeDocument/2006/relationships/hyperlink" Target="5%20-%20RYSUNKI/2011-200-PRT-A0071168-A-Prowadnica.STEP" TargetMode="External"/><Relationship Id="rId673" Type="http://schemas.openxmlformats.org/officeDocument/2006/relationships/hyperlink" Target="5%20-%20RYSUNKI/2011-600-PRT-A0070123-A-Pokrywka.STEP" TargetMode="External"/><Relationship Id="rId880" Type="http://schemas.openxmlformats.org/officeDocument/2006/relationships/hyperlink" Target="5%20-%20RYSUNKI\2011-903-PRT-A0072930-A-Tulejka%20centruj&#261;ca.PDF" TargetMode="External"/><Relationship Id="rId1096" Type="http://schemas.openxmlformats.org/officeDocument/2006/relationships/hyperlink" Target="5%20-%20RYSUNKI/2011-600-PRT-A0073380-A-Os&#322;ona%20tylna.DXF" TargetMode="External"/><Relationship Id="rId23" Type="http://schemas.openxmlformats.org/officeDocument/2006/relationships/hyperlink" Target="5%20-%20RYSUNKI/2011-400-PRT-A0068848-A-Mocowanie%20si&#322;ownika%202.DXF" TargetMode="External"/><Relationship Id="rId119" Type="http://schemas.openxmlformats.org/officeDocument/2006/relationships/hyperlink" Target="5%20-%20RYSUNKI/2011-300-PRT-A0070324-A-Uchwyt%20czujnika.DXF" TargetMode="External"/><Relationship Id="rId326" Type="http://schemas.openxmlformats.org/officeDocument/2006/relationships/hyperlink" Target="5%20-%20RYSUNKI/2011-400-PRT-A0069147-B-D&#378;wignia%20prawa.PDF" TargetMode="External"/><Relationship Id="rId533" Type="http://schemas.openxmlformats.org/officeDocument/2006/relationships/hyperlink" Target="5%20-%20RYSUNKI/2011-600-PRT-A0070487-A-Podpora%20&#347;rodkowa.PDF" TargetMode="External"/><Relationship Id="rId978" Type="http://schemas.openxmlformats.org/officeDocument/2006/relationships/hyperlink" Target="5%20-%20RYSUNKI/2011-901-PRT-A0068935-A-Gniazdo%20pina.STEP" TargetMode="External"/><Relationship Id="rId740" Type="http://schemas.openxmlformats.org/officeDocument/2006/relationships/hyperlink" Target="5%20-%20RYSUNKI\2011-902-PRT-A0069222-A-Tulejka%20pozycjonuj&#261;ca.PDF" TargetMode="External"/><Relationship Id="rId838" Type="http://schemas.openxmlformats.org/officeDocument/2006/relationships/hyperlink" Target="5%20-%20RYSUNKI\2011-901-PRT-A0068932-A-&#321;&#261;cznik.PDF" TargetMode="External"/><Relationship Id="rId1023" Type="http://schemas.openxmlformats.org/officeDocument/2006/relationships/hyperlink" Target="5%20-%20RYSUNKI/2011-990-PRT-A0072869-A-Wanienka%20na%20smar.STEP" TargetMode="External"/><Relationship Id="rId172" Type="http://schemas.openxmlformats.org/officeDocument/2006/relationships/hyperlink" Target="5%20-%20RYSUNKI/2011-200-PRT-A0070313-A-Podstawka%20gniazda%20ECrafter%20RH.PDF" TargetMode="External"/><Relationship Id="rId477" Type="http://schemas.openxmlformats.org/officeDocument/2006/relationships/hyperlink" Target="5%20-%20RYSUNKI/2011-200-PRT-A0070434-A-G&#322;owica%20pobieraj&#261;ca%20detal.DXF" TargetMode="External"/><Relationship Id="rId600" Type="http://schemas.openxmlformats.org/officeDocument/2006/relationships/hyperlink" Target="5%20-%20RYSUNKI/2011-600-PRT-A0071414-A-Rami&#281;%20docisku.DXF" TargetMode="External"/><Relationship Id="rId684" Type="http://schemas.openxmlformats.org/officeDocument/2006/relationships/hyperlink" Target="5%20-%20RYSUNKI/2011--PRT-A0073197-B-Mocowanie%20si&#322;ownika.DXF" TargetMode="External"/><Relationship Id="rId337" Type="http://schemas.openxmlformats.org/officeDocument/2006/relationships/hyperlink" Target="5%20-%20RYSUNKI/2011-400-PRT-A0068803-A-P&#322;yta%20g&#243;rna.STEP" TargetMode="External"/><Relationship Id="rId891" Type="http://schemas.openxmlformats.org/officeDocument/2006/relationships/hyperlink" Target="5%20-%20RYSUNKI/2011-903-PRT-A0072919-A-Ogranicznik%20szyny.STEP" TargetMode="External"/><Relationship Id="rId905" Type="http://schemas.openxmlformats.org/officeDocument/2006/relationships/hyperlink" Target="5%20-%20RYSUNKI/2011-990-PRT-A0072871-A-Mocowanie%20zderzaka.DXF" TargetMode="External"/><Relationship Id="rId989" Type="http://schemas.openxmlformats.org/officeDocument/2006/relationships/hyperlink" Target="5%20-%20RYSUNKI/2011-992-PRT-A0073442-A-Gniazdo%20D&#378;wigni%20eCrafter%20Przesuwny%20LH.STEP" TargetMode="External"/><Relationship Id="rId34" Type="http://schemas.openxmlformats.org/officeDocument/2006/relationships/hyperlink" Target="5%20-%20RYSUNKI/2011-400-PRT-A0068846-A-Uchwyt%20sprz&#281;g&#322;a%202.PDF" TargetMode="External"/><Relationship Id="rId544" Type="http://schemas.openxmlformats.org/officeDocument/2006/relationships/hyperlink" Target="5%20-%20RYSUNKI/2011-600-PRT-A0070489-A-Mocowanie%20podpory%20&#347;rodkowej.STEP" TargetMode="External"/><Relationship Id="rId751" Type="http://schemas.openxmlformats.org/officeDocument/2006/relationships/hyperlink" Target="5%20-%20RYSUNKI\2011-992-PRT-A0073445-C-Gniazdo%20D&#378;wigni%20eCrafter%20Przesuwny%20LH.PDF" TargetMode="External"/><Relationship Id="rId849" Type="http://schemas.openxmlformats.org/officeDocument/2006/relationships/hyperlink" Target="5%20-%20RYSUNKI/2011-903-PRT-A0072943-A-Mocowanie.STEP" TargetMode="External"/><Relationship Id="rId183" Type="http://schemas.openxmlformats.org/officeDocument/2006/relationships/hyperlink" Target="5%20-%20RYSUNKI/2011-200-PRT-A0069929-A-Dystans%20docisku.STEP" TargetMode="External"/><Relationship Id="rId390" Type="http://schemas.openxmlformats.org/officeDocument/2006/relationships/hyperlink" Target="5%20-%20RYSUNKI/2011-400-PRT-A0068798-A-Gniazdo%202.DXF" TargetMode="External"/><Relationship Id="rId404" Type="http://schemas.openxmlformats.org/officeDocument/2006/relationships/hyperlink" Target="5%20-%20RYSUNKI/2011-400-PRT-A0068789-A-Gniazdo%206.PDF" TargetMode="External"/><Relationship Id="rId611" Type="http://schemas.openxmlformats.org/officeDocument/2006/relationships/hyperlink" Target="5%20-%20RYSUNKI/2011-600-PRT-A0071411-A-Rami&#281;.PDF" TargetMode="External"/><Relationship Id="rId1034" Type="http://schemas.openxmlformats.org/officeDocument/2006/relationships/hyperlink" Target="5%20-%20RYSUNKI/2011-902-PRT-A0072038-A-Mocowanie%20prowadnika.DXF" TargetMode="External"/><Relationship Id="rId250" Type="http://schemas.openxmlformats.org/officeDocument/2006/relationships/hyperlink" Target="5%20-%20RYSUNKI/2011-200-PRT-A0070417-A-Os&#322;ona%20si&#322;ownika.PDF" TargetMode="External"/><Relationship Id="rId488" Type="http://schemas.openxmlformats.org/officeDocument/2006/relationships/hyperlink" Target="5%20-%20RYSUNKI/2011-200-PRT-A0070616-A-Support%20uchwytu.PDF" TargetMode="External"/><Relationship Id="rId695" Type="http://schemas.openxmlformats.org/officeDocument/2006/relationships/hyperlink" Target="5%20-%20RYSUNKI/2011-600-PRT-A0070126-A-Rami&#281;%20prz&#243;d.PDF" TargetMode="External"/><Relationship Id="rId709" Type="http://schemas.openxmlformats.org/officeDocument/2006/relationships/hyperlink" Target="5%20-%20RYSUNKI/2011-600-PRT-A0070633-A-Palec%20ty&#322;%20zapas.STEP" TargetMode="External"/><Relationship Id="rId916" Type="http://schemas.openxmlformats.org/officeDocument/2006/relationships/hyperlink" Target="5%20-%20RYSUNKI\2011-901-PRT-A0069990-B-Mocowanie.PDF" TargetMode="External"/><Relationship Id="rId1101" Type="http://schemas.openxmlformats.org/officeDocument/2006/relationships/hyperlink" Target="5%20-%20RYSUNKI\2011-600-PRT-A0073375-A-Stopka.PDF" TargetMode="External"/><Relationship Id="rId45" Type="http://schemas.openxmlformats.org/officeDocument/2006/relationships/hyperlink" Target="5%20-%20RYSUNKI/2011-400-PRT-A0068841-A-Gniazdo%20g&#243;rne%20pina.STEP" TargetMode="External"/><Relationship Id="rId110" Type="http://schemas.openxmlformats.org/officeDocument/2006/relationships/hyperlink" Target="5%20-%20RYSUNKI/2011-400-PRT-A0068860-A-P&#322;ytka%20&#347;rodkowa.DXF" TargetMode="External"/><Relationship Id="rId348" Type="http://schemas.openxmlformats.org/officeDocument/2006/relationships/hyperlink" Target="5%20-%20RYSUNKI/2011-400-PRT-A0068804-A-Sprz&#281;g&#322;o.DXF" TargetMode="External"/><Relationship Id="rId555" Type="http://schemas.openxmlformats.org/officeDocument/2006/relationships/hyperlink" Target="5%20-%20RYSUNKI/2011-600-PRT-A0070090-A-Wspornik%20si&#322;ownika.DXF" TargetMode="External"/><Relationship Id="rId762" Type="http://schemas.openxmlformats.org/officeDocument/2006/relationships/hyperlink" Target="5%20-%20RYSUNKI\2011-992-PRT-A0072854-A-Gniazdo%20D&#378;wigni%20eCrafter%20Przesuwny%20LH.PDF" TargetMode="External"/><Relationship Id="rId194" Type="http://schemas.openxmlformats.org/officeDocument/2006/relationships/hyperlink" Target="5%20-%20RYSUNKI/2011-200-PRT-A0069913-A-P&#322;yta%20szyn%20osi%20Z.DXF" TargetMode="External"/><Relationship Id="rId208" Type="http://schemas.openxmlformats.org/officeDocument/2006/relationships/hyperlink" Target="5%20-%20RYSUNKI/2011-200-PRT-A0069915-A-Adapter%20sto&#322;u%20obrotowego.PDF" TargetMode="External"/><Relationship Id="rId415" Type="http://schemas.openxmlformats.org/officeDocument/2006/relationships/hyperlink" Target="5%20-%20RYSUNKI/2011-200-PRT-A0070650-B-P&#322;yta%20monta&#380;owa.STEP" TargetMode="External"/><Relationship Id="rId622" Type="http://schemas.openxmlformats.org/officeDocument/2006/relationships/hyperlink" Target="5%20-%20RYSUNKI/2011-600-PRT-A0070100-A-Wspornik%20pin&#243;w%201.STEP" TargetMode="External"/><Relationship Id="rId1045" Type="http://schemas.openxmlformats.org/officeDocument/2006/relationships/hyperlink" Target="5%20-%20RYSUNKI\2011-904-PRT-A0070445-A-Mocowanie%20prowadnika.PDF" TargetMode="External"/><Relationship Id="rId261" Type="http://schemas.openxmlformats.org/officeDocument/2006/relationships/hyperlink" Target="5%20-%20RYSUNKI/2011-200-PRT-A0069907-A-Stempel%20prasy.STEP" TargetMode="External"/><Relationship Id="rId499" Type="http://schemas.openxmlformats.org/officeDocument/2006/relationships/hyperlink" Target="5%20-%20RYSUNKI/2011-200-PRT-A0070610-A-Support%20uchwytu.STEP" TargetMode="External"/><Relationship Id="rId927" Type="http://schemas.openxmlformats.org/officeDocument/2006/relationships/hyperlink" Target="5%20-%20RYSUNKI/2011-903-PRT-A0072929-A-Bazwanie.STEP" TargetMode="External"/><Relationship Id="rId1112" Type="http://schemas.openxmlformats.org/officeDocument/2006/relationships/hyperlink" Target="5%20-%20RYSUNKI/2011-600-PRT-A0073465-A-Os&#322;ona.STEP" TargetMode="External"/><Relationship Id="rId56" Type="http://schemas.openxmlformats.org/officeDocument/2006/relationships/hyperlink" Target="5%20-%20RYSUNKI/2011-400-PRT-A0068855-A-Wa&#322;ek%20gwintowany.DXF" TargetMode="External"/><Relationship Id="rId359" Type="http://schemas.openxmlformats.org/officeDocument/2006/relationships/hyperlink" Target="5%20-%20RYSUNKI/2011-400-PRT-A0068770-A-Kostka%20&#322;o&#380;yska.PDF" TargetMode="External"/><Relationship Id="rId566" Type="http://schemas.openxmlformats.org/officeDocument/2006/relationships/hyperlink" Target="5%20-%20RYSUNKI/2011-600-PRT-A0070494-A-Podpora%20przednia%201.PDF" TargetMode="External"/><Relationship Id="rId773" Type="http://schemas.openxmlformats.org/officeDocument/2006/relationships/hyperlink" Target="5%20-%20RYSUNKI/2011-992-PRT-A0072859-B-P&#322;yta%20Gniazda%20eCrafter%20RH.DXF" TargetMode="External"/><Relationship Id="rId121" Type="http://schemas.openxmlformats.org/officeDocument/2006/relationships/hyperlink" Target="5%20-%20RYSUNKI/000.MAG.50%20-%20M6%20x30-H.PDF" TargetMode="External"/><Relationship Id="rId219" Type="http://schemas.openxmlformats.org/officeDocument/2006/relationships/hyperlink" Target="5%20-%20RYSUNKI/2011-200-PRT-A0070361-A-Podstawa%20gniazda%20podmonta&#380;u.STEP" TargetMode="External"/><Relationship Id="rId426" Type="http://schemas.openxmlformats.org/officeDocument/2006/relationships/hyperlink" Target="5%20-%20RYSUNKI/2011-200-PRT-A0072085-A-Ramie%20reakcyjne%20si&#322;ownika.DXF" TargetMode="External"/><Relationship Id="rId633" Type="http://schemas.openxmlformats.org/officeDocument/2006/relationships/hyperlink" Target="5%20-%20RYSUNKI/2011-600-PRT-A0071450-A-Blokada%20P.DXF" TargetMode="External"/><Relationship Id="rId980" Type="http://schemas.openxmlformats.org/officeDocument/2006/relationships/hyperlink" Target="5%20-%20RYSUNKI/2011-992-PRT-A0073444-A-Gniazdo%20D&#378;wigni%20eCrafter%20Przesuwny%20LH.DXF" TargetMode="External"/><Relationship Id="rId1056" Type="http://schemas.openxmlformats.org/officeDocument/2006/relationships/hyperlink" Target="5%20-%20RYSUNKI/000.MAG.50%20-%20M8%20x%20L-F.STEP" TargetMode="External"/><Relationship Id="rId840" Type="http://schemas.openxmlformats.org/officeDocument/2006/relationships/hyperlink" Target="5%20-%20RYSUNKI/2011-901-PRT-A0068932-A-&#321;&#261;cznik.STEP" TargetMode="External"/><Relationship Id="rId938" Type="http://schemas.openxmlformats.org/officeDocument/2006/relationships/hyperlink" Target="5%20-%20RYSUNKI/2011-900-PRT-A0069192-A-Bazowanie.DXF" TargetMode="External"/><Relationship Id="rId67" Type="http://schemas.openxmlformats.org/officeDocument/2006/relationships/hyperlink" Target="5%20-%20RYSUNKI/2011-400-PRT-A0068777-A-Mocowanie%20prowadnika%202.PDF" TargetMode="External"/><Relationship Id="rId272" Type="http://schemas.openxmlformats.org/officeDocument/2006/relationships/hyperlink" Target="5%20-%20RYSUNKI/2011-200-PRT-A0069918-A-P&#322;ytka%20si&#322;ownika%20osi%20Y.PDF" TargetMode="External"/><Relationship Id="rId577" Type="http://schemas.openxmlformats.org/officeDocument/2006/relationships/hyperlink" Target="5%20-%20RYSUNKI/2011-600-PRT-A0070542-A-Wspornik%20si&#322;ownika%201.STEP" TargetMode="External"/><Relationship Id="rId700" Type="http://schemas.openxmlformats.org/officeDocument/2006/relationships/hyperlink" Target="5%20-%20RYSUNKI/2011-600-PRT-A0070122-A-Palec%20prz&#243;d.STEP" TargetMode="External"/><Relationship Id="rId1123" Type="http://schemas.openxmlformats.org/officeDocument/2006/relationships/hyperlink" Target="5%20-%20RYSUNKI/2011-600-PRT-A0073376-A-Mocowanie%20prz&#243;d.DXF" TargetMode="External"/><Relationship Id="rId132" Type="http://schemas.openxmlformats.org/officeDocument/2006/relationships/hyperlink" Target="5%20-%20RYSUNKI/000.MAG.22.M6-B.STEP" TargetMode="External"/><Relationship Id="rId784" Type="http://schemas.openxmlformats.org/officeDocument/2006/relationships/hyperlink" Target="5%20-%20RYSUNKI\2011-990-PRT-A0072864-A-P&#322;yta.PDF" TargetMode="External"/><Relationship Id="rId991" Type="http://schemas.openxmlformats.org/officeDocument/2006/relationships/hyperlink" Target="5%20-%20RYSUNKI\2011-903-PRT-A0072941-A-Blokada%20Pinu.PDF" TargetMode="External"/><Relationship Id="rId1067" Type="http://schemas.openxmlformats.org/officeDocument/2006/relationships/hyperlink" Target="5%20-%20RYSUNKI/000.MAG.90.07-B.DXF" TargetMode="External"/><Relationship Id="rId437" Type="http://schemas.openxmlformats.org/officeDocument/2006/relationships/hyperlink" Target="5%20-%20RYSUNKI/2011-200-PRT-A0070665-A-P&#322;yta%20montazowa.PDF" TargetMode="External"/><Relationship Id="rId644" Type="http://schemas.openxmlformats.org/officeDocument/2006/relationships/hyperlink" Target="5%20-%20RYSUNKI/2011-600-PRT-A0071265-A-Dok&#322;adka%20PP.PDF" TargetMode="External"/><Relationship Id="rId851" Type="http://schemas.openxmlformats.org/officeDocument/2006/relationships/hyperlink" Target="5%20-%20RYSUNKI/2011-903-PRT-A0072942-A-Mocowanie%20si&#322;ownika.DXF" TargetMode="External"/><Relationship Id="rId283" Type="http://schemas.openxmlformats.org/officeDocument/2006/relationships/hyperlink" Target="5%20-%20RYSUNKI/2011-200-PRT-A0069914-A-Jarzmo.STEP" TargetMode="External"/><Relationship Id="rId490" Type="http://schemas.openxmlformats.org/officeDocument/2006/relationships/hyperlink" Target="5%20-%20RYSUNKI/2011-200-PRT-A0070616-A-Support%20uchwytu.STEP" TargetMode="External"/><Relationship Id="rId504" Type="http://schemas.openxmlformats.org/officeDocument/2006/relationships/hyperlink" Target="5%20-%20RYSUNKI/2011-600-PRT-A0070119-A-Wspornik%20p&#322;yty%20prowadnic.DXF" TargetMode="External"/><Relationship Id="rId711" Type="http://schemas.openxmlformats.org/officeDocument/2006/relationships/hyperlink" Target="5%20-%20RYSUNKI/2011-600-PRT-A0070128-A-Wa&#322;ek%20g&#322;&#243;wny.DXF" TargetMode="External"/><Relationship Id="rId949" Type="http://schemas.openxmlformats.org/officeDocument/2006/relationships/hyperlink" Target="5%20-%20RYSUNKI\2011-903-PRT-A0072916-A-Kostka%20podporowa.PDF" TargetMode="External"/><Relationship Id="rId78" Type="http://schemas.openxmlformats.org/officeDocument/2006/relationships/hyperlink" Target="5%20-%20RYSUNKI/2011-400-PRT-A0068781-A-Dystans%20blokady.STEP" TargetMode="External"/><Relationship Id="rId143" Type="http://schemas.openxmlformats.org/officeDocument/2006/relationships/hyperlink" Target="5%20-%20RYSUNKI/2011-200-PRT-A0069925-A-Blaszka%20prowadnika%20pionowego%20ruchoma.DXF" TargetMode="External"/><Relationship Id="rId350" Type="http://schemas.openxmlformats.org/officeDocument/2006/relationships/hyperlink" Target="5%20-%20RYSUNKI/2011-400-PRT-A0068773-A-Ko&#322;ek.PDF" TargetMode="External"/><Relationship Id="rId588" Type="http://schemas.openxmlformats.org/officeDocument/2006/relationships/hyperlink" Target="5%20-%20RYSUNKI/2011-600-PRT-A0071413-A-O&#347;.DXF" TargetMode="External"/><Relationship Id="rId795" Type="http://schemas.openxmlformats.org/officeDocument/2006/relationships/hyperlink" Target="5%20-%20RYSUNKI/2011-901-PRT-A0071396-A-P&#322;yta%20pionowa.STEP" TargetMode="External"/><Relationship Id="rId809" Type="http://schemas.openxmlformats.org/officeDocument/2006/relationships/hyperlink" Target="5%20-%20RYSUNKI/2011-904-PRT-A0070440-A-Dystans%20blokady.DXF" TargetMode="External"/><Relationship Id="rId9" Type="http://schemas.openxmlformats.org/officeDocument/2006/relationships/hyperlink" Target="5%20-%20RYSUNKI/1704-01-PRT-A0065974-A-Os&#322;ona%202.STEP" TargetMode="External"/><Relationship Id="rId210" Type="http://schemas.openxmlformats.org/officeDocument/2006/relationships/hyperlink" Target="5%20-%20RYSUNKI/2011-200-PRT-A0069915-A-Adapter%20sto&#322;u%20obrotowego.STEP" TargetMode="External"/><Relationship Id="rId448" Type="http://schemas.openxmlformats.org/officeDocument/2006/relationships/hyperlink" Target="5%20-%20RYSUNKI/2011-200-PRT-A0070655-A-P&#322;yta%20monta&#380;owa.STEP" TargetMode="External"/><Relationship Id="rId655" Type="http://schemas.openxmlformats.org/officeDocument/2006/relationships/hyperlink" Target="5%20-%20RYSUNKI/2011-600-PRT-A0070108-A-Rynna%20prowadnika.STEP" TargetMode="External"/><Relationship Id="rId862" Type="http://schemas.openxmlformats.org/officeDocument/2006/relationships/hyperlink" Target="5%20-%20RYSUNKI\2011-903-PRT-A0072937-A-Mocowanie%20zderzak&#243;w.PDF" TargetMode="External"/><Relationship Id="rId1078" Type="http://schemas.openxmlformats.org/officeDocument/2006/relationships/hyperlink" Target="5%20-%20RYSUNKI\000.MAG.22.M8-A.PDF" TargetMode="External"/><Relationship Id="rId294" Type="http://schemas.openxmlformats.org/officeDocument/2006/relationships/hyperlink" Target="5%20-%20RYSUNKI/2011-400-PRT-A0069148-B-&#321;&#261;cznik%20d&#378;wigni.DXF" TargetMode="External"/><Relationship Id="rId308" Type="http://schemas.openxmlformats.org/officeDocument/2006/relationships/hyperlink" Target="5%20-%20RYSUNKI/2011-400-PRT-A0068814-A-P&#322;yta%20dolna.PDF" TargetMode="External"/><Relationship Id="rId515" Type="http://schemas.openxmlformats.org/officeDocument/2006/relationships/hyperlink" Target="5%20-%20RYSUNKI/2011-600-PRT-A0070112-A-Adapter%20&#322;&#261;cznika.PDF" TargetMode="External"/><Relationship Id="rId722" Type="http://schemas.openxmlformats.org/officeDocument/2006/relationships/hyperlink" Target="5%20-%20RYSUNKI\2011-901-PRT-A0068945-A-Tuleja%20popychacza.PDF" TargetMode="External"/><Relationship Id="rId89" Type="http://schemas.openxmlformats.org/officeDocument/2006/relationships/hyperlink" Target="5%20-%20RYSUNKI/2011-400-PRT-A0068782-A-&#379;ebro%202.DXF" TargetMode="External"/><Relationship Id="rId154" Type="http://schemas.openxmlformats.org/officeDocument/2006/relationships/hyperlink" Target="5%20-%20RYSUNKI/2011-200-PRT-A0070317-A-Gniazdo%20RH%20cz1.PDF" TargetMode="External"/><Relationship Id="rId361" Type="http://schemas.openxmlformats.org/officeDocument/2006/relationships/hyperlink" Target="5%20-%20RYSUNKI/2011-400-PRT-A0068770-A-Kostka%20&#322;o&#380;yska.STEP" TargetMode="External"/><Relationship Id="rId599" Type="http://schemas.openxmlformats.org/officeDocument/2006/relationships/hyperlink" Target="5%20-%20RYSUNKI/2011-600-PRT-A0071414-A-Rami&#281;%20docisku.PDF" TargetMode="External"/><Relationship Id="rId1005" Type="http://schemas.openxmlformats.org/officeDocument/2006/relationships/hyperlink" Target="5%20-%20RYSUNKI/2011-903-PRT-A0072977-A-Mocowanie%20prowadnika.STEP" TargetMode="External"/><Relationship Id="rId459" Type="http://schemas.openxmlformats.org/officeDocument/2006/relationships/hyperlink" Target="5%20-%20RYSUNKI/2011-200-PRT-A0071416-A-Kostka%20amortyzatora.DXF" TargetMode="External"/><Relationship Id="rId666" Type="http://schemas.openxmlformats.org/officeDocument/2006/relationships/hyperlink" Target="5%20-%20RYSUNKI/2011-600-PRT-A0070121-A-Wpust.DXF" TargetMode="External"/><Relationship Id="rId873" Type="http://schemas.openxmlformats.org/officeDocument/2006/relationships/hyperlink" Target="5%20-%20RYSUNKI/2011-903-PRT-A0072934-A-&#379;ebro.STEP" TargetMode="External"/><Relationship Id="rId1089" Type="http://schemas.openxmlformats.org/officeDocument/2006/relationships/hyperlink" Target="5%20-%20RYSUNKI/2011-600-PRT-A0073373-A-Obudowa%20Fluke%202-3.STEP" TargetMode="External"/><Relationship Id="rId16" Type="http://schemas.openxmlformats.org/officeDocument/2006/relationships/hyperlink" Target="5%20-%20RYSUNKI/2011-400-PRT-A0068851-A-P&#322;yta%20dolna.PDF" TargetMode="External"/><Relationship Id="rId221" Type="http://schemas.openxmlformats.org/officeDocument/2006/relationships/hyperlink" Target="5%20-%20RYSUNKI/2011-200-PRT-A0070004-A-Kostka%20podpierajaca.DXF" TargetMode="External"/><Relationship Id="rId319" Type="http://schemas.openxmlformats.org/officeDocument/2006/relationships/hyperlink" Target="5%20-%20RYSUNKI/2011-400-PRT-A0068809-A-P&#322;yta%20g&#243;rna.STEP" TargetMode="External"/><Relationship Id="rId526" Type="http://schemas.openxmlformats.org/officeDocument/2006/relationships/hyperlink" Target="5%20-%20RYSUNKI/2011-600-PRT-A0070114-A-Wzmocnienie%20supportu.STEP" TargetMode="External"/><Relationship Id="rId733" Type="http://schemas.openxmlformats.org/officeDocument/2006/relationships/hyperlink" Target="5%20-%20RYSUNKI/2011-901-PRT-A0068929-A-Tulejka.STEP" TargetMode="External"/><Relationship Id="rId940" Type="http://schemas.openxmlformats.org/officeDocument/2006/relationships/hyperlink" Target="5%20-%20RYSUNKI\2011-902-PRT-A0069979-A-Element%20sprz&#281;gaj&#261;cy.PDF" TargetMode="External"/><Relationship Id="rId1016" Type="http://schemas.openxmlformats.org/officeDocument/2006/relationships/hyperlink" Target="5%20-%20RYSUNKI/2011-990-PRT-A0072875-A-Mocowanie%20prowadnika.DXF" TargetMode="External"/><Relationship Id="rId165" Type="http://schemas.openxmlformats.org/officeDocument/2006/relationships/hyperlink" Target="5%20-%20RYSUNKI/2011-200-PRT-A0069928-A-Wspornik%20si&#322;ownika%20obrotowego.STEP" TargetMode="External"/><Relationship Id="rId372" Type="http://schemas.openxmlformats.org/officeDocument/2006/relationships/hyperlink" Target="5%20-%20RYSUNKI/2011-400-PRT-A0069198-A-Gniazdo%207.DXF" TargetMode="External"/><Relationship Id="rId677" Type="http://schemas.openxmlformats.org/officeDocument/2006/relationships/hyperlink" Target="5%20-%20RYSUNKI/2011-600-PRT-A0070127-A-Pier&#347;cie&#324;%20dystansowy.PDF" TargetMode="External"/><Relationship Id="rId800" Type="http://schemas.openxmlformats.org/officeDocument/2006/relationships/hyperlink" Target="5%20-%20RYSUNKI/2011-902-PRT-A0071207-A-Wa&#322;eczek.DXF" TargetMode="External"/><Relationship Id="rId232" Type="http://schemas.openxmlformats.org/officeDocument/2006/relationships/hyperlink" Target="5%20-%20RYSUNKI/2011-200-PRT-A0069930-A-Przed&#322;u&#380;ka%20podci&#347;nienia%201.PDF" TargetMode="External"/><Relationship Id="rId884" Type="http://schemas.openxmlformats.org/officeDocument/2006/relationships/hyperlink" Target="5%20-%20RYSUNKI/2011-903-PRT-A0072922-A-Obsada%20blokady%20spr&#281;&#380;ynki.DXF" TargetMode="External"/><Relationship Id="rId27" Type="http://schemas.openxmlformats.org/officeDocument/2006/relationships/hyperlink" Target="5%20-%20RYSUNKI/2011-400-PRT-A0068847-A-P&#322;yta%20pionowa.STEP" TargetMode="External"/><Relationship Id="rId537" Type="http://schemas.openxmlformats.org/officeDocument/2006/relationships/hyperlink" Target="5%20-%20RYSUNKI/2011-600-PRT-A0070088-A-Tuleja%20docisku.DXF" TargetMode="External"/><Relationship Id="rId744" Type="http://schemas.openxmlformats.org/officeDocument/2006/relationships/hyperlink" Target="5%20-%20RYSUNKI/2011-992-PRT-A0073447-B-Gniazdo%20D&#378;wigni%20eCrafter%20Przesuwny%20LH.DXF" TargetMode="External"/><Relationship Id="rId951" Type="http://schemas.openxmlformats.org/officeDocument/2006/relationships/hyperlink" Target="5%20-%20RYSUNKI/2011-903-PRT-A0072916-A-Kostka%20podporowa.STEP" TargetMode="External"/><Relationship Id="rId80" Type="http://schemas.openxmlformats.org/officeDocument/2006/relationships/hyperlink" Target="5%20-%20RYSUNKI/2011-400-PRT-A0068785-A-P&#322;yta%20pionowa.DXF" TargetMode="External"/><Relationship Id="rId176" Type="http://schemas.openxmlformats.org/officeDocument/2006/relationships/hyperlink" Target="5%20-%20RYSUNKI/2011-200-PRT-A0069974-A-Podstawka%20gniazda%20ECrafter%20LH.DXF" TargetMode="External"/><Relationship Id="rId383" Type="http://schemas.openxmlformats.org/officeDocument/2006/relationships/hyperlink" Target="5%20-%20RYSUNKI/2011-400-PRT-A0068801-A-Podpora%20&#347;rodkowa%202.PDF" TargetMode="External"/><Relationship Id="rId590" Type="http://schemas.openxmlformats.org/officeDocument/2006/relationships/hyperlink" Target="5%20-%20RYSUNKI/2011-600-PRT-A0071433-A-P&#322;ytka%20&#322;&#261;cz&#261;ca.PDF" TargetMode="External"/><Relationship Id="rId604" Type="http://schemas.openxmlformats.org/officeDocument/2006/relationships/hyperlink" Target="5%20-%20RYSUNKI/2011-600-PRT-A0071419-A-Dociskacz.STEP" TargetMode="External"/><Relationship Id="rId811" Type="http://schemas.openxmlformats.org/officeDocument/2006/relationships/hyperlink" Target="5%20-%20RYSUNKI\2011-900-PRT-A0070031-A-P&#322;yta%20narz&#281;dzia.PDF" TargetMode="External"/><Relationship Id="rId1027" Type="http://schemas.openxmlformats.org/officeDocument/2006/relationships/hyperlink" Target="5%20-%20RYSUNKI\2011-990-PRT-A0072867-A-Mocowanie.PDF" TargetMode="External"/><Relationship Id="rId243" Type="http://schemas.openxmlformats.org/officeDocument/2006/relationships/hyperlink" Target="5%20-%20RYSUNKI/2011-200-PRT-A0069935-A-Kostka%20zderzaka%20osi%20Z.STEP" TargetMode="External"/><Relationship Id="rId450" Type="http://schemas.openxmlformats.org/officeDocument/2006/relationships/hyperlink" Target="5%20-%20RYSUNKI/2011-200-PRT-A0070624-A-P&#322;yta%20mocuj&#261;ca.DXF" TargetMode="External"/><Relationship Id="rId688" Type="http://schemas.openxmlformats.org/officeDocument/2006/relationships/hyperlink" Target="5%20-%20RYSUNKI/2011--PRT-A0073195-B-Mocowanie%20si&#322;ownika.STEP" TargetMode="External"/><Relationship Id="rId895" Type="http://schemas.openxmlformats.org/officeDocument/2006/relationships/hyperlink" Target="5%20-%20RYSUNKI\2011-903-PRT-A0072917-A-Kostka%20czujnika.PDF" TargetMode="External"/><Relationship Id="rId909" Type="http://schemas.openxmlformats.org/officeDocument/2006/relationships/hyperlink" Target="5%20-%20RYSUNKI/2011-990-PRT-A0072870-A-Mocowanie%20si&#322;ownika.STEP" TargetMode="External"/><Relationship Id="rId1080" Type="http://schemas.openxmlformats.org/officeDocument/2006/relationships/hyperlink" Target="5%20-%20RYSUNKI/000.MAG.22.M8-A.STEP" TargetMode="External"/><Relationship Id="rId38" Type="http://schemas.openxmlformats.org/officeDocument/2006/relationships/hyperlink" Target="5%20-%20RYSUNKI/2011-400-PRT-A0068844-A-P&#322;ytka%20boczna.DXF" TargetMode="External"/><Relationship Id="rId103" Type="http://schemas.openxmlformats.org/officeDocument/2006/relationships/hyperlink" Target="5%20-%20RYSUNKI/2011-400-PRT-A0068862-A-P&#322;yta%20narz&#281;dzia.PDF" TargetMode="External"/><Relationship Id="rId310" Type="http://schemas.openxmlformats.org/officeDocument/2006/relationships/hyperlink" Target="5%20-%20RYSUNKI/2011-400-PRT-A0068814-A-P&#322;yta%20dolna.STEP" TargetMode="External"/><Relationship Id="rId548" Type="http://schemas.openxmlformats.org/officeDocument/2006/relationships/hyperlink" Target="5%20-%20RYSUNKI/2011-600-PRT-A0070490-A-Wspornik%20si&#322;ownika%201.PDF" TargetMode="External"/><Relationship Id="rId755" Type="http://schemas.openxmlformats.org/officeDocument/2006/relationships/hyperlink" Target="5%20-%20RYSUNKI/2011-992-PRT-A0073441-A-Gniazdo%20D&#378;wigni%20eCrafter%20Przesuwny%20LH.DXF" TargetMode="External"/><Relationship Id="rId962" Type="http://schemas.openxmlformats.org/officeDocument/2006/relationships/hyperlink" Target="5%20-%20RYSUNKI/2011-902-PRT-A0070000-A-Element%20sprz&#281;gaj&#261;cy.DXF" TargetMode="External"/><Relationship Id="rId91" Type="http://schemas.openxmlformats.org/officeDocument/2006/relationships/hyperlink" Target="5%20-%20RYSUNKI/2011-400-PRT-A0068780-A-Mocowanie%20si&#322;ownika.PDF" TargetMode="External"/><Relationship Id="rId187" Type="http://schemas.openxmlformats.org/officeDocument/2006/relationships/hyperlink" Target="5%20-%20RYSUNKI/2011-200-PRT-A0069917-A-Zastrza&#322;%20osi%20Z.PDF" TargetMode="External"/><Relationship Id="rId394" Type="http://schemas.openxmlformats.org/officeDocument/2006/relationships/hyperlink" Target="5%20-%20RYSUNKI/2011-400-PRT-A0068797-A-Gniazdo%203.STEP" TargetMode="External"/><Relationship Id="rId408" Type="http://schemas.openxmlformats.org/officeDocument/2006/relationships/hyperlink" Target="5%20-%20RYSUNKI/2011-200-PRT-A0071752-A-Kostka%20mocuj&#261;ca.DXF" TargetMode="External"/><Relationship Id="rId615" Type="http://schemas.openxmlformats.org/officeDocument/2006/relationships/hyperlink" Target="5%20-%20RYSUNKI/2011-600-PRT-A0073136-A-Mocowanie%20BSC00PJ.DXF" TargetMode="External"/><Relationship Id="rId822" Type="http://schemas.openxmlformats.org/officeDocument/2006/relationships/hyperlink" Target="5%20-%20RYSUNKI/2011-902-PRT-A0069225-A-Mocowanie%20w&#243;zka.STEP" TargetMode="External"/><Relationship Id="rId1038" Type="http://schemas.openxmlformats.org/officeDocument/2006/relationships/hyperlink" Target="5%20-%20RYSUNKI/2011-902-PRT-A0072036-A-Mocowanie%20prowadnika.STEP" TargetMode="External"/><Relationship Id="rId254" Type="http://schemas.openxmlformats.org/officeDocument/2006/relationships/hyperlink" Target="5%20-%20RYSUNKI/2011-200-PRT-A0070375-A-Gniazdko%20switch&#243;w.DXF" TargetMode="External"/><Relationship Id="rId699" Type="http://schemas.openxmlformats.org/officeDocument/2006/relationships/hyperlink" Target="5%20-%20RYSUNKI/2011-600-PRT-A0070122-A-Palec%20prz&#243;d.DXF" TargetMode="External"/><Relationship Id="rId1091" Type="http://schemas.openxmlformats.org/officeDocument/2006/relationships/hyperlink" Target="5%20-%20RYSUNKI/2011-600-ASM-A0011301-A-Skrzynka%20spawana%20Fluke.DXF" TargetMode="External"/><Relationship Id="rId1105" Type="http://schemas.openxmlformats.org/officeDocument/2006/relationships/hyperlink" Target="5%20-%20RYSUNKI/2011-600-PRT-A0073469-A-Os&#322;ona%20lewa.DXF" TargetMode="External"/><Relationship Id="rId49" Type="http://schemas.openxmlformats.org/officeDocument/2006/relationships/hyperlink" Target="5%20-%20RYSUNKI/2011-400-PRT-A0068858-A-Gniazdo%20pina.PDF" TargetMode="External"/><Relationship Id="rId114" Type="http://schemas.openxmlformats.org/officeDocument/2006/relationships/hyperlink" Target="5%20-%20RYSUNKI/2011-400-PRT-A0068859-A-&#346;lizg.STEP" TargetMode="External"/><Relationship Id="rId461" Type="http://schemas.openxmlformats.org/officeDocument/2006/relationships/hyperlink" Target="5%20-%20RYSUNKI/2011-200-PRT-A0071187-A-Kostka%20pozycjonuj&#261;ca.PDF" TargetMode="External"/><Relationship Id="rId559" Type="http://schemas.openxmlformats.org/officeDocument/2006/relationships/hyperlink" Target="5%20-%20RYSUNKI/2011-600-PRT-A0070492-A-Kostka%20elektryczna.STEP" TargetMode="External"/><Relationship Id="rId766" Type="http://schemas.openxmlformats.org/officeDocument/2006/relationships/hyperlink" Target="5%20-%20RYSUNKI\2011-990-PRT-A0072879-A-Os&#322;ona.PDF" TargetMode="External"/><Relationship Id="rId198" Type="http://schemas.openxmlformats.org/officeDocument/2006/relationships/hyperlink" Target="5%20-%20RYSUNKI/2011-200-PRT-A0069912-A-Podstawa%20szyny.STEP" TargetMode="External"/><Relationship Id="rId321" Type="http://schemas.openxmlformats.org/officeDocument/2006/relationships/hyperlink" Target="5%20-%20RYSUNKI/2011-400-PRT-A0068808-A-Mocowanie%20szyny.DXF" TargetMode="External"/><Relationship Id="rId419" Type="http://schemas.openxmlformats.org/officeDocument/2006/relationships/hyperlink" Target="5%20-%20RYSUNKI/2011-200-PRT-A0072092-A-Uchwyt%20czujnika.PDF" TargetMode="External"/><Relationship Id="rId626" Type="http://schemas.openxmlformats.org/officeDocument/2006/relationships/hyperlink" Target="5%20-%20RYSUNKI/2011-600-PRT-A0070098-A-Kostka%20elektryczna.PDF" TargetMode="External"/><Relationship Id="rId973" Type="http://schemas.openxmlformats.org/officeDocument/2006/relationships/hyperlink" Target="5%20-%20RYSUNKI\2011-901-PRT-A0068944-A-Element%20sprz&#281;gaj&#261;cy.PDF" TargetMode="External"/><Relationship Id="rId1049" Type="http://schemas.openxmlformats.org/officeDocument/2006/relationships/hyperlink" Target="5%20-%20RYSUNKI/2011-904-PRT-A0070444-B-Mocowanie%20prowadnika.DXF" TargetMode="External"/><Relationship Id="rId833" Type="http://schemas.openxmlformats.org/officeDocument/2006/relationships/hyperlink" Target="5%20-%20RYSUNKI/2011-902-PRT-A0069224-A-Trzpie&#324;.DXF" TargetMode="External"/><Relationship Id="rId1116" Type="http://schemas.openxmlformats.org/officeDocument/2006/relationships/hyperlink" Target="5%20-%20RYSUNKI\2011-600-PRT-A0073401-A-Mocowanie%20magnesu.PDF" TargetMode="External"/><Relationship Id="rId265" Type="http://schemas.openxmlformats.org/officeDocument/2006/relationships/hyperlink" Target="5%20-%20RYSUNKI/2011-200-PRT-A0070407-A-Os&#322;onka%20boczna.PDF" TargetMode="External"/><Relationship Id="rId472" Type="http://schemas.openxmlformats.org/officeDocument/2006/relationships/hyperlink" Target="5%20-%20RYSUNKI/2011-200-PRT-A0070615-A-Support%20uchwytu.STEP" TargetMode="External"/><Relationship Id="rId900" Type="http://schemas.openxmlformats.org/officeDocument/2006/relationships/hyperlink" Target="5%20-%20RYSUNKI/2011-990-PRT-A0072873-A-Wspornik%20blokady.STEP" TargetMode="External"/><Relationship Id="rId125" Type="http://schemas.openxmlformats.org/officeDocument/2006/relationships/hyperlink" Target="5%20-%20RYSUNKI/000.MAG.50%20-%20M5%20x30.DXF" TargetMode="External"/><Relationship Id="rId332" Type="http://schemas.openxmlformats.org/officeDocument/2006/relationships/hyperlink" Target="5%20-%20RYSUNKI/2011-400-PRT-A0068774-A-D&#378;wignia%20lewa.PDF" TargetMode="External"/><Relationship Id="rId777" Type="http://schemas.openxmlformats.org/officeDocument/2006/relationships/hyperlink" Target="5%20-%20RYSUNKI/2011-991-PRT-A0072855-C-Gniazdo%20eCrafter%20LH.STEP" TargetMode="External"/><Relationship Id="rId984" Type="http://schemas.openxmlformats.org/officeDocument/2006/relationships/hyperlink" Target="5%20-%20RYSUNKI/2011-992-PRT-A0073443-A-Gniazdo%20D&#378;wigni%20eCrafter%20Przesuwny%20LH.DXF" TargetMode="External"/><Relationship Id="rId637" Type="http://schemas.openxmlformats.org/officeDocument/2006/relationships/hyperlink" Target="5%20-%20RYSUNKI/2011-600-PRT-A0071266-A-Podpora%20PT.STEP" TargetMode="External"/><Relationship Id="rId844" Type="http://schemas.openxmlformats.org/officeDocument/2006/relationships/hyperlink" Target="5%20-%20RYSUNKI\2011-903-PRT-A0072944-A-&#379;ebro.PDF" TargetMode="External"/><Relationship Id="rId276" Type="http://schemas.openxmlformats.org/officeDocument/2006/relationships/hyperlink" Target="5%20-%20RYSUNKI/2011-200-PRT-A0069909-A-&#379;ebro.DXF" TargetMode="External"/><Relationship Id="rId483" Type="http://schemas.openxmlformats.org/officeDocument/2006/relationships/hyperlink" Target="5%20-%20RYSUNKI/2011-200-PRT-A0071418-A-P&#322;ytka%20nierdzewna.DXF" TargetMode="External"/><Relationship Id="rId690" Type="http://schemas.openxmlformats.org/officeDocument/2006/relationships/hyperlink" Target="5%20-%20RYSUNKI/2011--PRT-A0073178-B-Mocowanie%20si&#322;ownika.DXF" TargetMode="External"/><Relationship Id="rId704" Type="http://schemas.openxmlformats.org/officeDocument/2006/relationships/hyperlink" Target="5%20-%20RYSUNKI/2011-600-PRT-A0070575-A-Rami&#281;%20ty&#322;.PDF" TargetMode="External"/><Relationship Id="rId911" Type="http://schemas.openxmlformats.org/officeDocument/2006/relationships/hyperlink" Target="5%20-%20RYSUNKI/2011-990-PRT-A0072862-B-Wspornik%20blokady.DXF" TargetMode="External"/><Relationship Id="rId1127" Type="http://schemas.openxmlformats.org/officeDocument/2006/relationships/hyperlink" Target="5%20-%20RYSUNKI/2011-600-PRT-A0070131-A-Podstawa%20zespo&#322;u.STEP" TargetMode="External"/><Relationship Id="rId40" Type="http://schemas.openxmlformats.org/officeDocument/2006/relationships/hyperlink" Target="5%20-%20RYSUNKI/2011-400-PRT-A0068842-A-Mocowanie%20wypychacza.PDF" TargetMode="External"/><Relationship Id="rId136" Type="http://schemas.openxmlformats.org/officeDocument/2006/relationships/hyperlink" Target="5%20-%20RYSUNKI/2011-200-PRT-A0069927-A-Blaszka%20prowadnika%20poziomego%20sta&#322;a.PDF" TargetMode="External"/><Relationship Id="rId343" Type="http://schemas.openxmlformats.org/officeDocument/2006/relationships/hyperlink" Target="5%20-%20RYSUNKI/2011-400-PRT-A0069182-A-Listwa%20spr&#281;&#380;yny%20prawa%201.STEP" TargetMode="External"/><Relationship Id="rId550" Type="http://schemas.openxmlformats.org/officeDocument/2006/relationships/hyperlink" Target="5%20-%20RYSUNKI/2011-600-PRT-A0070490-A-Wspornik%20si&#322;ownika%201.STEP" TargetMode="External"/><Relationship Id="rId788" Type="http://schemas.openxmlformats.org/officeDocument/2006/relationships/hyperlink" Target="5%20-%20RYSUNKI/2011-990-PRT-A0072863-B-Mocowanie%20szyny.DXF" TargetMode="External"/><Relationship Id="rId995" Type="http://schemas.openxmlformats.org/officeDocument/2006/relationships/hyperlink" Target="5%20-%20RYSUNKI/2011-903-PRT-A0072931-A-Blokada%20spr&#281;&#380;yny.DXF" TargetMode="External"/><Relationship Id="rId203" Type="http://schemas.openxmlformats.org/officeDocument/2006/relationships/hyperlink" Target="5%20-%20RYSUNKI/2011-200-PRT-A0069906-A-P&#322;yta%20prasy.DXF" TargetMode="External"/><Relationship Id="rId648" Type="http://schemas.openxmlformats.org/officeDocument/2006/relationships/hyperlink" Target="5%20-%20RYSUNKI/2011-600-PRT-A0071263-A-Dok&#322;adka%20PL.DXF" TargetMode="External"/><Relationship Id="rId855" Type="http://schemas.openxmlformats.org/officeDocument/2006/relationships/hyperlink" Target="5%20-%20RYSUNKI/2011-903-PRT-A0072940-B-Podk&#322;adka.STEP" TargetMode="External"/><Relationship Id="rId1040" Type="http://schemas.openxmlformats.org/officeDocument/2006/relationships/hyperlink" Target="5%20-%20RYSUNKI/2011-902-PRT-A0071206-A-Os&#322;ona.DXF" TargetMode="External"/><Relationship Id="rId287" Type="http://schemas.openxmlformats.org/officeDocument/2006/relationships/hyperlink" Target="5%20-%20RYSUNKI/2011-400-PRT-A0069265-A-Uchwyt%20czujnika%202.PDF" TargetMode="External"/><Relationship Id="rId410" Type="http://schemas.openxmlformats.org/officeDocument/2006/relationships/hyperlink" Target="5%20-%20RYSUNKI/2011-200-PRT-A0071269-A-Kostka%20si&#322;ownika.PDF" TargetMode="External"/><Relationship Id="rId494" Type="http://schemas.openxmlformats.org/officeDocument/2006/relationships/hyperlink" Target="5%20-%20RYSUNKI/2011-200-PRT-A0070612-A-Support%20uchwytu.PDF" TargetMode="External"/><Relationship Id="rId508" Type="http://schemas.openxmlformats.org/officeDocument/2006/relationships/hyperlink" Target="5%20-%20RYSUNKI/2011-600-PRT-A0070117-A-P&#322;yta%20zespo&#322;u%20dojazdu.STEP" TargetMode="External"/><Relationship Id="rId715" Type="http://schemas.openxmlformats.org/officeDocument/2006/relationships/hyperlink" Target="5%20-%20RYSUNKI/2011-600-PRT-A0070124-A-Mocowanie%20czujnik&#243;w.STEP" TargetMode="External"/><Relationship Id="rId922" Type="http://schemas.openxmlformats.org/officeDocument/2006/relationships/hyperlink" Target="5%20-%20RYSUNKI\2011-901-PRT-A0068946-A-P&#322;yta%20po&#347;rednia.PDF" TargetMode="External"/><Relationship Id="rId147" Type="http://schemas.openxmlformats.org/officeDocument/2006/relationships/hyperlink" Target="5%20-%20RYSUNKI/2011-200-PRT-A0069923-A-Blaszka%20amortyzatora.STEP" TargetMode="External"/><Relationship Id="rId354" Type="http://schemas.openxmlformats.org/officeDocument/2006/relationships/hyperlink" Target="5%20-%20RYSUNKI/2011-400-PRT-A0068772-A-Oprawa%20d&#378;wigni.DXF" TargetMode="External"/><Relationship Id="rId799" Type="http://schemas.openxmlformats.org/officeDocument/2006/relationships/hyperlink" Target="5%20-%20RYSUNKI\2011-902-PRT-A0071207-A-Wa&#322;eczek.PDF" TargetMode="External"/><Relationship Id="rId51" Type="http://schemas.openxmlformats.org/officeDocument/2006/relationships/hyperlink" Target="5%20-%20RYSUNKI/2011-400-PRT-A0068858-A-Gniazdo%20pina.STEP" TargetMode="External"/><Relationship Id="rId561" Type="http://schemas.openxmlformats.org/officeDocument/2006/relationships/hyperlink" Target="5%20-%20RYSUNKI/2011-600-PRT-A0070089-A-Ramie%20dociskowe.DXF" TargetMode="External"/><Relationship Id="rId659" Type="http://schemas.openxmlformats.org/officeDocument/2006/relationships/hyperlink" Target="5%20-%20RYSUNKI/2011-600-PRT-A0070548-A-&#346;ciana%20lewa.PDF" TargetMode="External"/><Relationship Id="rId866" Type="http://schemas.openxmlformats.org/officeDocument/2006/relationships/hyperlink" Target="5%20-%20RYSUNKI/2011-903-PRT-A0072936-A-P&#322;yta.DXF" TargetMode="External"/><Relationship Id="rId214" Type="http://schemas.openxmlformats.org/officeDocument/2006/relationships/hyperlink" Target="5%20-%20RYSUNKI/2011-200-PRT-A0070368-A-Klin.PDF" TargetMode="External"/><Relationship Id="rId298" Type="http://schemas.openxmlformats.org/officeDocument/2006/relationships/hyperlink" Target="5%20-%20RYSUNKI/2011-400-PRT-A0068864-A-Mocowanie%20w&#243;zk&#243;w.STEP" TargetMode="External"/><Relationship Id="rId421" Type="http://schemas.openxmlformats.org/officeDocument/2006/relationships/hyperlink" Target="5%20-%20RYSUNKI/2011-200-PRT-A0072092-A-Uchwyt%20czujnika.STEP" TargetMode="External"/><Relationship Id="rId519" Type="http://schemas.openxmlformats.org/officeDocument/2006/relationships/hyperlink" Target="5%20-%20RYSUNKI/2011-600-PRT-A0070116-A-P&#322;yta%20supportu%201.DXF" TargetMode="External"/><Relationship Id="rId1051" Type="http://schemas.openxmlformats.org/officeDocument/2006/relationships/hyperlink" Target="5%20-%20RYSUNKI\2011-904-PRT-A0070438-A-Oprawa%20&#322;o&#380;ysk.PDF" TargetMode="External"/><Relationship Id="rId158" Type="http://schemas.openxmlformats.org/officeDocument/2006/relationships/hyperlink" Target="5%20-%20RYSUNKI/2011-200-PRT-A0069982-A-Gniazdo%20LH%20cz2.DXF" TargetMode="External"/><Relationship Id="rId726" Type="http://schemas.openxmlformats.org/officeDocument/2006/relationships/hyperlink" Target="5%20-%20RYSUNKI/2011-901-PRT-A0068931-A-Nakr&#281;tka%20specjalna.DXF" TargetMode="External"/><Relationship Id="rId933" Type="http://schemas.openxmlformats.org/officeDocument/2006/relationships/hyperlink" Target="5%20-%20RYSUNKI/2011-903-PRT-A0072927-A-Chwytak%20beczki.STEP" TargetMode="External"/><Relationship Id="rId1009" Type="http://schemas.openxmlformats.org/officeDocument/2006/relationships/hyperlink" Target="5%20-%20RYSUNKI\2011-903-PRT-A0072946-B-Os&#322;ona.PDF" TargetMode="External"/><Relationship Id="rId62" Type="http://schemas.openxmlformats.org/officeDocument/2006/relationships/hyperlink" Target="5%20-%20RYSUNKI/2011-400-PRT-A0068853-A-Nakr&#281;tka%202.DXF" TargetMode="External"/><Relationship Id="rId365" Type="http://schemas.openxmlformats.org/officeDocument/2006/relationships/hyperlink" Target="5%20-%20RYSUNKI/2011-400-PRT-A0068768-A-Zderzak%20si&#322;ownika.PDF" TargetMode="External"/><Relationship Id="rId572" Type="http://schemas.openxmlformats.org/officeDocument/2006/relationships/hyperlink" Target="5%20-%20RYSUNKI/2011-600-PRT-A0070105-A-Tuleja%20bazuj&#261;ca.PDF" TargetMode="External"/><Relationship Id="rId225" Type="http://schemas.openxmlformats.org/officeDocument/2006/relationships/hyperlink" Target="5%20-%20RYSUNKI/2011-200-PRT-A0069999-A-Kosteczka%20regulacyjna.STEP" TargetMode="External"/><Relationship Id="rId432" Type="http://schemas.openxmlformats.org/officeDocument/2006/relationships/hyperlink" Target="5%20-%20RYSUNKI/2011-200-PRT-A0071141-A-Profil%20aluminiowy.DXF" TargetMode="External"/><Relationship Id="rId877" Type="http://schemas.openxmlformats.org/officeDocument/2006/relationships/hyperlink" Target="5%20-%20RYSUNKI\2011-903-PRT-A0072932-A-P&#322;yta.PDF" TargetMode="External"/><Relationship Id="rId1062" Type="http://schemas.openxmlformats.org/officeDocument/2006/relationships/hyperlink" Target="5%20-%20RYSUNKI/000.MAG.50%20-%20M5%20x%20L-C.STE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2:B49"/>
  <sheetViews>
    <sheetView zoomScale="130" zoomScaleNormal="130" workbookViewId="0">
      <selection activeCell="B52" sqref="B52"/>
    </sheetView>
  </sheetViews>
  <sheetFormatPr defaultRowHeight="12.5"/>
  <cols>
    <col min="1" max="1" width="4.54296875" customWidth="1"/>
    <col min="2" max="2" width="106.1796875" customWidth="1"/>
  </cols>
  <sheetData>
    <row r="2" spans="2:2">
      <c r="B2" s="1" t="s">
        <v>0</v>
      </c>
    </row>
    <row r="3" spans="2:2" ht="25">
      <c r="B3" s="2" t="s">
        <v>46</v>
      </c>
    </row>
    <row r="5" spans="2:2">
      <c r="B5" s="1" t="s">
        <v>1</v>
      </c>
    </row>
    <row r="6" spans="2:2" ht="25">
      <c r="B6" s="2" t="s">
        <v>46</v>
      </c>
    </row>
    <row r="8" spans="2:2">
      <c r="B8" s="1" t="s">
        <v>2</v>
      </c>
    </row>
    <row r="9" spans="2:2" ht="25">
      <c r="B9" s="3" t="s">
        <v>46</v>
      </c>
    </row>
    <row r="16" spans="2:2" ht="14">
      <c r="B16" s="9" t="s">
        <v>3</v>
      </c>
    </row>
    <row r="17" spans="2:2">
      <c r="B17" s="6"/>
    </row>
    <row r="18" spans="2:2">
      <c r="B18" s="4"/>
    </row>
    <row r="19" spans="2:2">
      <c r="B19" s="5" t="s">
        <v>4</v>
      </c>
    </row>
    <row r="20" spans="2:2">
      <c r="B20" s="6" t="s">
        <v>25</v>
      </c>
    </row>
    <row r="21" spans="2:2">
      <c r="B21" s="4" t="s">
        <v>24</v>
      </c>
    </row>
    <row r="22" spans="2:2">
      <c r="B22" s="4" t="s">
        <v>26</v>
      </c>
    </row>
    <row r="23" spans="2:2">
      <c r="B23" s="4"/>
    </row>
    <row r="24" spans="2:2">
      <c r="B24" s="5" t="s">
        <v>30</v>
      </c>
    </row>
    <row r="25" spans="2:2">
      <c r="B25" s="6" t="s">
        <v>31</v>
      </c>
    </row>
    <row r="26" spans="2:2">
      <c r="B26" s="4" t="s">
        <v>32</v>
      </c>
    </row>
    <row r="27" spans="2:2">
      <c r="B27" s="4"/>
    </row>
    <row r="28" spans="2:2">
      <c r="B28" s="5" t="s">
        <v>5</v>
      </c>
    </row>
    <row r="29" spans="2:2">
      <c r="B29" s="6" t="s">
        <v>6</v>
      </c>
    </row>
    <row r="30" spans="2:2">
      <c r="B30" s="8" t="s">
        <v>27</v>
      </c>
    </row>
    <row r="31" spans="2:2">
      <c r="B31" s="4"/>
    </row>
    <row r="32" spans="2:2">
      <c r="B32" s="4" t="s">
        <v>7</v>
      </c>
    </row>
    <row r="33" spans="1:2">
      <c r="B33" s="4" t="s">
        <v>29</v>
      </c>
    </row>
    <row r="34" spans="1:2">
      <c r="B34" s="4" t="s">
        <v>28</v>
      </c>
    </row>
    <row r="35" spans="1:2">
      <c r="B35" s="7"/>
    </row>
    <row r="36" spans="1:2">
      <c r="B36" s="5" t="s">
        <v>8</v>
      </c>
    </row>
    <row r="37" spans="1:2">
      <c r="B37" s="6" t="s">
        <v>9</v>
      </c>
    </row>
    <row r="38" spans="1:2">
      <c r="B38" s="6" t="s">
        <v>10</v>
      </c>
    </row>
    <row r="40" spans="1:2">
      <c r="B40" s="5" t="s">
        <v>11</v>
      </c>
    </row>
    <row r="41" spans="1:2">
      <c r="B41" s="6" t="s">
        <v>12</v>
      </c>
    </row>
    <row r="45" spans="1:2">
      <c r="B45" t="s">
        <v>64</v>
      </c>
    </row>
    <row r="46" spans="1:2">
      <c r="A46" t="s">
        <v>69</v>
      </c>
      <c r="B46" t="s">
        <v>65</v>
      </c>
    </row>
    <row r="47" spans="1:2">
      <c r="A47" t="s">
        <v>70</v>
      </c>
      <c r="B47" t="s">
        <v>66</v>
      </c>
    </row>
    <row r="48" spans="1:2">
      <c r="A48" t="s">
        <v>71</v>
      </c>
      <c r="B48" t="s">
        <v>67</v>
      </c>
    </row>
    <row r="49" spans="1:2">
      <c r="A49" t="s">
        <v>72</v>
      </c>
      <c r="B49" t="s">
        <v>68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 filterMode="1">
    <tabColor rgb="FFFFFF00"/>
    <pageSetUpPr fitToPage="1"/>
  </sheetPr>
  <dimension ref="A1:BD404"/>
  <sheetViews>
    <sheetView tabSelected="1" zoomScale="40" zoomScaleNormal="40" workbookViewId="0">
      <pane xSplit="1" ySplit="5" topLeftCell="C6" activePane="bottomRight" state="frozen"/>
      <selection pane="topRight" activeCell="B1" sqref="B1"/>
      <selection pane="bottomLeft" activeCell="A6" sqref="A6"/>
      <selection pane="bottomRight" activeCell="AN356" sqref="AN356"/>
    </sheetView>
  </sheetViews>
  <sheetFormatPr defaultColWidth="9.1796875" defaultRowHeight="28" customHeight="1"/>
  <cols>
    <col min="1" max="1" width="10.54296875" style="30" customWidth="1"/>
    <col min="2" max="2" width="18.7265625" style="29" customWidth="1"/>
    <col min="3" max="3" width="5.7265625" style="17" customWidth="1"/>
    <col min="4" max="5" width="5.7265625" style="16" customWidth="1"/>
    <col min="6" max="6" width="23.453125" style="16" customWidth="1"/>
    <col min="7" max="7" width="27.26953125" style="16" customWidth="1"/>
    <col min="8" max="8" width="14.26953125" style="16" customWidth="1"/>
    <col min="9" max="9" width="42.7265625" style="18" customWidth="1"/>
    <col min="10" max="10" width="80" style="78" customWidth="1"/>
    <col min="11" max="11" width="27.453125" style="16" customWidth="1"/>
    <col min="12" max="12" width="41.26953125" style="16" bestFit="1" customWidth="1"/>
    <col min="13" max="13" width="16.453125" style="17" customWidth="1"/>
    <col min="14" max="14" width="23.26953125" style="18" customWidth="1"/>
    <col min="15" max="15" width="17.81640625" style="18" customWidth="1"/>
    <col min="16" max="16" width="12.453125" style="16" hidden="1" customWidth="1"/>
    <col min="17" max="17" width="21.7265625" style="16" hidden="1" customWidth="1"/>
    <col min="18" max="18" width="21" style="16" hidden="1" customWidth="1"/>
    <col min="19" max="30" width="10.54296875" style="16" hidden="1" customWidth="1"/>
    <col min="31" max="31" width="6.7265625" style="16" hidden="1" customWidth="1"/>
    <col min="32" max="32" width="10.54296875" style="16" hidden="1" customWidth="1"/>
    <col min="33" max="33" width="6.1796875" style="16" hidden="1" customWidth="1"/>
    <col min="34" max="37" width="10.54296875" style="16" hidden="1" customWidth="1"/>
    <col min="38" max="38" width="9.7265625" style="19" hidden="1" customWidth="1"/>
    <col min="39" max="39" width="11.54296875" style="19" hidden="1" customWidth="1"/>
    <col min="40" max="40" width="16.26953125" style="19" customWidth="1"/>
    <col min="41" max="41" width="24" style="19" customWidth="1"/>
    <col min="42" max="42" width="10.7265625" style="20" customWidth="1"/>
    <col min="43" max="43" width="66.81640625" style="16" customWidth="1"/>
    <col min="44" max="44" width="38" style="17" customWidth="1"/>
    <col min="45" max="45" width="11.1796875" style="16" customWidth="1"/>
    <col min="46" max="46" width="13.453125" style="16" customWidth="1"/>
    <col min="47" max="48" width="13.453125" style="17" customWidth="1"/>
    <col min="49" max="49" width="36.81640625" style="17" customWidth="1"/>
    <col min="50" max="50" width="10" style="21" customWidth="1"/>
    <col min="51" max="51" width="45" style="22" bestFit="1" customWidth="1"/>
    <col min="52" max="52" width="27" style="10" customWidth="1"/>
    <col min="53" max="16384" width="9.1796875" style="10"/>
  </cols>
  <sheetData>
    <row r="1" spans="1:56" ht="69" customHeight="1" thickTop="1" thickBot="1">
      <c r="A1" s="54"/>
      <c r="B1" s="55"/>
      <c r="C1" s="56"/>
      <c r="D1" s="56"/>
      <c r="E1" s="56"/>
      <c r="F1" s="57"/>
      <c r="G1" s="57"/>
      <c r="H1" s="58" t="s">
        <v>45</v>
      </c>
      <c r="I1" s="85" t="s">
        <v>133</v>
      </c>
      <c r="J1" s="77"/>
      <c r="K1" s="81"/>
      <c r="L1" s="70" t="s">
        <v>93</v>
      </c>
      <c r="M1" s="63">
        <v>6</v>
      </c>
      <c r="N1" s="63">
        <v>0</v>
      </c>
      <c r="P1" s="42"/>
      <c r="Q1" s="41"/>
      <c r="R1" s="370" t="s">
        <v>63</v>
      </c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  <c r="AD1" s="371"/>
      <c r="AE1" s="371"/>
      <c r="AF1" s="371"/>
      <c r="AG1" s="371"/>
      <c r="AH1" s="371"/>
      <c r="AI1" s="371"/>
      <c r="AJ1" s="371"/>
      <c r="AK1" s="371"/>
      <c r="AL1" s="253"/>
      <c r="AM1" s="43"/>
      <c r="AN1" s="254"/>
      <c r="AO1" s="356" t="s">
        <v>13</v>
      </c>
      <c r="AP1" s="356"/>
      <c r="AQ1" s="356"/>
      <c r="AR1" s="356"/>
      <c r="AS1" s="356"/>
      <c r="AT1" s="357"/>
      <c r="AU1" s="360" t="s">
        <v>23</v>
      </c>
      <c r="AV1" s="361"/>
      <c r="AW1" s="362"/>
      <c r="AX1" s="366" t="s">
        <v>35</v>
      </c>
      <c r="AY1" s="367"/>
      <c r="AZ1" s="354" t="s">
        <v>57</v>
      </c>
    </row>
    <row r="2" spans="1:56" ht="23.25" customHeight="1" thickBot="1">
      <c r="A2" s="48" t="str">
        <f>"Lista materiałów handlowych do "&amp;POMOC!B3&amp;", sporządził: "&amp;POMOC!B6</f>
        <v>Lista materiałów handlowych do xxx, sporządził: xxx</v>
      </c>
      <c r="B2" s="26"/>
      <c r="C2" s="26"/>
      <c r="D2" s="26"/>
      <c r="E2" s="26"/>
      <c r="F2" s="17"/>
      <c r="G2" s="17"/>
      <c r="H2" s="17"/>
      <c r="K2" s="26"/>
      <c r="L2" s="39"/>
      <c r="M2" s="26"/>
      <c r="N2" s="26"/>
      <c r="O2" s="26"/>
      <c r="P2" s="26"/>
      <c r="Q2" s="26"/>
      <c r="R2" s="372"/>
      <c r="S2" s="373"/>
      <c r="T2" s="373"/>
      <c r="U2" s="373"/>
      <c r="V2" s="373"/>
      <c r="W2" s="373"/>
      <c r="X2" s="373"/>
      <c r="Y2" s="373"/>
      <c r="Z2" s="373"/>
      <c r="AA2" s="373"/>
      <c r="AB2" s="373"/>
      <c r="AC2" s="373"/>
      <c r="AD2" s="373"/>
      <c r="AE2" s="373"/>
      <c r="AF2" s="373"/>
      <c r="AG2" s="373"/>
      <c r="AH2" s="373"/>
      <c r="AI2" s="373"/>
      <c r="AJ2" s="373"/>
      <c r="AK2" s="373"/>
      <c r="AL2" s="255"/>
      <c r="AM2" s="27"/>
      <c r="AN2" s="256"/>
      <c r="AO2" s="358"/>
      <c r="AP2" s="358"/>
      <c r="AQ2" s="358"/>
      <c r="AR2" s="358"/>
      <c r="AS2" s="358"/>
      <c r="AT2" s="359"/>
      <c r="AU2" s="363"/>
      <c r="AV2" s="364"/>
      <c r="AW2" s="365"/>
      <c r="AX2" s="368"/>
      <c r="AY2" s="369"/>
      <c r="AZ2" s="355"/>
    </row>
    <row r="3" spans="1:56" ht="28" customHeight="1" thickTop="1">
      <c r="A3" s="49"/>
      <c r="B3" s="50"/>
      <c r="C3" s="51"/>
      <c r="D3" s="51"/>
      <c r="E3" s="51"/>
      <c r="F3" s="51"/>
      <c r="G3" s="51"/>
      <c r="H3" s="51"/>
      <c r="I3" s="75"/>
      <c r="J3" s="79"/>
      <c r="K3" s="51"/>
      <c r="L3" s="51"/>
      <c r="M3" s="51"/>
      <c r="N3" s="51"/>
      <c r="O3" s="51"/>
      <c r="P3" s="51"/>
      <c r="Q3" s="52"/>
      <c r="R3" s="374">
        <v>1704</v>
      </c>
      <c r="S3" s="348">
        <v>2011</v>
      </c>
      <c r="T3" s="349"/>
      <c r="U3" s="349"/>
      <c r="V3" s="349"/>
      <c r="W3" s="349"/>
      <c r="X3" s="349"/>
      <c r="Y3" s="349"/>
      <c r="Z3" s="349"/>
      <c r="AA3" s="350"/>
      <c r="AB3" s="348">
        <v>2013</v>
      </c>
      <c r="AC3" s="349"/>
      <c r="AD3" s="349"/>
      <c r="AE3" s="349"/>
      <c r="AF3" s="349"/>
      <c r="AG3" s="349"/>
      <c r="AH3" s="349"/>
      <c r="AI3" s="349"/>
      <c r="AJ3" s="349"/>
      <c r="AK3" s="349"/>
      <c r="AL3" s="257"/>
      <c r="AM3" s="53"/>
      <c r="AN3" s="258"/>
      <c r="AO3" s="33"/>
      <c r="AP3" s="23"/>
      <c r="AQ3" s="23"/>
      <c r="AR3" s="23"/>
      <c r="AS3" s="23"/>
      <c r="AT3" s="31"/>
      <c r="AU3" s="47"/>
      <c r="AV3" s="37"/>
      <c r="AW3" s="24"/>
      <c r="AX3" s="25"/>
      <c r="AY3" s="24"/>
      <c r="AZ3" s="45"/>
    </row>
    <row r="4" spans="1:56" ht="57" customHeight="1" thickBot="1">
      <c r="A4" s="44"/>
      <c r="B4" s="35"/>
      <c r="C4" s="36"/>
      <c r="D4" s="36"/>
      <c r="E4" s="36"/>
      <c r="F4" s="36"/>
      <c r="G4" s="36"/>
      <c r="H4" s="36"/>
      <c r="I4" s="76"/>
      <c r="J4" s="80"/>
      <c r="K4" s="36"/>
      <c r="L4" s="36"/>
      <c r="M4" s="36"/>
      <c r="N4" s="36"/>
      <c r="O4" s="36"/>
      <c r="P4" s="36"/>
      <c r="Q4" s="40"/>
      <c r="R4" s="375"/>
      <c r="S4" s="351"/>
      <c r="T4" s="352"/>
      <c r="U4" s="352"/>
      <c r="V4" s="352"/>
      <c r="W4" s="352"/>
      <c r="X4" s="352"/>
      <c r="Y4" s="352"/>
      <c r="Z4" s="352"/>
      <c r="AA4" s="353"/>
      <c r="AB4" s="351"/>
      <c r="AC4" s="352"/>
      <c r="AD4" s="352"/>
      <c r="AE4" s="352"/>
      <c r="AF4" s="352"/>
      <c r="AG4" s="352"/>
      <c r="AH4" s="352"/>
      <c r="AI4" s="352"/>
      <c r="AJ4" s="352"/>
      <c r="AK4" s="352"/>
      <c r="AL4" s="259"/>
      <c r="AM4" s="34"/>
      <c r="AN4" s="260"/>
      <c r="AO4" s="14"/>
      <c r="AP4" s="12"/>
      <c r="AQ4" s="12"/>
      <c r="AR4" s="12"/>
      <c r="AS4" s="12"/>
      <c r="AT4" s="32"/>
      <c r="AU4" s="15"/>
      <c r="AV4" s="38"/>
      <c r="AW4" s="13"/>
      <c r="AX4" s="11"/>
      <c r="AY4" s="13"/>
      <c r="AZ4" s="46"/>
    </row>
    <row r="5" spans="1:56" s="28" customFormat="1" ht="45" customHeight="1">
      <c r="A5" s="130" t="s">
        <v>14</v>
      </c>
      <c r="B5" s="131" t="s">
        <v>58</v>
      </c>
      <c r="C5" s="132" t="s">
        <v>37</v>
      </c>
      <c r="D5" s="132" t="s">
        <v>38</v>
      </c>
      <c r="E5" s="132" t="s">
        <v>39</v>
      </c>
      <c r="F5" s="132" t="s">
        <v>22</v>
      </c>
      <c r="G5" s="132" t="s">
        <v>53</v>
      </c>
      <c r="H5" s="132" t="s">
        <v>54</v>
      </c>
      <c r="I5" s="132" t="s">
        <v>44</v>
      </c>
      <c r="J5" s="133" t="s">
        <v>52</v>
      </c>
      <c r="K5" s="132" t="s">
        <v>49</v>
      </c>
      <c r="L5" s="132" t="s">
        <v>33</v>
      </c>
      <c r="M5" s="132" t="s">
        <v>40</v>
      </c>
      <c r="N5" s="132" t="s">
        <v>41</v>
      </c>
      <c r="O5" s="132" t="s">
        <v>42</v>
      </c>
      <c r="P5" s="132" t="s">
        <v>55</v>
      </c>
      <c r="Q5" s="134" t="s">
        <v>34</v>
      </c>
      <c r="R5" s="135" t="s">
        <v>138</v>
      </c>
      <c r="S5" s="136" t="s">
        <v>137</v>
      </c>
      <c r="T5" s="137" t="s">
        <v>129</v>
      </c>
      <c r="U5" s="137" t="s">
        <v>211</v>
      </c>
      <c r="V5" s="137" t="s">
        <v>458</v>
      </c>
      <c r="W5" s="137" t="s">
        <v>678</v>
      </c>
      <c r="X5" s="137" t="s">
        <v>130</v>
      </c>
      <c r="Y5" s="137" t="s">
        <v>131</v>
      </c>
      <c r="Z5" s="137" t="s">
        <v>1219</v>
      </c>
      <c r="AA5" s="138" t="s">
        <v>132</v>
      </c>
      <c r="AB5" s="139" t="s">
        <v>139</v>
      </c>
      <c r="AC5" s="137" t="s">
        <v>140</v>
      </c>
      <c r="AD5" s="137" t="s">
        <v>141</v>
      </c>
      <c r="AE5" s="137" t="s">
        <v>142</v>
      </c>
      <c r="AF5" s="137" t="s">
        <v>143</v>
      </c>
      <c r="AG5" s="137" t="s">
        <v>144</v>
      </c>
      <c r="AH5" s="137" t="s">
        <v>59</v>
      </c>
      <c r="AI5" s="137" t="s">
        <v>60</v>
      </c>
      <c r="AJ5" s="137" t="s">
        <v>61</v>
      </c>
      <c r="AK5" s="242" t="s">
        <v>62</v>
      </c>
      <c r="AL5" s="261" t="s">
        <v>15</v>
      </c>
      <c r="AM5" s="140" t="s">
        <v>50</v>
      </c>
      <c r="AN5" s="262" t="s">
        <v>51</v>
      </c>
      <c r="AO5" s="141" t="s">
        <v>18</v>
      </c>
      <c r="AP5" s="142" t="s">
        <v>16</v>
      </c>
      <c r="AQ5" s="142" t="s">
        <v>17</v>
      </c>
      <c r="AR5" s="142" t="s">
        <v>36</v>
      </c>
      <c r="AS5" s="142" t="s">
        <v>43</v>
      </c>
      <c r="AT5" s="143" t="s">
        <v>20</v>
      </c>
      <c r="AU5" s="144" t="s">
        <v>21</v>
      </c>
      <c r="AV5" s="145" t="s">
        <v>56</v>
      </c>
      <c r="AW5" s="146" t="s">
        <v>19</v>
      </c>
      <c r="AX5" s="147" t="s">
        <v>48</v>
      </c>
      <c r="AY5" s="146" t="s">
        <v>47</v>
      </c>
      <c r="AZ5" s="148" t="s">
        <v>57</v>
      </c>
    </row>
    <row r="6" spans="1:56" ht="28" hidden="1" customHeight="1">
      <c r="A6" s="149">
        <v>1</v>
      </c>
      <c r="B6" s="150">
        <v>44985</v>
      </c>
      <c r="C6" s="87" t="s">
        <v>134</v>
      </c>
      <c r="D6" s="87" t="s">
        <v>135</v>
      </c>
      <c r="E6" s="87" t="s">
        <v>136</v>
      </c>
      <c r="F6" s="199" t="s">
        <v>128</v>
      </c>
      <c r="G6" s="200" t="s">
        <v>109</v>
      </c>
      <c r="H6" s="201" t="s">
        <v>110</v>
      </c>
      <c r="I6" s="200" t="s">
        <v>111</v>
      </c>
      <c r="J6" s="202" t="s">
        <v>112</v>
      </c>
      <c r="K6" s="203"/>
      <c r="L6" s="203" t="s">
        <v>113</v>
      </c>
      <c r="M6" s="200" t="s">
        <v>272</v>
      </c>
      <c r="N6" s="200"/>
      <c r="O6" s="204"/>
      <c r="P6" s="200" t="s">
        <v>115</v>
      </c>
      <c r="Q6" s="230"/>
      <c r="R6" s="235">
        <v>1</v>
      </c>
      <c r="S6" s="234">
        <f>0</f>
        <v>0</v>
      </c>
      <c r="T6" s="86">
        <f>0</f>
        <v>0</v>
      </c>
      <c r="U6" s="86">
        <f>0</f>
        <v>0</v>
      </c>
      <c r="V6" s="86">
        <f>0</f>
        <v>0</v>
      </c>
      <c r="W6" s="86">
        <f>0</f>
        <v>0</v>
      </c>
      <c r="X6" s="86">
        <f>0</f>
        <v>0</v>
      </c>
      <c r="Y6" s="86">
        <f>0</f>
        <v>0</v>
      </c>
      <c r="Z6" s="86">
        <f>0</f>
        <v>0</v>
      </c>
      <c r="AA6" s="237">
        <f>0</f>
        <v>0</v>
      </c>
      <c r="AB6" s="239">
        <f>0</f>
        <v>0</v>
      </c>
      <c r="AC6" s="86">
        <f>0</f>
        <v>0</v>
      </c>
      <c r="AD6" s="86">
        <f>0</f>
        <v>0</v>
      </c>
      <c r="AE6" s="86">
        <f>0</f>
        <v>0</v>
      </c>
      <c r="AF6" s="86">
        <f>0</f>
        <v>0</v>
      </c>
      <c r="AG6" s="86">
        <f>0</f>
        <v>0</v>
      </c>
      <c r="AH6" s="86">
        <f>0</f>
        <v>0</v>
      </c>
      <c r="AI6" s="86">
        <f>0</f>
        <v>0</v>
      </c>
      <c r="AJ6" s="86">
        <f>0</f>
        <v>0</v>
      </c>
      <c r="AK6" s="237">
        <f>0</f>
        <v>0</v>
      </c>
      <c r="AL6" s="263">
        <f t="shared" ref="AL6:AL37" si="0">SUM(R6:AK6)</f>
        <v>1</v>
      </c>
      <c r="AM6" s="111">
        <f>0</f>
        <v>0</v>
      </c>
      <c r="AN6" s="264">
        <f t="shared" ref="AN6:AN37" si="1">AL6-AM6</f>
        <v>1</v>
      </c>
      <c r="AO6" s="243"/>
      <c r="AP6" s="205"/>
      <c r="AQ6" s="173"/>
      <c r="AR6" s="174" t="s">
        <v>271</v>
      </c>
      <c r="AS6" s="151"/>
      <c r="AT6" s="152"/>
      <c r="AU6" s="153"/>
      <c r="AV6" s="154"/>
      <c r="AW6" s="83"/>
      <c r="AX6" s="155"/>
      <c r="AY6" s="155"/>
      <c r="AZ6" s="84"/>
    </row>
    <row r="7" spans="1:56" ht="28" hidden="1" customHeight="1">
      <c r="A7" s="156">
        <v>2</v>
      </c>
      <c r="B7" s="157">
        <v>44985</v>
      </c>
      <c r="C7" s="87" t="s">
        <v>134</v>
      </c>
      <c r="D7" s="87" t="s">
        <v>135</v>
      </c>
      <c r="E7" s="87" t="s">
        <v>136</v>
      </c>
      <c r="F7" s="96" t="s">
        <v>128</v>
      </c>
      <c r="G7" s="123" t="s">
        <v>116</v>
      </c>
      <c r="H7" s="158" t="s">
        <v>110</v>
      </c>
      <c r="I7" s="123" t="s">
        <v>117</v>
      </c>
      <c r="J7" s="159" t="s">
        <v>118</v>
      </c>
      <c r="K7" s="160"/>
      <c r="L7" s="161" t="s">
        <v>119</v>
      </c>
      <c r="M7" s="123" t="s">
        <v>114</v>
      </c>
      <c r="N7" s="123"/>
      <c r="O7" s="123" t="s">
        <v>120</v>
      </c>
      <c r="P7" s="123" t="s">
        <v>115</v>
      </c>
      <c r="Q7" s="231" t="s">
        <v>121</v>
      </c>
      <c r="R7" s="235">
        <v>1</v>
      </c>
      <c r="S7" s="234">
        <f>0</f>
        <v>0</v>
      </c>
      <c r="T7" s="86">
        <f>0</f>
        <v>0</v>
      </c>
      <c r="U7" s="86">
        <f>0</f>
        <v>0</v>
      </c>
      <c r="V7" s="86">
        <f>0</f>
        <v>0</v>
      </c>
      <c r="W7" s="86">
        <f>0</f>
        <v>0</v>
      </c>
      <c r="X7" s="86">
        <f>0</f>
        <v>0</v>
      </c>
      <c r="Y7" s="86">
        <f>0</f>
        <v>0</v>
      </c>
      <c r="Z7" s="86">
        <f>0</f>
        <v>0</v>
      </c>
      <c r="AA7" s="237">
        <f>0</f>
        <v>0</v>
      </c>
      <c r="AB7" s="239">
        <f>0</f>
        <v>0</v>
      </c>
      <c r="AC7" s="86">
        <f>0</f>
        <v>0</v>
      </c>
      <c r="AD7" s="86">
        <f>0</f>
        <v>0</v>
      </c>
      <c r="AE7" s="86">
        <f>0</f>
        <v>0</v>
      </c>
      <c r="AF7" s="86">
        <f>0</f>
        <v>0</v>
      </c>
      <c r="AG7" s="86">
        <f>0</f>
        <v>0</v>
      </c>
      <c r="AH7" s="86">
        <f>0</f>
        <v>0</v>
      </c>
      <c r="AI7" s="86">
        <f>0</f>
        <v>0</v>
      </c>
      <c r="AJ7" s="86">
        <f>0</f>
        <v>0</v>
      </c>
      <c r="AK7" s="237">
        <f>0</f>
        <v>0</v>
      </c>
      <c r="AL7" s="263">
        <f t="shared" si="0"/>
        <v>1</v>
      </c>
      <c r="AM7" s="111">
        <f>0</f>
        <v>0</v>
      </c>
      <c r="AN7" s="264">
        <f t="shared" si="1"/>
        <v>1</v>
      </c>
      <c r="AO7" s="244">
        <v>45042</v>
      </c>
      <c r="AP7" s="126" t="s">
        <v>273</v>
      </c>
      <c r="AQ7" s="121" t="s">
        <v>277</v>
      </c>
      <c r="AR7" s="122" t="s">
        <v>276</v>
      </c>
      <c r="AS7" s="112"/>
      <c r="AT7" s="113"/>
      <c r="AU7" s="114">
        <v>1</v>
      </c>
      <c r="AV7" s="115"/>
      <c r="AW7" s="113" t="s">
        <v>459</v>
      </c>
      <c r="AX7" s="116"/>
      <c r="AY7" s="116"/>
      <c r="AZ7" s="90"/>
      <c r="BA7" s="91"/>
      <c r="BB7" s="91"/>
      <c r="BC7" s="91"/>
      <c r="BD7" s="71"/>
    </row>
    <row r="8" spans="1:56" ht="28" hidden="1" customHeight="1">
      <c r="A8" s="149">
        <v>3</v>
      </c>
      <c r="B8" s="150">
        <v>44985</v>
      </c>
      <c r="C8" s="87" t="s">
        <v>134</v>
      </c>
      <c r="D8" s="87" t="s">
        <v>135</v>
      </c>
      <c r="E8" s="87" t="s">
        <v>136</v>
      </c>
      <c r="F8" s="199" t="s">
        <v>128</v>
      </c>
      <c r="G8" s="200" t="s">
        <v>122</v>
      </c>
      <c r="H8" s="201" t="s">
        <v>110</v>
      </c>
      <c r="I8" s="200" t="s">
        <v>123</v>
      </c>
      <c r="J8" s="206" t="s">
        <v>124</v>
      </c>
      <c r="K8" s="203"/>
      <c r="L8" s="203" t="s">
        <v>113</v>
      </c>
      <c r="M8" s="200" t="s">
        <v>272</v>
      </c>
      <c r="N8" s="200"/>
      <c r="O8" s="204"/>
      <c r="P8" s="200" t="s">
        <v>115</v>
      </c>
      <c r="Q8" s="230"/>
      <c r="R8" s="235">
        <v>1</v>
      </c>
      <c r="S8" s="234">
        <f>0</f>
        <v>0</v>
      </c>
      <c r="T8" s="86">
        <f>0</f>
        <v>0</v>
      </c>
      <c r="U8" s="86">
        <f>0</f>
        <v>0</v>
      </c>
      <c r="V8" s="86">
        <f>0</f>
        <v>0</v>
      </c>
      <c r="W8" s="86">
        <f>0</f>
        <v>0</v>
      </c>
      <c r="X8" s="86">
        <f>0</f>
        <v>0</v>
      </c>
      <c r="Y8" s="86">
        <f>0</f>
        <v>0</v>
      </c>
      <c r="Z8" s="86">
        <f>0</f>
        <v>0</v>
      </c>
      <c r="AA8" s="237">
        <f>0</f>
        <v>0</v>
      </c>
      <c r="AB8" s="239">
        <f>0</f>
        <v>0</v>
      </c>
      <c r="AC8" s="86">
        <f>0</f>
        <v>0</v>
      </c>
      <c r="AD8" s="86">
        <f>0</f>
        <v>0</v>
      </c>
      <c r="AE8" s="86">
        <f>0</f>
        <v>0</v>
      </c>
      <c r="AF8" s="86">
        <f>0</f>
        <v>0</v>
      </c>
      <c r="AG8" s="86">
        <f>0</f>
        <v>0</v>
      </c>
      <c r="AH8" s="86">
        <f>0</f>
        <v>0</v>
      </c>
      <c r="AI8" s="86">
        <f>0</f>
        <v>0</v>
      </c>
      <c r="AJ8" s="86">
        <f>0</f>
        <v>0</v>
      </c>
      <c r="AK8" s="237">
        <f>0</f>
        <v>0</v>
      </c>
      <c r="AL8" s="263">
        <f t="shared" si="0"/>
        <v>1</v>
      </c>
      <c r="AM8" s="111">
        <f>0</f>
        <v>0</v>
      </c>
      <c r="AN8" s="264">
        <f t="shared" si="1"/>
        <v>1</v>
      </c>
      <c r="AO8" s="243"/>
      <c r="AP8" s="205"/>
      <c r="AQ8" s="174"/>
      <c r="AR8" s="174" t="s">
        <v>271</v>
      </c>
      <c r="AS8" s="151"/>
      <c r="AT8" s="152"/>
      <c r="AU8" s="153"/>
      <c r="AV8" s="154"/>
      <c r="AW8" s="152"/>
      <c r="AX8" s="155"/>
      <c r="AY8" s="155"/>
      <c r="AZ8" s="84"/>
    </row>
    <row r="9" spans="1:56" ht="28" hidden="1" customHeight="1">
      <c r="A9" s="149">
        <v>4</v>
      </c>
      <c r="B9" s="150">
        <v>44985</v>
      </c>
      <c r="C9" s="87" t="s">
        <v>134</v>
      </c>
      <c r="D9" s="87" t="s">
        <v>135</v>
      </c>
      <c r="E9" s="87" t="s">
        <v>136</v>
      </c>
      <c r="F9" s="199" t="s">
        <v>128</v>
      </c>
      <c r="G9" s="200" t="s">
        <v>125</v>
      </c>
      <c r="H9" s="201" t="s">
        <v>110</v>
      </c>
      <c r="I9" s="200" t="s">
        <v>126</v>
      </c>
      <c r="J9" s="206" t="s">
        <v>127</v>
      </c>
      <c r="K9" s="203"/>
      <c r="L9" s="203" t="s">
        <v>113</v>
      </c>
      <c r="M9" s="200" t="s">
        <v>272</v>
      </c>
      <c r="N9" s="200"/>
      <c r="O9" s="204"/>
      <c r="P9" s="200" t="s">
        <v>115</v>
      </c>
      <c r="Q9" s="230"/>
      <c r="R9" s="235">
        <v>1</v>
      </c>
      <c r="S9" s="234">
        <f>0</f>
        <v>0</v>
      </c>
      <c r="T9" s="86">
        <f>0</f>
        <v>0</v>
      </c>
      <c r="U9" s="86">
        <f>0</f>
        <v>0</v>
      </c>
      <c r="V9" s="86">
        <f>0</f>
        <v>0</v>
      </c>
      <c r="W9" s="86">
        <f>0</f>
        <v>0</v>
      </c>
      <c r="X9" s="86">
        <f>0</f>
        <v>0</v>
      </c>
      <c r="Y9" s="86">
        <f>0</f>
        <v>0</v>
      </c>
      <c r="Z9" s="86">
        <f>0</f>
        <v>0</v>
      </c>
      <c r="AA9" s="237">
        <f>0</f>
        <v>0</v>
      </c>
      <c r="AB9" s="239">
        <f>0</f>
        <v>0</v>
      </c>
      <c r="AC9" s="86">
        <f>0</f>
        <v>0</v>
      </c>
      <c r="AD9" s="86">
        <f>0</f>
        <v>0</v>
      </c>
      <c r="AE9" s="86">
        <f>0</f>
        <v>0</v>
      </c>
      <c r="AF9" s="86">
        <f>0</f>
        <v>0</v>
      </c>
      <c r="AG9" s="86">
        <f>0</f>
        <v>0</v>
      </c>
      <c r="AH9" s="86">
        <f>0</f>
        <v>0</v>
      </c>
      <c r="AI9" s="86">
        <f>0</f>
        <v>0</v>
      </c>
      <c r="AJ9" s="86">
        <f>0</f>
        <v>0</v>
      </c>
      <c r="AK9" s="237">
        <f>0</f>
        <v>0</v>
      </c>
      <c r="AL9" s="263">
        <f t="shared" si="0"/>
        <v>1</v>
      </c>
      <c r="AM9" s="111">
        <f>0</f>
        <v>0</v>
      </c>
      <c r="AN9" s="264">
        <f t="shared" si="1"/>
        <v>1</v>
      </c>
      <c r="AO9" s="243"/>
      <c r="AP9" s="205"/>
      <c r="AQ9" s="173"/>
      <c r="AR9" s="174" t="s">
        <v>271</v>
      </c>
      <c r="AS9" s="151"/>
      <c r="AT9" s="152"/>
      <c r="AU9" s="153"/>
      <c r="AV9" s="154"/>
      <c r="AW9" s="152"/>
      <c r="AX9" s="155"/>
      <c r="AY9" s="155"/>
      <c r="AZ9" s="84"/>
    </row>
    <row r="10" spans="1:56" ht="28" hidden="1" customHeight="1">
      <c r="A10" s="162">
        <v>5</v>
      </c>
      <c r="B10" s="163">
        <v>45036</v>
      </c>
      <c r="C10" s="87" t="s">
        <v>134</v>
      </c>
      <c r="D10" s="87" t="s">
        <v>135</v>
      </c>
      <c r="E10" s="87" t="s">
        <v>136</v>
      </c>
      <c r="F10" s="92" t="s">
        <v>210</v>
      </c>
      <c r="G10" s="109" t="s">
        <v>145</v>
      </c>
      <c r="H10" s="164" t="s">
        <v>110</v>
      </c>
      <c r="I10" s="109" t="s">
        <v>146</v>
      </c>
      <c r="J10" s="165" t="s">
        <v>1183</v>
      </c>
      <c r="K10" s="160" t="s">
        <v>145</v>
      </c>
      <c r="L10" s="160" t="s">
        <v>147</v>
      </c>
      <c r="M10" s="109" t="s">
        <v>148</v>
      </c>
      <c r="N10" s="109" t="s">
        <v>80</v>
      </c>
      <c r="O10" s="109" t="s">
        <v>149</v>
      </c>
      <c r="P10" s="109"/>
      <c r="Q10" s="232"/>
      <c r="R10" s="236">
        <f>0</f>
        <v>0</v>
      </c>
      <c r="S10" s="234">
        <f>0</f>
        <v>0</v>
      </c>
      <c r="T10" s="86">
        <f>0</f>
        <v>0</v>
      </c>
      <c r="U10" s="110">
        <v>4</v>
      </c>
      <c r="V10" s="86">
        <f>0</f>
        <v>0</v>
      </c>
      <c r="W10" s="86">
        <f>0</f>
        <v>0</v>
      </c>
      <c r="X10" s="86">
        <f>0</f>
        <v>0</v>
      </c>
      <c r="Y10" s="86">
        <f>0</f>
        <v>0</v>
      </c>
      <c r="Z10" s="86">
        <f>0</f>
        <v>0</v>
      </c>
      <c r="AA10" s="237">
        <f>0</f>
        <v>0</v>
      </c>
      <c r="AB10" s="239">
        <f>0</f>
        <v>0</v>
      </c>
      <c r="AC10" s="86">
        <f>0</f>
        <v>0</v>
      </c>
      <c r="AD10" s="86">
        <f>0</f>
        <v>0</v>
      </c>
      <c r="AE10" s="86">
        <f>0</f>
        <v>0</v>
      </c>
      <c r="AF10" s="86">
        <f>0</f>
        <v>0</v>
      </c>
      <c r="AG10" s="86">
        <f>0</f>
        <v>0</v>
      </c>
      <c r="AH10" s="86">
        <f>0</f>
        <v>0</v>
      </c>
      <c r="AI10" s="86">
        <f>0</f>
        <v>0</v>
      </c>
      <c r="AJ10" s="86">
        <f>0</f>
        <v>0</v>
      </c>
      <c r="AK10" s="237">
        <f>0</f>
        <v>0</v>
      </c>
      <c r="AL10" s="263">
        <f t="shared" si="0"/>
        <v>4</v>
      </c>
      <c r="AM10" s="111">
        <f>0</f>
        <v>0</v>
      </c>
      <c r="AN10" s="265">
        <f t="shared" si="1"/>
        <v>4</v>
      </c>
      <c r="AO10" s="245">
        <v>45042</v>
      </c>
      <c r="AP10" s="126" t="s">
        <v>273</v>
      </c>
      <c r="AQ10" s="117" t="s">
        <v>460</v>
      </c>
      <c r="AR10" s="129" t="s">
        <v>148</v>
      </c>
      <c r="AS10" s="112"/>
      <c r="AT10" s="113"/>
      <c r="AU10" s="114">
        <v>4</v>
      </c>
      <c r="AV10" s="115"/>
      <c r="AW10" s="113" t="s">
        <v>459</v>
      </c>
      <c r="AX10" s="116"/>
      <c r="AY10" s="116"/>
      <c r="AZ10" s="90"/>
      <c r="BA10" s="91"/>
      <c r="BB10" s="91"/>
      <c r="BC10" s="91"/>
    </row>
    <row r="11" spans="1:56" ht="28" hidden="1" customHeight="1">
      <c r="A11" s="162">
        <v>6</v>
      </c>
      <c r="B11" s="163">
        <v>45036</v>
      </c>
      <c r="C11" s="87" t="s">
        <v>134</v>
      </c>
      <c r="D11" s="87" t="s">
        <v>135</v>
      </c>
      <c r="E11" s="87" t="s">
        <v>136</v>
      </c>
      <c r="F11" s="92" t="s">
        <v>210</v>
      </c>
      <c r="G11" s="109" t="s">
        <v>150</v>
      </c>
      <c r="H11" s="164" t="s">
        <v>110</v>
      </c>
      <c r="I11" s="109" t="s">
        <v>151</v>
      </c>
      <c r="J11" s="165" t="s">
        <v>152</v>
      </c>
      <c r="K11" s="160" t="s">
        <v>80</v>
      </c>
      <c r="L11" s="160" t="s">
        <v>153</v>
      </c>
      <c r="M11" s="109" t="s">
        <v>154</v>
      </c>
      <c r="N11" s="109" t="s">
        <v>80</v>
      </c>
      <c r="O11" s="109" t="s">
        <v>155</v>
      </c>
      <c r="P11" s="109"/>
      <c r="Q11" s="232"/>
      <c r="R11" s="236">
        <f>0</f>
        <v>0</v>
      </c>
      <c r="S11" s="234">
        <f>0</f>
        <v>0</v>
      </c>
      <c r="T11" s="86">
        <f>0</f>
        <v>0</v>
      </c>
      <c r="U11" s="110">
        <v>1</v>
      </c>
      <c r="V11" s="86">
        <f>0</f>
        <v>0</v>
      </c>
      <c r="W11" s="86">
        <f>0</f>
        <v>0</v>
      </c>
      <c r="X11" s="86">
        <f>0</f>
        <v>0</v>
      </c>
      <c r="Y11" s="86">
        <f>0</f>
        <v>0</v>
      </c>
      <c r="Z11" s="86">
        <f>0</f>
        <v>0</v>
      </c>
      <c r="AA11" s="237">
        <f>0</f>
        <v>0</v>
      </c>
      <c r="AB11" s="239">
        <f>0</f>
        <v>0</v>
      </c>
      <c r="AC11" s="86">
        <f>0</f>
        <v>0</v>
      </c>
      <c r="AD11" s="86">
        <f>0</f>
        <v>0</v>
      </c>
      <c r="AE11" s="86">
        <f>0</f>
        <v>0</v>
      </c>
      <c r="AF11" s="86">
        <f>0</f>
        <v>0</v>
      </c>
      <c r="AG11" s="86">
        <f>0</f>
        <v>0</v>
      </c>
      <c r="AH11" s="86">
        <f>0</f>
        <v>0</v>
      </c>
      <c r="AI11" s="86">
        <f>0</f>
        <v>0</v>
      </c>
      <c r="AJ11" s="86">
        <f>0</f>
        <v>0</v>
      </c>
      <c r="AK11" s="237">
        <f>0</f>
        <v>0</v>
      </c>
      <c r="AL11" s="263">
        <f t="shared" si="0"/>
        <v>1</v>
      </c>
      <c r="AM11" s="111">
        <f>0</f>
        <v>0</v>
      </c>
      <c r="AN11" s="265">
        <f t="shared" si="1"/>
        <v>1</v>
      </c>
      <c r="AO11" s="245">
        <v>45042</v>
      </c>
      <c r="AP11" s="126" t="s">
        <v>273</v>
      </c>
      <c r="AQ11" s="117" t="s">
        <v>460</v>
      </c>
      <c r="AR11" s="129" t="s">
        <v>148</v>
      </c>
      <c r="AS11" s="112"/>
      <c r="AT11" s="113"/>
      <c r="AU11" s="114">
        <v>1</v>
      </c>
      <c r="AV11" s="115"/>
      <c r="AW11" s="113" t="s">
        <v>459</v>
      </c>
      <c r="AX11" s="116"/>
      <c r="AY11" s="116"/>
      <c r="AZ11" s="90"/>
      <c r="BA11" s="91"/>
      <c r="BB11" s="91"/>
      <c r="BC11" s="91"/>
      <c r="BD11" s="71"/>
    </row>
    <row r="12" spans="1:56" ht="28" hidden="1" customHeight="1">
      <c r="A12" s="162">
        <v>7</v>
      </c>
      <c r="B12" s="163">
        <v>45036</v>
      </c>
      <c r="C12" s="87" t="s">
        <v>134</v>
      </c>
      <c r="D12" s="87" t="s">
        <v>135</v>
      </c>
      <c r="E12" s="87" t="s">
        <v>136</v>
      </c>
      <c r="F12" s="92" t="s">
        <v>210</v>
      </c>
      <c r="G12" s="109" t="s">
        <v>156</v>
      </c>
      <c r="H12" s="164" t="s">
        <v>110</v>
      </c>
      <c r="I12" s="109" t="s">
        <v>157</v>
      </c>
      <c r="J12" s="165" t="s">
        <v>158</v>
      </c>
      <c r="K12" s="160" t="s">
        <v>80</v>
      </c>
      <c r="L12" s="160" t="s">
        <v>153</v>
      </c>
      <c r="M12" s="109" t="s">
        <v>154</v>
      </c>
      <c r="N12" s="109" t="s">
        <v>80</v>
      </c>
      <c r="O12" s="109" t="s">
        <v>155</v>
      </c>
      <c r="P12" s="109"/>
      <c r="Q12" s="232"/>
      <c r="R12" s="236">
        <f>0</f>
        <v>0</v>
      </c>
      <c r="S12" s="234">
        <f>0</f>
        <v>0</v>
      </c>
      <c r="T12" s="86">
        <f>0</f>
        <v>0</v>
      </c>
      <c r="U12" s="110">
        <v>1</v>
      </c>
      <c r="V12" s="86">
        <f>0</f>
        <v>0</v>
      </c>
      <c r="W12" s="86">
        <f>0</f>
        <v>0</v>
      </c>
      <c r="X12" s="86">
        <f>0</f>
        <v>0</v>
      </c>
      <c r="Y12" s="86">
        <f>0</f>
        <v>0</v>
      </c>
      <c r="Z12" s="86">
        <f>0</f>
        <v>0</v>
      </c>
      <c r="AA12" s="237">
        <f>0</f>
        <v>0</v>
      </c>
      <c r="AB12" s="239">
        <f>0</f>
        <v>0</v>
      </c>
      <c r="AC12" s="86">
        <f>0</f>
        <v>0</v>
      </c>
      <c r="AD12" s="86">
        <f>0</f>
        <v>0</v>
      </c>
      <c r="AE12" s="86">
        <f>0</f>
        <v>0</v>
      </c>
      <c r="AF12" s="86">
        <f>0</f>
        <v>0</v>
      </c>
      <c r="AG12" s="86">
        <f>0</f>
        <v>0</v>
      </c>
      <c r="AH12" s="86">
        <f>0</f>
        <v>0</v>
      </c>
      <c r="AI12" s="86">
        <f>0</f>
        <v>0</v>
      </c>
      <c r="AJ12" s="86">
        <f>0</f>
        <v>0</v>
      </c>
      <c r="AK12" s="237">
        <f>0</f>
        <v>0</v>
      </c>
      <c r="AL12" s="263">
        <f t="shared" si="0"/>
        <v>1</v>
      </c>
      <c r="AM12" s="111">
        <f>0</f>
        <v>0</v>
      </c>
      <c r="AN12" s="265">
        <f t="shared" si="1"/>
        <v>1</v>
      </c>
      <c r="AO12" s="245">
        <v>45042</v>
      </c>
      <c r="AP12" s="126" t="s">
        <v>273</v>
      </c>
      <c r="AQ12" s="117" t="s">
        <v>460</v>
      </c>
      <c r="AR12" s="129" t="s">
        <v>148</v>
      </c>
      <c r="AS12" s="112"/>
      <c r="AT12" s="113"/>
      <c r="AU12" s="114"/>
      <c r="AV12" s="115"/>
      <c r="AW12" s="113"/>
      <c r="AX12" s="116"/>
      <c r="AY12" s="116"/>
      <c r="AZ12" s="90"/>
      <c r="BA12" s="91"/>
      <c r="BB12" s="91"/>
      <c r="BC12" s="91"/>
    </row>
    <row r="13" spans="1:56" ht="28" hidden="1" customHeight="1">
      <c r="A13" s="162">
        <v>8</v>
      </c>
      <c r="B13" s="163">
        <v>45036</v>
      </c>
      <c r="C13" s="87" t="s">
        <v>134</v>
      </c>
      <c r="D13" s="87" t="s">
        <v>135</v>
      </c>
      <c r="E13" s="87" t="s">
        <v>136</v>
      </c>
      <c r="F13" s="92" t="s">
        <v>210</v>
      </c>
      <c r="G13" s="109" t="s">
        <v>159</v>
      </c>
      <c r="H13" s="164" t="s">
        <v>110</v>
      </c>
      <c r="I13" s="109" t="s">
        <v>160</v>
      </c>
      <c r="J13" s="165" t="s">
        <v>161</v>
      </c>
      <c r="K13" s="160" t="s">
        <v>80</v>
      </c>
      <c r="L13" s="160" t="s">
        <v>153</v>
      </c>
      <c r="M13" s="109" t="s">
        <v>154</v>
      </c>
      <c r="N13" s="109" t="s">
        <v>80</v>
      </c>
      <c r="O13" s="109" t="s">
        <v>155</v>
      </c>
      <c r="P13" s="109"/>
      <c r="Q13" s="232"/>
      <c r="R13" s="236">
        <f>0</f>
        <v>0</v>
      </c>
      <c r="S13" s="234">
        <f>0</f>
        <v>0</v>
      </c>
      <c r="T13" s="86">
        <f>0</f>
        <v>0</v>
      </c>
      <c r="U13" s="110">
        <v>1</v>
      </c>
      <c r="V13" s="86">
        <f>0</f>
        <v>0</v>
      </c>
      <c r="W13" s="86">
        <f>0</f>
        <v>0</v>
      </c>
      <c r="X13" s="86">
        <f>0</f>
        <v>0</v>
      </c>
      <c r="Y13" s="86">
        <f>0</f>
        <v>0</v>
      </c>
      <c r="Z13" s="86">
        <f>0</f>
        <v>0</v>
      </c>
      <c r="AA13" s="237">
        <f>0</f>
        <v>0</v>
      </c>
      <c r="AB13" s="239">
        <f>0</f>
        <v>0</v>
      </c>
      <c r="AC13" s="86">
        <f>0</f>
        <v>0</v>
      </c>
      <c r="AD13" s="86">
        <f>0</f>
        <v>0</v>
      </c>
      <c r="AE13" s="86">
        <f>0</f>
        <v>0</v>
      </c>
      <c r="AF13" s="86">
        <f>0</f>
        <v>0</v>
      </c>
      <c r="AG13" s="86">
        <f>0</f>
        <v>0</v>
      </c>
      <c r="AH13" s="86">
        <f>0</f>
        <v>0</v>
      </c>
      <c r="AI13" s="86">
        <f>0</f>
        <v>0</v>
      </c>
      <c r="AJ13" s="86">
        <f>0</f>
        <v>0</v>
      </c>
      <c r="AK13" s="237">
        <f>0</f>
        <v>0</v>
      </c>
      <c r="AL13" s="263">
        <f t="shared" si="0"/>
        <v>1</v>
      </c>
      <c r="AM13" s="111">
        <f>0</f>
        <v>0</v>
      </c>
      <c r="AN13" s="265">
        <f t="shared" si="1"/>
        <v>1</v>
      </c>
      <c r="AO13" s="245">
        <v>45042</v>
      </c>
      <c r="AP13" s="126" t="s">
        <v>273</v>
      </c>
      <c r="AQ13" s="117" t="s">
        <v>460</v>
      </c>
      <c r="AR13" s="129" t="s">
        <v>148</v>
      </c>
      <c r="AS13" s="112"/>
      <c r="AT13" s="113"/>
      <c r="AU13" s="114"/>
      <c r="AV13" s="115"/>
      <c r="AW13" s="113"/>
      <c r="AX13" s="116"/>
      <c r="AY13" s="116"/>
      <c r="AZ13" s="90"/>
      <c r="BA13" s="91"/>
      <c r="BB13" s="91"/>
      <c r="BC13" s="91"/>
    </row>
    <row r="14" spans="1:56" ht="28" hidden="1" customHeight="1">
      <c r="A14" s="162">
        <v>9</v>
      </c>
      <c r="B14" s="163">
        <v>45036</v>
      </c>
      <c r="C14" s="87" t="s">
        <v>134</v>
      </c>
      <c r="D14" s="87" t="s">
        <v>135</v>
      </c>
      <c r="E14" s="87" t="s">
        <v>136</v>
      </c>
      <c r="F14" s="92" t="s">
        <v>210</v>
      </c>
      <c r="G14" s="109" t="s">
        <v>162</v>
      </c>
      <c r="H14" s="164" t="s">
        <v>110</v>
      </c>
      <c r="I14" s="109" t="s">
        <v>163</v>
      </c>
      <c r="J14" s="165" t="s">
        <v>164</v>
      </c>
      <c r="K14" s="160" t="s">
        <v>80</v>
      </c>
      <c r="L14" s="160" t="s">
        <v>153</v>
      </c>
      <c r="M14" s="109" t="s">
        <v>154</v>
      </c>
      <c r="N14" s="109" t="s">
        <v>80</v>
      </c>
      <c r="O14" s="109" t="s">
        <v>155</v>
      </c>
      <c r="P14" s="109"/>
      <c r="Q14" s="232"/>
      <c r="R14" s="236">
        <f>0</f>
        <v>0</v>
      </c>
      <c r="S14" s="234">
        <f>0</f>
        <v>0</v>
      </c>
      <c r="T14" s="86">
        <f>0</f>
        <v>0</v>
      </c>
      <c r="U14" s="110">
        <v>1</v>
      </c>
      <c r="V14" s="86">
        <f>0</f>
        <v>0</v>
      </c>
      <c r="W14" s="86">
        <f>0</f>
        <v>0</v>
      </c>
      <c r="X14" s="86">
        <f>0</f>
        <v>0</v>
      </c>
      <c r="Y14" s="86">
        <f>0</f>
        <v>0</v>
      </c>
      <c r="Z14" s="86">
        <f>0</f>
        <v>0</v>
      </c>
      <c r="AA14" s="237">
        <f>0</f>
        <v>0</v>
      </c>
      <c r="AB14" s="239">
        <f>0</f>
        <v>0</v>
      </c>
      <c r="AC14" s="86">
        <f>0</f>
        <v>0</v>
      </c>
      <c r="AD14" s="86">
        <f>0</f>
        <v>0</v>
      </c>
      <c r="AE14" s="86">
        <f>0</f>
        <v>0</v>
      </c>
      <c r="AF14" s="86">
        <f>0</f>
        <v>0</v>
      </c>
      <c r="AG14" s="86">
        <f>0</f>
        <v>0</v>
      </c>
      <c r="AH14" s="86">
        <f>0</f>
        <v>0</v>
      </c>
      <c r="AI14" s="86">
        <f>0</f>
        <v>0</v>
      </c>
      <c r="AJ14" s="86">
        <f>0</f>
        <v>0</v>
      </c>
      <c r="AK14" s="237">
        <f>0</f>
        <v>0</v>
      </c>
      <c r="AL14" s="263">
        <f t="shared" si="0"/>
        <v>1</v>
      </c>
      <c r="AM14" s="111">
        <f>0</f>
        <v>0</v>
      </c>
      <c r="AN14" s="265">
        <f t="shared" si="1"/>
        <v>1</v>
      </c>
      <c r="AO14" s="245">
        <v>45042</v>
      </c>
      <c r="AP14" s="126" t="s">
        <v>273</v>
      </c>
      <c r="AQ14" s="117" t="s">
        <v>460</v>
      </c>
      <c r="AR14" s="129" t="s">
        <v>148</v>
      </c>
      <c r="AS14" s="112"/>
      <c r="AT14" s="113"/>
      <c r="AU14" s="114"/>
      <c r="AV14" s="115"/>
      <c r="AW14" s="113"/>
      <c r="AX14" s="116"/>
      <c r="AY14" s="116"/>
      <c r="AZ14" s="90"/>
      <c r="BA14" s="91"/>
      <c r="BB14" s="91"/>
      <c r="BC14" s="91"/>
    </row>
    <row r="15" spans="1:56" ht="28" hidden="1" customHeight="1">
      <c r="A15" s="162">
        <v>10</v>
      </c>
      <c r="B15" s="163">
        <v>45036</v>
      </c>
      <c r="C15" s="87" t="s">
        <v>134</v>
      </c>
      <c r="D15" s="87" t="s">
        <v>135</v>
      </c>
      <c r="E15" s="87" t="s">
        <v>136</v>
      </c>
      <c r="F15" s="92" t="s">
        <v>210</v>
      </c>
      <c r="G15" s="109" t="s">
        <v>165</v>
      </c>
      <c r="H15" s="164" t="s">
        <v>110</v>
      </c>
      <c r="I15" s="109" t="s">
        <v>166</v>
      </c>
      <c r="J15" s="165" t="s">
        <v>167</v>
      </c>
      <c r="K15" s="160" t="s">
        <v>80</v>
      </c>
      <c r="L15" s="160" t="s">
        <v>168</v>
      </c>
      <c r="M15" s="109" t="s">
        <v>154</v>
      </c>
      <c r="N15" s="109" t="s">
        <v>212</v>
      </c>
      <c r="O15" s="109" t="s">
        <v>149</v>
      </c>
      <c r="P15" s="109"/>
      <c r="Q15" s="232"/>
      <c r="R15" s="236">
        <f>0</f>
        <v>0</v>
      </c>
      <c r="S15" s="234">
        <f>0</f>
        <v>0</v>
      </c>
      <c r="T15" s="86">
        <f>0</f>
        <v>0</v>
      </c>
      <c r="U15" s="110">
        <v>1</v>
      </c>
      <c r="V15" s="86">
        <f>0</f>
        <v>0</v>
      </c>
      <c r="W15" s="86">
        <f>0</f>
        <v>0</v>
      </c>
      <c r="X15" s="86">
        <f>0</f>
        <v>0</v>
      </c>
      <c r="Y15" s="86">
        <f>0</f>
        <v>0</v>
      </c>
      <c r="Z15" s="86">
        <f>0</f>
        <v>0</v>
      </c>
      <c r="AA15" s="237">
        <f>0</f>
        <v>0</v>
      </c>
      <c r="AB15" s="239">
        <f>0</f>
        <v>0</v>
      </c>
      <c r="AC15" s="86">
        <f>0</f>
        <v>0</v>
      </c>
      <c r="AD15" s="86">
        <f>0</f>
        <v>0</v>
      </c>
      <c r="AE15" s="86">
        <f>0</f>
        <v>0</v>
      </c>
      <c r="AF15" s="86">
        <f>0</f>
        <v>0</v>
      </c>
      <c r="AG15" s="86">
        <f>0</f>
        <v>0</v>
      </c>
      <c r="AH15" s="86">
        <f>0</f>
        <v>0</v>
      </c>
      <c r="AI15" s="86">
        <f>0</f>
        <v>0</v>
      </c>
      <c r="AJ15" s="86">
        <f>0</f>
        <v>0</v>
      </c>
      <c r="AK15" s="237">
        <f>0</f>
        <v>0</v>
      </c>
      <c r="AL15" s="263">
        <f t="shared" si="0"/>
        <v>1</v>
      </c>
      <c r="AM15" s="111">
        <f>0</f>
        <v>0</v>
      </c>
      <c r="AN15" s="265">
        <f t="shared" si="1"/>
        <v>1</v>
      </c>
      <c r="AO15" s="245">
        <v>45042</v>
      </c>
      <c r="AP15" s="126" t="s">
        <v>273</v>
      </c>
      <c r="AQ15" s="117" t="s">
        <v>460</v>
      </c>
      <c r="AR15" s="129" t="s">
        <v>148</v>
      </c>
      <c r="AS15" s="112"/>
      <c r="AT15" s="113"/>
      <c r="AU15" s="114">
        <v>1</v>
      </c>
      <c r="AV15" s="115"/>
      <c r="AW15" s="113" t="s">
        <v>459</v>
      </c>
      <c r="AX15" s="116"/>
      <c r="AY15" s="116"/>
      <c r="AZ15" s="90"/>
      <c r="BA15" s="91"/>
      <c r="BB15" s="91"/>
      <c r="BC15" s="91"/>
    </row>
    <row r="16" spans="1:56" ht="28" hidden="1" customHeight="1">
      <c r="A16" s="162">
        <v>11</v>
      </c>
      <c r="B16" s="163">
        <v>45036</v>
      </c>
      <c r="C16" s="87" t="s">
        <v>134</v>
      </c>
      <c r="D16" s="87" t="s">
        <v>135</v>
      </c>
      <c r="E16" s="87" t="s">
        <v>136</v>
      </c>
      <c r="F16" s="92" t="s">
        <v>210</v>
      </c>
      <c r="G16" s="109" t="s">
        <v>169</v>
      </c>
      <c r="H16" s="164" t="s">
        <v>110</v>
      </c>
      <c r="I16" s="109" t="s">
        <v>170</v>
      </c>
      <c r="J16" s="165" t="s">
        <v>171</v>
      </c>
      <c r="K16" s="160" t="s">
        <v>80</v>
      </c>
      <c r="L16" s="160" t="s">
        <v>168</v>
      </c>
      <c r="M16" s="109" t="s">
        <v>154</v>
      </c>
      <c r="N16" s="109" t="s">
        <v>172</v>
      </c>
      <c r="O16" s="109" t="s">
        <v>149</v>
      </c>
      <c r="P16" s="123"/>
      <c r="Q16" s="233"/>
      <c r="R16" s="236">
        <f>0</f>
        <v>0</v>
      </c>
      <c r="S16" s="234">
        <f>0</f>
        <v>0</v>
      </c>
      <c r="T16" s="86">
        <f>0</f>
        <v>0</v>
      </c>
      <c r="U16" s="110">
        <v>1</v>
      </c>
      <c r="V16" s="86">
        <f>0</f>
        <v>0</v>
      </c>
      <c r="W16" s="86">
        <f>0</f>
        <v>0</v>
      </c>
      <c r="X16" s="86">
        <f>0</f>
        <v>0</v>
      </c>
      <c r="Y16" s="86">
        <f>0</f>
        <v>0</v>
      </c>
      <c r="Z16" s="86">
        <f>0</f>
        <v>0</v>
      </c>
      <c r="AA16" s="237">
        <f>0</f>
        <v>0</v>
      </c>
      <c r="AB16" s="239">
        <f>0</f>
        <v>0</v>
      </c>
      <c r="AC16" s="86">
        <f>0</f>
        <v>0</v>
      </c>
      <c r="AD16" s="86">
        <f>0</f>
        <v>0</v>
      </c>
      <c r="AE16" s="86"/>
      <c r="AF16" s="86"/>
      <c r="AG16" s="86"/>
      <c r="AH16" s="86"/>
      <c r="AI16" s="86"/>
      <c r="AJ16" s="86"/>
      <c r="AK16" s="237"/>
      <c r="AL16" s="263">
        <f t="shared" si="0"/>
        <v>1</v>
      </c>
      <c r="AM16" s="111">
        <f>0</f>
        <v>0</v>
      </c>
      <c r="AN16" s="265">
        <f t="shared" si="1"/>
        <v>1</v>
      </c>
      <c r="AO16" s="246">
        <v>45057</v>
      </c>
      <c r="AP16" s="126" t="s">
        <v>273</v>
      </c>
      <c r="AQ16" s="117" t="s">
        <v>461</v>
      </c>
      <c r="AR16" s="129" t="s">
        <v>148</v>
      </c>
      <c r="AS16" s="118"/>
      <c r="AT16" s="119"/>
      <c r="AU16" s="119"/>
      <c r="AV16" s="126"/>
      <c r="AW16" s="119"/>
      <c r="AX16" s="120"/>
      <c r="AY16" s="120"/>
      <c r="AZ16" s="128"/>
      <c r="BA16" s="91"/>
      <c r="BB16" s="91"/>
      <c r="BC16" s="91"/>
    </row>
    <row r="17" spans="1:55" ht="28" hidden="1" customHeight="1">
      <c r="A17" s="162">
        <v>12</v>
      </c>
      <c r="B17" s="163">
        <v>45036</v>
      </c>
      <c r="C17" s="87" t="s">
        <v>134</v>
      </c>
      <c r="D17" s="87" t="s">
        <v>135</v>
      </c>
      <c r="E17" s="87" t="s">
        <v>136</v>
      </c>
      <c r="F17" s="92" t="s">
        <v>210</v>
      </c>
      <c r="G17" s="109" t="s">
        <v>173</v>
      </c>
      <c r="H17" s="164" t="s">
        <v>110</v>
      </c>
      <c r="I17" s="109" t="s">
        <v>174</v>
      </c>
      <c r="J17" s="165" t="s">
        <v>175</v>
      </c>
      <c r="K17" s="160"/>
      <c r="L17" s="160" t="s">
        <v>168</v>
      </c>
      <c r="M17" s="109" t="s">
        <v>154</v>
      </c>
      <c r="N17" s="109" t="s">
        <v>80</v>
      </c>
      <c r="O17" s="109" t="s">
        <v>149</v>
      </c>
      <c r="P17" s="123"/>
      <c r="Q17" s="233"/>
      <c r="R17" s="236">
        <f>0</f>
        <v>0</v>
      </c>
      <c r="S17" s="234">
        <f>0</f>
        <v>0</v>
      </c>
      <c r="T17" s="86">
        <f>0</f>
        <v>0</v>
      </c>
      <c r="U17" s="110">
        <v>1</v>
      </c>
      <c r="V17" s="86">
        <f>0</f>
        <v>0</v>
      </c>
      <c r="W17" s="86">
        <f>0</f>
        <v>0</v>
      </c>
      <c r="X17" s="86">
        <f>0</f>
        <v>0</v>
      </c>
      <c r="Y17" s="86">
        <f>0</f>
        <v>0</v>
      </c>
      <c r="Z17" s="86">
        <f>0</f>
        <v>0</v>
      </c>
      <c r="AA17" s="237">
        <f>0</f>
        <v>0</v>
      </c>
      <c r="AB17" s="239">
        <f>0</f>
        <v>0</v>
      </c>
      <c r="AC17" s="86">
        <f>0</f>
        <v>0</v>
      </c>
      <c r="AD17" s="86">
        <f>0</f>
        <v>0</v>
      </c>
      <c r="AE17" s="86"/>
      <c r="AF17" s="86"/>
      <c r="AG17" s="86"/>
      <c r="AH17" s="86"/>
      <c r="AI17" s="86"/>
      <c r="AJ17" s="86"/>
      <c r="AK17" s="237"/>
      <c r="AL17" s="263">
        <f t="shared" si="0"/>
        <v>1</v>
      </c>
      <c r="AM17" s="111">
        <f>0</f>
        <v>0</v>
      </c>
      <c r="AN17" s="265">
        <f t="shared" si="1"/>
        <v>1</v>
      </c>
      <c r="AO17" s="246">
        <v>45057</v>
      </c>
      <c r="AP17" s="126" t="s">
        <v>273</v>
      </c>
      <c r="AQ17" s="117" t="s">
        <v>461</v>
      </c>
      <c r="AR17" s="129" t="s">
        <v>148</v>
      </c>
      <c r="AS17" s="118"/>
      <c r="AT17" s="119"/>
      <c r="AU17" s="119"/>
      <c r="AV17" s="126"/>
      <c r="AW17" s="119"/>
      <c r="AX17" s="120"/>
      <c r="AY17" s="120"/>
      <c r="AZ17" s="128"/>
      <c r="BA17" s="91"/>
      <c r="BB17" s="91"/>
      <c r="BC17" s="91"/>
    </row>
    <row r="18" spans="1:55" ht="28" hidden="1" customHeight="1">
      <c r="A18" s="162">
        <v>13</v>
      </c>
      <c r="B18" s="163">
        <v>45036</v>
      </c>
      <c r="C18" s="87" t="s">
        <v>134</v>
      </c>
      <c r="D18" s="87" t="s">
        <v>135</v>
      </c>
      <c r="E18" s="87" t="s">
        <v>136</v>
      </c>
      <c r="F18" s="92" t="s">
        <v>210</v>
      </c>
      <c r="G18" s="109" t="s">
        <v>176</v>
      </c>
      <c r="H18" s="164" t="s">
        <v>110</v>
      </c>
      <c r="I18" s="109" t="s">
        <v>177</v>
      </c>
      <c r="J18" s="165" t="s">
        <v>178</v>
      </c>
      <c r="K18" s="160" t="s">
        <v>80</v>
      </c>
      <c r="L18" s="160" t="s">
        <v>168</v>
      </c>
      <c r="M18" s="109" t="s">
        <v>154</v>
      </c>
      <c r="N18" s="109" t="s">
        <v>80</v>
      </c>
      <c r="O18" s="109" t="s">
        <v>149</v>
      </c>
      <c r="P18" s="123"/>
      <c r="Q18" s="233"/>
      <c r="R18" s="236">
        <f>0</f>
        <v>0</v>
      </c>
      <c r="S18" s="234">
        <f>0</f>
        <v>0</v>
      </c>
      <c r="T18" s="86">
        <f>0</f>
        <v>0</v>
      </c>
      <c r="U18" s="110">
        <v>2</v>
      </c>
      <c r="V18" s="86">
        <f>0</f>
        <v>0</v>
      </c>
      <c r="W18" s="86">
        <f>0</f>
        <v>0</v>
      </c>
      <c r="X18" s="86">
        <f>0</f>
        <v>0</v>
      </c>
      <c r="Y18" s="86">
        <f>0</f>
        <v>0</v>
      </c>
      <c r="Z18" s="86">
        <f>0</f>
        <v>0</v>
      </c>
      <c r="AA18" s="237">
        <f>0</f>
        <v>0</v>
      </c>
      <c r="AB18" s="239">
        <f>0</f>
        <v>0</v>
      </c>
      <c r="AC18" s="86">
        <f>0</f>
        <v>0</v>
      </c>
      <c r="AD18" s="86">
        <f>0</f>
        <v>0</v>
      </c>
      <c r="AE18" s="86"/>
      <c r="AF18" s="86"/>
      <c r="AG18" s="86"/>
      <c r="AH18" s="86"/>
      <c r="AI18" s="86"/>
      <c r="AJ18" s="86"/>
      <c r="AK18" s="237"/>
      <c r="AL18" s="263">
        <f t="shared" si="0"/>
        <v>2</v>
      </c>
      <c r="AM18" s="111">
        <f>0</f>
        <v>0</v>
      </c>
      <c r="AN18" s="265">
        <f t="shared" si="1"/>
        <v>2</v>
      </c>
      <c r="AO18" s="246">
        <v>45057</v>
      </c>
      <c r="AP18" s="126" t="s">
        <v>273</v>
      </c>
      <c r="AQ18" s="117" t="s">
        <v>461</v>
      </c>
      <c r="AR18" s="129" t="s">
        <v>148</v>
      </c>
      <c r="AS18" s="118"/>
      <c r="AT18" s="119"/>
      <c r="AU18" s="119"/>
      <c r="AV18" s="126"/>
      <c r="AW18" s="119"/>
      <c r="AX18" s="120"/>
      <c r="AY18" s="120"/>
      <c r="AZ18" s="128"/>
      <c r="BA18" s="91"/>
      <c r="BB18" s="91"/>
      <c r="BC18" s="91"/>
    </row>
    <row r="19" spans="1:55" ht="28" hidden="1" customHeight="1">
      <c r="A19" s="162">
        <v>14</v>
      </c>
      <c r="B19" s="163">
        <v>45036</v>
      </c>
      <c r="C19" s="87" t="s">
        <v>134</v>
      </c>
      <c r="D19" s="87" t="s">
        <v>135</v>
      </c>
      <c r="E19" s="87" t="s">
        <v>136</v>
      </c>
      <c r="F19" s="92" t="s">
        <v>210</v>
      </c>
      <c r="G19" s="109" t="s">
        <v>179</v>
      </c>
      <c r="H19" s="164" t="s">
        <v>110</v>
      </c>
      <c r="I19" s="109" t="s">
        <v>213</v>
      </c>
      <c r="J19" s="165" t="s">
        <v>180</v>
      </c>
      <c r="K19" s="160" t="s">
        <v>80</v>
      </c>
      <c r="L19" s="160" t="s">
        <v>168</v>
      </c>
      <c r="M19" s="109" t="s">
        <v>154</v>
      </c>
      <c r="N19" s="109" t="s">
        <v>80</v>
      </c>
      <c r="O19" s="109" t="s">
        <v>149</v>
      </c>
      <c r="P19" s="123"/>
      <c r="Q19" s="124"/>
      <c r="R19" s="236">
        <f>0</f>
        <v>0</v>
      </c>
      <c r="S19" s="86">
        <f>0</f>
        <v>0</v>
      </c>
      <c r="T19" s="86">
        <f>0</f>
        <v>0</v>
      </c>
      <c r="U19" s="110">
        <v>1</v>
      </c>
      <c r="V19" s="86">
        <f>0</f>
        <v>0</v>
      </c>
      <c r="W19" s="86">
        <f>0</f>
        <v>0</v>
      </c>
      <c r="X19" s="86">
        <f>0</f>
        <v>0</v>
      </c>
      <c r="Y19" s="86">
        <f>0</f>
        <v>0</v>
      </c>
      <c r="Z19" s="86">
        <f>0</f>
        <v>0</v>
      </c>
      <c r="AA19" s="237">
        <f>0</f>
        <v>0</v>
      </c>
      <c r="AB19" s="239">
        <f>0</f>
        <v>0</v>
      </c>
      <c r="AC19" s="86">
        <f>0</f>
        <v>0</v>
      </c>
      <c r="AD19" s="86">
        <f>0</f>
        <v>0</v>
      </c>
      <c r="AE19" s="86"/>
      <c r="AF19" s="86"/>
      <c r="AG19" s="86"/>
      <c r="AH19" s="86"/>
      <c r="AI19" s="86"/>
      <c r="AJ19" s="86"/>
      <c r="AK19" s="237"/>
      <c r="AL19" s="263">
        <f t="shared" si="0"/>
        <v>1</v>
      </c>
      <c r="AM19" s="111">
        <f>0</f>
        <v>0</v>
      </c>
      <c r="AN19" s="265">
        <f t="shared" si="1"/>
        <v>1</v>
      </c>
      <c r="AO19" s="245">
        <v>45042</v>
      </c>
      <c r="AP19" s="126" t="s">
        <v>273</v>
      </c>
      <c r="AQ19" s="117" t="s">
        <v>460</v>
      </c>
      <c r="AR19" s="129" t="s">
        <v>148</v>
      </c>
      <c r="AS19" s="118"/>
      <c r="AT19" s="119"/>
      <c r="AU19" s="119"/>
      <c r="AV19" s="126"/>
      <c r="AW19" s="119"/>
      <c r="AX19" s="120"/>
      <c r="AY19" s="120"/>
      <c r="AZ19" s="128"/>
      <c r="BA19" s="91"/>
      <c r="BB19" s="91"/>
      <c r="BC19" s="91"/>
    </row>
    <row r="20" spans="1:55" ht="28" hidden="1" customHeight="1">
      <c r="A20" s="162">
        <v>15</v>
      </c>
      <c r="B20" s="163">
        <v>45036</v>
      </c>
      <c r="C20" s="87" t="s">
        <v>134</v>
      </c>
      <c r="D20" s="87" t="s">
        <v>135</v>
      </c>
      <c r="E20" s="87" t="s">
        <v>136</v>
      </c>
      <c r="F20" s="92" t="s">
        <v>210</v>
      </c>
      <c r="G20" s="109" t="s">
        <v>181</v>
      </c>
      <c r="H20" s="164" t="s">
        <v>110</v>
      </c>
      <c r="I20" s="109" t="s">
        <v>182</v>
      </c>
      <c r="J20" s="165" t="s">
        <v>183</v>
      </c>
      <c r="K20" s="160" t="s">
        <v>80</v>
      </c>
      <c r="L20" s="160" t="s">
        <v>168</v>
      </c>
      <c r="M20" s="109" t="s">
        <v>154</v>
      </c>
      <c r="N20" s="109" t="s">
        <v>80</v>
      </c>
      <c r="O20" s="109" t="s">
        <v>149</v>
      </c>
      <c r="P20" s="123"/>
      <c r="Q20" s="124"/>
      <c r="R20" s="236">
        <f>0</f>
        <v>0</v>
      </c>
      <c r="S20" s="86">
        <f>0</f>
        <v>0</v>
      </c>
      <c r="T20" s="86">
        <f>0</f>
        <v>0</v>
      </c>
      <c r="U20" s="110">
        <v>1</v>
      </c>
      <c r="V20" s="86">
        <f>0</f>
        <v>0</v>
      </c>
      <c r="W20" s="86">
        <f>0</f>
        <v>0</v>
      </c>
      <c r="X20" s="86">
        <f>0</f>
        <v>0</v>
      </c>
      <c r="Y20" s="86">
        <f>0</f>
        <v>0</v>
      </c>
      <c r="Z20" s="86">
        <f>0</f>
        <v>0</v>
      </c>
      <c r="AA20" s="237">
        <f>0</f>
        <v>0</v>
      </c>
      <c r="AB20" s="239">
        <f>0</f>
        <v>0</v>
      </c>
      <c r="AC20" s="86">
        <f>0</f>
        <v>0</v>
      </c>
      <c r="AD20" s="86">
        <f>0</f>
        <v>0</v>
      </c>
      <c r="AE20" s="86"/>
      <c r="AF20" s="86"/>
      <c r="AG20" s="86"/>
      <c r="AH20" s="86"/>
      <c r="AI20" s="86"/>
      <c r="AJ20" s="86"/>
      <c r="AK20" s="237"/>
      <c r="AL20" s="263">
        <f t="shared" si="0"/>
        <v>1</v>
      </c>
      <c r="AM20" s="111">
        <f>0</f>
        <v>0</v>
      </c>
      <c r="AN20" s="265">
        <f t="shared" si="1"/>
        <v>1</v>
      </c>
      <c r="AO20" s="246">
        <v>45057</v>
      </c>
      <c r="AP20" s="126" t="s">
        <v>273</v>
      </c>
      <c r="AQ20" s="117" t="s">
        <v>461</v>
      </c>
      <c r="AR20" s="129" t="s">
        <v>148</v>
      </c>
      <c r="AS20" s="118"/>
      <c r="AT20" s="119"/>
      <c r="AU20" s="119"/>
      <c r="AV20" s="126"/>
      <c r="AW20" s="119"/>
      <c r="AX20" s="120"/>
      <c r="AY20" s="120"/>
      <c r="AZ20" s="128"/>
      <c r="BA20" s="91"/>
      <c r="BB20" s="91"/>
      <c r="BC20" s="91"/>
    </row>
    <row r="21" spans="1:55" ht="28" hidden="1" customHeight="1">
      <c r="A21" s="162">
        <v>16</v>
      </c>
      <c r="B21" s="163">
        <v>45036</v>
      </c>
      <c r="C21" s="93"/>
      <c r="D21" s="93"/>
      <c r="E21" s="93"/>
      <c r="F21" s="92" t="s">
        <v>210</v>
      </c>
      <c r="G21" s="109" t="s">
        <v>1232</v>
      </c>
      <c r="H21" s="164" t="s">
        <v>110</v>
      </c>
      <c r="I21" s="109" t="s">
        <v>184</v>
      </c>
      <c r="J21" s="165" t="s">
        <v>185</v>
      </c>
      <c r="K21" s="160" t="s">
        <v>80</v>
      </c>
      <c r="L21" s="160" t="s">
        <v>168</v>
      </c>
      <c r="M21" s="109" t="s">
        <v>154</v>
      </c>
      <c r="N21" s="109" t="s">
        <v>80</v>
      </c>
      <c r="O21" s="109" t="s">
        <v>149</v>
      </c>
      <c r="P21" s="123"/>
      <c r="Q21" s="124"/>
      <c r="R21" s="236">
        <f>0</f>
        <v>0</v>
      </c>
      <c r="S21" s="86">
        <f>0</f>
        <v>0</v>
      </c>
      <c r="T21" s="86">
        <f>0</f>
        <v>0</v>
      </c>
      <c r="U21" s="110">
        <v>1</v>
      </c>
      <c r="V21" s="86">
        <f>0</f>
        <v>0</v>
      </c>
      <c r="W21" s="86">
        <f>0</f>
        <v>0</v>
      </c>
      <c r="X21" s="86">
        <f>0</f>
        <v>0</v>
      </c>
      <c r="Y21" s="86">
        <f>0</f>
        <v>0</v>
      </c>
      <c r="Z21" s="86">
        <f>0</f>
        <v>0</v>
      </c>
      <c r="AA21" s="237">
        <f>0</f>
        <v>0</v>
      </c>
      <c r="AB21" s="239">
        <f>0</f>
        <v>0</v>
      </c>
      <c r="AC21" s="86">
        <f>0</f>
        <v>0</v>
      </c>
      <c r="AD21" s="86">
        <f>0</f>
        <v>0</v>
      </c>
      <c r="AE21" s="86"/>
      <c r="AF21" s="86"/>
      <c r="AG21" s="86"/>
      <c r="AH21" s="86"/>
      <c r="AI21" s="86"/>
      <c r="AJ21" s="86"/>
      <c r="AK21" s="237"/>
      <c r="AL21" s="263">
        <f t="shared" si="0"/>
        <v>1</v>
      </c>
      <c r="AM21" s="111">
        <f>0</f>
        <v>0</v>
      </c>
      <c r="AN21" s="265">
        <f t="shared" si="1"/>
        <v>1</v>
      </c>
      <c r="AO21" s="246">
        <v>45057</v>
      </c>
      <c r="AP21" s="126" t="s">
        <v>273</v>
      </c>
      <c r="AQ21" s="117" t="s">
        <v>461</v>
      </c>
      <c r="AR21" s="129" t="s">
        <v>148</v>
      </c>
      <c r="AS21" s="118"/>
      <c r="AT21" s="119"/>
      <c r="AU21" s="119"/>
      <c r="AV21" s="126"/>
      <c r="AW21" s="119"/>
      <c r="AX21" s="120"/>
      <c r="AY21" s="120"/>
      <c r="AZ21" s="128"/>
      <c r="BA21" s="91"/>
      <c r="BB21" s="91"/>
      <c r="BC21" s="91"/>
    </row>
    <row r="22" spans="1:55" ht="28" hidden="1" customHeight="1">
      <c r="A22" s="162">
        <v>17</v>
      </c>
      <c r="B22" s="163">
        <v>45036</v>
      </c>
      <c r="C22" s="87" t="s">
        <v>134</v>
      </c>
      <c r="D22" s="87" t="s">
        <v>135</v>
      </c>
      <c r="E22" s="87" t="s">
        <v>136</v>
      </c>
      <c r="F22" s="92" t="s">
        <v>210</v>
      </c>
      <c r="G22" s="109" t="s">
        <v>186</v>
      </c>
      <c r="H22" s="164" t="s">
        <v>110</v>
      </c>
      <c r="I22" s="109" t="s">
        <v>187</v>
      </c>
      <c r="J22" s="165" t="s">
        <v>188</v>
      </c>
      <c r="K22" s="160" t="s">
        <v>80</v>
      </c>
      <c r="L22" s="160" t="s">
        <v>189</v>
      </c>
      <c r="M22" s="109" t="s">
        <v>154</v>
      </c>
      <c r="N22" s="109" t="s">
        <v>80</v>
      </c>
      <c r="O22" s="109" t="s">
        <v>80</v>
      </c>
      <c r="P22" s="123"/>
      <c r="Q22" s="124"/>
      <c r="R22" s="236">
        <f>0</f>
        <v>0</v>
      </c>
      <c r="S22" s="86">
        <f>0</f>
        <v>0</v>
      </c>
      <c r="T22" s="86">
        <f>0</f>
        <v>0</v>
      </c>
      <c r="U22" s="110">
        <v>1</v>
      </c>
      <c r="V22" s="86">
        <f>0</f>
        <v>0</v>
      </c>
      <c r="W22" s="86">
        <f>0</f>
        <v>0</v>
      </c>
      <c r="X22" s="86">
        <f>0</f>
        <v>0</v>
      </c>
      <c r="Y22" s="86">
        <f>0</f>
        <v>0</v>
      </c>
      <c r="Z22" s="86">
        <f>0</f>
        <v>0</v>
      </c>
      <c r="AA22" s="237">
        <f>0</f>
        <v>0</v>
      </c>
      <c r="AB22" s="239">
        <f>0</f>
        <v>0</v>
      </c>
      <c r="AC22" s="86">
        <f>0</f>
        <v>0</v>
      </c>
      <c r="AD22" s="86">
        <f>0</f>
        <v>0</v>
      </c>
      <c r="AE22" s="86"/>
      <c r="AF22" s="86"/>
      <c r="AG22" s="86"/>
      <c r="AH22" s="86"/>
      <c r="AI22" s="86"/>
      <c r="AJ22" s="86"/>
      <c r="AK22" s="237"/>
      <c r="AL22" s="263">
        <f t="shared" si="0"/>
        <v>1</v>
      </c>
      <c r="AM22" s="111">
        <f>0</f>
        <v>0</v>
      </c>
      <c r="AN22" s="265">
        <f t="shared" si="1"/>
        <v>1</v>
      </c>
      <c r="AO22" s="245">
        <v>45042</v>
      </c>
      <c r="AP22" s="126" t="s">
        <v>273</v>
      </c>
      <c r="AQ22" s="117" t="s">
        <v>460</v>
      </c>
      <c r="AR22" s="129" t="s">
        <v>148</v>
      </c>
      <c r="AS22" s="118"/>
      <c r="AT22" s="119"/>
      <c r="AU22" s="119">
        <v>1</v>
      </c>
      <c r="AV22" s="126"/>
      <c r="AW22" s="119" t="s">
        <v>459</v>
      </c>
      <c r="AX22" s="120"/>
      <c r="AY22" s="120"/>
      <c r="AZ22" s="128"/>
      <c r="BA22" s="91"/>
      <c r="BB22" s="91"/>
      <c r="BC22" s="91"/>
    </row>
    <row r="23" spans="1:55" ht="28" hidden="1" customHeight="1">
      <c r="A23" s="162">
        <v>18</v>
      </c>
      <c r="B23" s="163">
        <v>45036</v>
      </c>
      <c r="C23" s="87" t="s">
        <v>134</v>
      </c>
      <c r="D23" s="87" t="s">
        <v>135</v>
      </c>
      <c r="E23" s="87" t="s">
        <v>136</v>
      </c>
      <c r="F23" s="92" t="s">
        <v>210</v>
      </c>
      <c r="G23" s="109" t="s">
        <v>190</v>
      </c>
      <c r="H23" s="164" t="s">
        <v>110</v>
      </c>
      <c r="I23" s="109" t="s">
        <v>191</v>
      </c>
      <c r="J23" s="165" t="s">
        <v>192</v>
      </c>
      <c r="K23" s="160" t="s">
        <v>80</v>
      </c>
      <c r="L23" s="160" t="s">
        <v>193</v>
      </c>
      <c r="M23" s="109" t="s">
        <v>154</v>
      </c>
      <c r="N23" s="109" t="s">
        <v>214</v>
      </c>
      <c r="O23" s="109" t="s">
        <v>149</v>
      </c>
      <c r="P23" s="123"/>
      <c r="Q23" s="124"/>
      <c r="R23" s="236">
        <f>0</f>
        <v>0</v>
      </c>
      <c r="S23" s="86">
        <f>0</f>
        <v>0</v>
      </c>
      <c r="T23" s="86">
        <f>0</f>
        <v>0</v>
      </c>
      <c r="U23" s="110">
        <v>1</v>
      </c>
      <c r="V23" s="86">
        <f>0</f>
        <v>0</v>
      </c>
      <c r="W23" s="86">
        <f>0</f>
        <v>0</v>
      </c>
      <c r="X23" s="86">
        <f>0</f>
        <v>0</v>
      </c>
      <c r="Y23" s="86">
        <f>0</f>
        <v>0</v>
      </c>
      <c r="Z23" s="86">
        <f>0</f>
        <v>0</v>
      </c>
      <c r="AA23" s="237">
        <f>0</f>
        <v>0</v>
      </c>
      <c r="AB23" s="239">
        <f>0</f>
        <v>0</v>
      </c>
      <c r="AC23" s="86">
        <f>0</f>
        <v>0</v>
      </c>
      <c r="AD23" s="86">
        <f>0</f>
        <v>0</v>
      </c>
      <c r="AE23" s="86"/>
      <c r="AF23" s="86"/>
      <c r="AG23" s="86"/>
      <c r="AH23" s="86"/>
      <c r="AI23" s="86"/>
      <c r="AJ23" s="86"/>
      <c r="AK23" s="237"/>
      <c r="AL23" s="263">
        <f t="shared" si="0"/>
        <v>1</v>
      </c>
      <c r="AM23" s="111">
        <f>0</f>
        <v>0</v>
      </c>
      <c r="AN23" s="265">
        <f t="shared" si="1"/>
        <v>1</v>
      </c>
      <c r="AO23" s="246">
        <v>45057</v>
      </c>
      <c r="AP23" s="126" t="s">
        <v>273</v>
      </c>
      <c r="AQ23" s="117" t="s">
        <v>461</v>
      </c>
      <c r="AR23" s="129" t="s">
        <v>148</v>
      </c>
      <c r="AS23" s="118"/>
      <c r="AT23" s="119"/>
      <c r="AU23" s="119"/>
      <c r="AV23" s="126"/>
      <c r="AW23" s="119"/>
      <c r="AX23" s="120"/>
      <c r="AY23" s="120"/>
      <c r="AZ23" s="128"/>
      <c r="BA23" s="91"/>
      <c r="BB23" s="91"/>
      <c r="BC23" s="91"/>
    </row>
    <row r="24" spans="1:55" ht="28" hidden="1" customHeight="1">
      <c r="A24" s="162">
        <v>19</v>
      </c>
      <c r="B24" s="163">
        <v>45036</v>
      </c>
      <c r="C24" s="87" t="s">
        <v>134</v>
      </c>
      <c r="D24" s="87" t="s">
        <v>135</v>
      </c>
      <c r="E24" s="87" t="s">
        <v>136</v>
      </c>
      <c r="F24" s="92" t="s">
        <v>210</v>
      </c>
      <c r="G24" s="109" t="s">
        <v>194</v>
      </c>
      <c r="H24" s="164" t="s">
        <v>110</v>
      </c>
      <c r="I24" s="109" t="s">
        <v>195</v>
      </c>
      <c r="J24" s="165" t="s">
        <v>196</v>
      </c>
      <c r="K24" s="160" t="s">
        <v>80</v>
      </c>
      <c r="L24" s="160" t="s">
        <v>193</v>
      </c>
      <c r="M24" s="109" t="s">
        <v>154</v>
      </c>
      <c r="N24" s="109" t="s">
        <v>212</v>
      </c>
      <c r="O24" s="109" t="s">
        <v>149</v>
      </c>
      <c r="P24" s="123"/>
      <c r="Q24" s="124"/>
      <c r="R24" s="236">
        <f>0</f>
        <v>0</v>
      </c>
      <c r="S24" s="86">
        <f>0</f>
        <v>0</v>
      </c>
      <c r="T24" s="86">
        <f>0</f>
        <v>0</v>
      </c>
      <c r="U24" s="110">
        <v>1</v>
      </c>
      <c r="V24" s="86">
        <f>0</f>
        <v>0</v>
      </c>
      <c r="W24" s="86">
        <f>0</f>
        <v>0</v>
      </c>
      <c r="X24" s="86">
        <f>0</f>
        <v>0</v>
      </c>
      <c r="Y24" s="86">
        <f>0</f>
        <v>0</v>
      </c>
      <c r="Z24" s="86">
        <f>0</f>
        <v>0</v>
      </c>
      <c r="AA24" s="237">
        <f>0</f>
        <v>0</v>
      </c>
      <c r="AB24" s="239">
        <f>0</f>
        <v>0</v>
      </c>
      <c r="AC24" s="86">
        <f>0</f>
        <v>0</v>
      </c>
      <c r="AD24" s="86">
        <f>0</f>
        <v>0</v>
      </c>
      <c r="AE24" s="86"/>
      <c r="AF24" s="86"/>
      <c r="AG24" s="86"/>
      <c r="AH24" s="86"/>
      <c r="AI24" s="86"/>
      <c r="AJ24" s="86"/>
      <c r="AK24" s="237"/>
      <c r="AL24" s="263">
        <f t="shared" si="0"/>
        <v>1</v>
      </c>
      <c r="AM24" s="111">
        <f>0</f>
        <v>0</v>
      </c>
      <c r="AN24" s="265">
        <f t="shared" si="1"/>
        <v>1</v>
      </c>
      <c r="AO24" s="245">
        <v>45042</v>
      </c>
      <c r="AP24" s="126" t="s">
        <v>273</v>
      </c>
      <c r="AQ24" s="117" t="s">
        <v>460</v>
      </c>
      <c r="AR24" s="129" t="s">
        <v>148</v>
      </c>
      <c r="AS24" s="118"/>
      <c r="AT24" s="119"/>
      <c r="AU24" s="119">
        <v>1</v>
      </c>
      <c r="AV24" s="126"/>
      <c r="AW24" s="119" t="s">
        <v>459</v>
      </c>
      <c r="AX24" s="120"/>
      <c r="AY24" s="120"/>
      <c r="AZ24" s="128"/>
      <c r="BA24" s="91"/>
      <c r="BB24" s="91"/>
      <c r="BC24" s="91"/>
    </row>
    <row r="25" spans="1:55" ht="28" hidden="1" customHeight="1">
      <c r="A25" s="162">
        <v>20</v>
      </c>
      <c r="B25" s="163">
        <v>45036</v>
      </c>
      <c r="C25" s="87" t="s">
        <v>134</v>
      </c>
      <c r="D25" s="87" t="s">
        <v>135</v>
      </c>
      <c r="E25" s="87" t="s">
        <v>136</v>
      </c>
      <c r="F25" s="92" t="s">
        <v>210</v>
      </c>
      <c r="G25" s="109" t="s">
        <v>197</v>
      </c>
      <c r="H25" s="164" t="s">
        <v>110</v>
      </c>
      <c r="I25" s="109" t="s">
        <v>198</v>
      </c>
      <c r="J25" s="165" t="s">
        <v>199</v>
      </c>
      <c r="K25" s="160" t="s">
        <v>80</v>
      </c>
      <c r="L25" s="160" t="s">
        <v>193</v>
      </c>
      <c r="M25" s="109" t="s">
        <v>154</v>
      </c>
      <c r="N25" s="109" t="s">
        <v>212</v>
      </c>
      <c r="O25" s="109" t="s">
        <v>149</v>
      </c>
      <c r="P25" s="123"/>
      <c r="Q25" s="124"/>
      <c r="R25" s="236">
        <f>0</f>
        <v>0</v>
      </c>
      <c r="S25" s="86">
        <f>0</f>
        <v>0</v>
      </c>
      <c r="T25" s="86">
        <f>0</f>
        <v>0</v>
      </c>
      <c r="U25" s="110">
        <v>1</v>
      </c>
      <c r="V25" s="86">
        <f>0</f>
        <v>0</v>
      </c>
      <c r="W25" s="86">
        <f>0</f>
        <v>0</v>
      </c>
      <c r="X25" s="86">
        <f>0</f>
        <v>0</v>
      </c>
      <c r="Y25" s="86">
        <f>0</f>
        <v>0</v>
      </c>
      <c r="Z25" s="86">
        <f>0</f>
        <v>0</v>
      </c>
      <c r="AA25" s="237">
        <f>0</f>
        <v>0</v>
      </c>
      <c r="AB25" s="239">
        <f>0</f>
        <v>0</v>
      </c>
      <c r="AC25" s="86">
        <f>0</f>
        <v>0</v>
      </c>
      <c r="AD25" s="86">
        <f>0</f>
        <v>0</v>
      </c>
      <c r="AE25" s="86"/>
      <c r="AF25" s="86"/>
      <c r="AG25" s="86"/>
      <c r="AH25" s="86"/>
      <c r="AI25" s="86"/>
      <c r="AJ25" s="86"/>
      <c r="AK25" s="237"/>
      <c r="AL25" s="263">
        <f t="shared" si="0"/>
        <v>1</v>
      </c>
      <c r="AM25" s="111">
        <f>0</f>
        <v>0</v>
      </c>
      <c r="AN25" s="265">
        <f t="shared" si="1"/>
        <v>1</v>
      </c>
      <c r="AO25" s="245">
        <v>45042</v>
      </c>
      <c r="AP25" s="126" t="s">
        <v>273</v>
      </c>
      <c r="AQ25" s="117" t="s">
        <v>460</v>
      </c>
      <c r="AR25" s="129" t="s">
        <v>148</v>
      </c>
      <c r="AS25" s="118"/>
      <c r="AT25" s="119"/>
      <c r="AU25" s="119"/>
      <c r="AV25" s="126"/>
      <c r="AW25" s="119"/>
      <c r="AX25" s="120"/>
      <c r="AY25" s="120"/>
      <c r="AZ25" s="128"/>
      <c r="BA25" s="91"/>
      <c r="BB25" s="91"/>
      <c r="BC25" s="91"/>
    </row>
    <row r="26" spans="1:55" ht="28" hidden="1" customHeight="1">
      <c r="A26" s="162">
        <v>21</v>
      </c>
      <c r="B26" s="163">
        <v>45036</v>
      </c>
      <c r="C26" s="87" t="s">
        <v>134</v>
      </c>
      <c r="D26" s="87" t="s">
        <v>135</v>
      </c>
      <c r="E26" s="87" t="s">
        <v>136</v>
      </c>
      <c r="F26" s="92" t="s">
        <v>210</v>
      </c>
      <c r="G26" s="109" t="s">
        <v>200</v>
      </c>
      <c r="H26" s="164" t="s">
        <v>110</v>
      </c>
      <c r="I26" s="109" t="s">
        <v>201</v>
      </c>
      <c r="J26" s="165" t="s">
        <v>202</v>
      </c>
      <c r="K26" s="160" t="s">
        <v>80</v>
      </c>
      <c r="L26" s="160" t="s">
        <v>193</v>
      </c>
      <c r="M26" s="109" t="s">
        <v>154</v>
      </c>
      <c r="N26" s="109" t="s">
        <v>212</v>
      </c>
      <c r="O26" s="109" t="s">
        <v>149</v>
      </c>
      <c r="P26" s="123"/>
      <c r="Q26" s="124"/>
      <c r="R26" s="236">
        <f>0</f>
        <v>0</v>
      </c>
      <c r="S26" s="86">
        <f>0</f>
        <v>0</v>
      </c>
      <c r="T26" s="86">
        <f>0</f>
        <v>0</v>
      </c>
      <c r="U26" s="110">
        <v>1</v>
      </c>
      <c r="V26" s="86">
        <f>0</f>
        <v>0</v>
      </c>
      <c r="W26" s="86">
        <f>0</f>
        <v>0</v>
      </c>
      <c r="X26" s="86">
        <f>0</f>
        <v>0</v>
      </c>
      <c r="Y26" s="86">
        <f>0</f>
        <v>0</v>
      </c>
      <c r="Z26" s="86">
        <f>0</f>
        <v>0</v>
      </c>
      <c r="AA26" s="237">
        <f>0</f>
        <v>0</v>
      </c>
      <c r="AB26" s="239">
        <f>0</f>
        <v>0</v>
      </c>
      <c r="AC26" s="86">
        <f>0</f>
        <v>0</v>
      </c>
      <c r="AD26" s="86">
        <f>0</f>
        <v>0</v>
      </c>
      <c r="AE26" s="86"/>
      <c r="AF26" s="86"/>
      <c r="AG26" s="86"/>
      <c r="AH26" s="86"/>
      <c r="AI26" s="86"/>
      <c r="AJ26" s="86"/>
      <c r="AK26" s="237"/>
      <c r="AL26" s="263">
        <f t="shared" si="0"/>
        <v>1</v>
      </c>
      <c r="AM26" s="111">
        <f>0</f>
        <v>0</v>
      </c>
      <c r="AN26" s="265">
        <f t="shared" si="1"/>
        <v>1</v>
      </c>
      <c r="AO26" s="245">
        <v>45042</v>
      </c>
      <c r="AP26" s="126" t="s">
        <v>273</v>
      </c>
      <c r="AQ26" s="117" t="s">
        <v>460</v>
      </c>
      <c r="AR26" s="129" t="s">
        <v>148</v>
      </c>
      <c r="AS26" s="118"/>
      <c r="AT26" s="119"/>
      <c r="AU26" s="119">
        <v>1</v>
      </c>
      <c r="AV26" s="126"/>
      <c r="AW26" s="119" t="s">
        <v>459</v>
      </c>
      <c r="AX26" s="120"/>
      <c r="AY26" s="120"/>
      <c r="AZ26" s="128"/>
      <c r="BA26" s="91"/>
      <c r="BB26" s="91"/>
      <c r="BC26" s="91"/>
    </row>
    <row r="27" spans="1:55" ht="28" hidden="1" customHeight="1">
      <c r="A27" s="162">
        <v>22</v>
      </c>
      <c r="B27" s="163">
        <v>45036</v>
      </c>
      <c r="C27" s="87" t="s">
        <v>134</v>
      </c>
      <c r="D27" s="87" t="s">
        <v>135</v>
      </c>
      <c r="E27" s="87" t="s">
        <v>136</v>
      </c>
      <c r="F27" s="92" t="s">
        <v>210</v>
      </c>
      <c r="G27" s="109" t="s">
        <v>203</v>
      </c>
      <c r="H27" s="164" t="s">
        <v>110</v>
      </c>
      <c r="I27" s="109" t="s">
        <v>204</v>
      </c>
      <c r="J27" s="165" t="s">
        <v>205</v>
      </c>
      <c r="K27" s="160" t="s">
        <v>80</v>
      </c>
      <c r="L27" s="160" t="s">
        <v>193</v>
      </c>
      <c r="M27" s="109" t="s">
        <v>154</v>
      </c>
      <c r="N27" s="109" t="s">
        <v>214</v>
      </c>
      <c r="O27" s="109" t="s">
        <v>149</v>
      </c>
      <c r="P27" s="123"/>
      <c r="Q27" s="124"/>
      <c r="R27" s="236">
        <f>0</f>
        <v>0</v>
      </c>
      <c r="S27" s="86">
        <f>0</f>
        <v>0</v>
      </c>
      <c r="T27" s="86">
        <f>0</f>
        <v>0</v>
      </c>
      <c r="U27" s="110">
        <v>1</v>
      </c>
      <c r="V27" s="86">
        <f>0</f>
        <v>0</v>
      </c>
      <c r="W27" s="86">
        <f>0</f>
        <v>0</v>
      </c>
      <c r="X27" s="86">
        <f>0</f>
        <v>0</v>
      </c>
      <c r="Y27" s="86">
        <f>0</f>
        <v>0</v>
      </c>
      <c r="Z27" s="86">
        <f>0</f>
        <v>0</v>
      </c>
      <c r="AA27" s="237">
        <f>0</f>
        <v>0</v>
      </c>
      <c r="AB27" s="239">
        <f>0</f>
        <v>0</v>
      </c>
      <c r="AC27" s="86">
        <f>0</f>
        <v>0</v>
      </c>
      <c r="AD27" s="86">
        <f>0</f>
        <v>0</v>
      </c>
      <c r="AE27" s="86"/>
      <c r="AF27" s="86"/>
      <c r="AG27" s="86"/>
      <c r="AH27" s="86"/>
      <c r="AI27" s="86"/>
      <c r="AJ27" s="86"/>
      <c r="AK27" s="237"/>
      <c r="AL27" s="263">
        <f t="shared" si="0"/>
        <v>1</v>
      </c>
      <c r="AM27" s="111">
        <f>0</f>
        <v>0</v>
      </c>
      <c r="AN27" s="265">
        <f t="shared" si="1"/>
        <v>1</v>
      </c>
      <c r="AO27" s="245">
        <v>45042</v>
      </c>
      <c r="AP27" s="126" t="s">
        <v>273</v>
      </c>
      <c r="AQ27" s="117" t="s">
        <v>460</v>
      </c>
      <c r="AR27" s="129" t="s">
        <v>148</v>
      </c>
      <c r="AS27" s="118"/>
      <c r="AT27" s="119"/>
      <c r="AU27" s="119">
        <v>1</v>
      </c>
      <c r="AV27" s="126"/>
      <c r="AW27" s="119" t="s">
        <v>459</v>
      </c>
      <c r="AX27" s="120"/>
      <c r="AY27" s="120"/>
      <c r="AZ27" s="128"/>
      <c r="BA27" s="91"/>
      <c r="BB27" s="91"/>
      <c r="BC27" s="91"/>
    </row>
    <row r="28" spans="1:55" ht="28" hidden="1" customHeight="1">
      <c r="A28" s="156">
        <v>23</v>
      </c>
      <c r="B28" s="157">
        <v>45036</v>
      </c>
      <c r="C28" s="87" t="s">
        <v>134</v>
      </c>
      <c r="D28" s="87" t="s">
        <v>135</v>
      </c>
      <c r="E28" s="87" t="s">
        <v>136</v>
      </c>
      <c r="F28" s="96" t="s">
        <v>210</v>
      </c>
      <c r="G28" s="123" t="s">
        <v>206</v>
      </c>
      <c r="H28" s="158" t="s">
        <v>110</v>
      </c>
      <c r="I28" s="123" t="s">
        <v>207</v>
      </c>
      <c r="J28" s="159" t="s">
        <v>208</v>
      </c>
      <c r="K28" s="160" t="s">
        <v>80</v>
      </c>
      <c r="L28" s="161" t="s">
        <v>209</v>
      </c>
      <c r="M28" s="123" t="s">
        <v>114</v>
      </c>
      <c r="N28" s="123"/>
      <c r="O28" s="123" t="s">
        <v>80</v>
      </c>
      <c r="P28" s="123"/>
      <c r="Q28" s="124"/>
      <c r="R28" s="236">
        <f>0</f>
        <v>0</v>
      </c>
      <c r="S28" s="86">
        <f>0</f>
        <v>0</v>
      </c>
      <c r="T28" s="86">
        <f>0</f>
        <v>0</v>
      </c>
      <c r="U28" s="110">
        <v>1</v>
      </c>
      <c r="V28" s="86">
        <f>0</f>
        <v>0</v>
      </c>
      <c r="W28" s="86">
        <f>0</f>
        <v>0</v>
      </c>
      <c r="X28" s="86">
        <f>0</f>
        <v>0</v>
      </c>
      <c r="Y28" s="86">
        <f>0</f>
        <v>0</v>
      </c>
      <c r="Z28" s="86">
        <f>0</f>
        <v>0</v>
      </c>
      <c r="AA28" s="237">
        <f>0</f>
        <v>0</v>
      </c>
      <c r="AB28" s="239">
        <f>0</f>
        <v>0</v>
      </c>
      <c r="AC28" s="86">
        <f>0</f>
        <v>0</v>
      </c>
      <c r="AD28" s="86">
        <f>0</f>
        <v>0</v>
      </c>
      <c r="AE28" s="86"/>
      <c r="AF28" s="86"/>
      <c r="AG28" s="86"/>
      <c r="AH28" s="86"/>
      <c r="AI28" s="86"/>
      <c r="AJ28" s="86"/>
      <c r="AK28" s="237"/>
      <c r="AL28" s="263">
        <f t="shared" si="0"/>
        <v>1</v>
      </c>
      <c r="AM28" s="111">
        <f>0</f>
        <v>0</v>
      </c>
      <c r="AN28" s="264">
        <f t="shared" si="1"/>
        <v>1</v>
      </c>
      <c r="AO28" s="244">
        <v>45042</v>
      </c>
      <c r="AP28" s="126" t="s">
        <v>273</v>
      </c>
      <c r="AQ28" s="121" t="s">
        <v>277</v>
      </c>
      <c r="AR28" s="122" t="s">
        <v>276</v>
      </c>
      <c r="AS28" s="118"/>
      <c r="AT28" s="119"/>
      <c r="AU28" s="119">
        <v>1</v>
      </c>
      <c r="AV28" s="126"/>
      <c r="AW28" s="119" t="s">
        <v>459</v>
      </c>
      <c r="AX28" s="120"/>
      <c r="AY28" s="120"/>
      <c r="AZ28" s="128"/>
      <c r="BA28" s="91"/>
      <c r="BB28" s="91"/>
      <c r="BC28" s="91"/>
    </row>
    <row r="29" spans="1:55" ht="28" hidden="1" customHeight="1">
      <c r="A29" s="156">
        <v>24</v>
      </c>
      <c r="B29" s="157">
        <v>45036</v>
      </c>
      <c r="C29" s="87" t="s">
        <v>134</v>
      </c>
      <c r="D29" s="87" t="s">
        <v>135</v>
      </c>
      <c r="E29" s="87" t="s">
        <v>136</v>
      </c>
      <c r="F29" s="96" t="s">
        <v>210</v>
      </c>
      <c r="G29" s="123" t="s">
        <v>215</v>
      </c>
      <c r="H29" s="158" t="s">
        <v>110</v>
      </c>
      <c r="I29" s="123" t="s">
        <v>250</v>
      </c>
      <c r="J29" s="159" t="s">
        <v>216</v>
      </c>
      <c r="K29" s="160" t="s">
        <v>80</v>
      </c>
      <c r="L29" s="161" t="s">
        <v>119</v>
      </c>
      <c r="M29" s="123" t="s">
        <v>114</v>
      </c>
      <c r="N29" s="123"/>
      <c r="O29" s="123" t="s">
        <v>120</v>
      </c>
      <c r="P29" s="123"/>
      <c r="Q29" s="124"/>
      <c r="R29" s="236">
        <f>0</f>
        <v>0</v>
      </c>
      <c r="S29" s="86">
        <f>0</f>
        <v>0</v>
      </c>
      <c r="T29" s="86">
        <f>0</f>
        <v>0</v>
      </c>
      <c r="U29" s="110">
        <v>1</v>
      </c>
      <c r="V29" s="86">
        <f>0</f>
        <v>0</v>
      </c>
      <c r="W29" s="86">
        <f>0</f>
        <v>0</v>
      </c>
      <c r="X29" s="86">
        <f>0</f>
        <v>0</v>
      </c>
      <c r="Y29" s="86">
        <f>0</f>
        <v>0</v>
      </c>
      <c r="Z29" s="86">
        <f>0</f>
        <v>0</v>
      </c>
      <c r="AA29" s="237">
        <f>0</f>
        <v>0</v>
      </c>
      <c r="AB29" s="239">
        <f>0</f>
        <v>0</v>
      </c>
      <c r="AC29" s="86">
        <f>0</f>
        <v>0</v>
      </c>
      <c r="AD29" s="86">
        <f>0</f>
        <v>0</v>
      </c>
      <c r="AE29" s="86"/>
      <c r="AF29" s="86"/>
      <c r="AG29" s="86"/>
      <c r="AH29" s="86"/>
      <c r="AI29" s="86"/>
      <c r="AJ29" s="86"/>
      <c r="AK29" s="237"/>
      <c r="AL29" s="263">
        <f t="shared" si="0"/>
        <v>1</v>
      </c>
      <c r="AM29" s="111">
        <f>0</f>
        <v>0</v>
      </c>
      <c r="AN29" s="264">
        <f t="shared" si="1"/>
        <v>1</v>
      </c>
      <c r="AO29" s="244">
        <v>45042</v>
      </c>
      <c r="AP29" s="126" t="s">
        <v>273</v>
      </c>
      <c r="AQ29" s="121" t="s">
        <v>277</v>
      </c>
      <c r="AR29" s="122" t="s">
        <v>276</v>
      </c>
      <c r="AS29" s="118"/>
      <c r="AT29" s="119"/>
      <c r="AU29" s="119">
        <v>1</v>
      </c>
      <c r="AV29" s="126"/>
      <c r="AW29" s="119" t="s">
        <v>459</v>
      </c>
      <c r="AX29" s="120"/>
      <c r="AY29" s="120"/>
      <c r="AZ29" s="128"/>
      <c r="BA29" s="91"/>
      <c r="BB29" s="91"/>
      <c r="BC29" s="91"/>
    </row>
    <row r="30" spans="1:55" ht="28" hidden="1" customHeight="1">
      <c r="A30" s="156">
        <v>25</v>
      </c>
      <c r="B30" s="157">
        <v>45036</v>
      </c>
      <c r="C30" s="87" t="s">
        <v>134</v>
      </c>
      <c r="D30" s="87" t="s">
        <v>135</v>
      </c>
      <c r="E30" s="87" t="s">
        <v>136</v>
      </c>
      <c r="F30" s="96" t="s">
        <v>210</v>
      </c>
      <c r="G30" s="123" t="s">
        <v>217</v>
      </c>
      <c r="H30" s="158" t="s">
        <v>110</v>
      </c>
      <c r="I30" s="123" t="s">
        <v>251</v>
      </c>
      <c r="J30" s="159" t="s">
        <v>218</v>
      </c>
      <c r="K30" s="160" t="s">
        <v>80</v>
      </c>
      <c r="L30" s="161" t="s">
        <v>119</v>
      </c>
      <c r="M30" s="123" t="s">
        <v>114</v>
      </c>
      <c r="N30" s="123" t="s">
        <v>80</v>
      </c>
      <c r="O30" s="123" t="s">
        <v>120</v>
      </c>
      <c r="P30" s="123"/>
      <c r="Q30" s="124"/>
      <c r="R30" s="236">
        <f>0</f>
        <v>0</v>
      </c>
      <c r="S30" s="86">
        <f>0</f>
        <v>0</v>
      </c>
      <c r="T30" s="86">
        <f>0</f>
        <v>0</v>
      </c>
      <c r="U30" s="110">
        <v>1</v>
      </c>
      <c r="V30" s="86">
        <f>0</f>
        <v>0</v>
      </c>
      <c r="W30" s="86">
        <f>0</f>
        <v>0</v>
      </c>
      <c r="X30" s="86">
        <f>0</f>
        <v>0</v>
      </c>
      <c r="Y30" s="86">
        <f>0</f>
        <v>0</v>
      </c>
      <c r="Z30" s="86">
        <f>0</f>
        <v>0</v>
      </c>
      <c r="AA30" s="237">
        <f>0</f>
        <v>0</v>
      </c>
      <c r="AB30" s="239">
        <f>0</f>
        <v>0</v>
      </c>
      <c r="AC30" s="86">
        <f>0</f>
        <v>0</v>
      </c>
      <c r="AD30" s="86">
        <f>0</f>
        <v>0</v>
      </c>
      <c r="AE30" s="86"/>
      <c r="AF30" s="86"/>
      <c r="AG30" s="86"/>
      <c r="AH30" s="86"/>
      <c r="AI30" s="86"/>
      <c r="AJ30" s="86"/>
      <c r="AK30" s="237"/>
      <c r="AL30" s="263">
        <f t="shared" si="0"/>
        <v>1</v>
      </c>
      <c r="AM30" s="111">
        <f>0</f>
        <v>0</v>
      </c>
      <c r="AN30" s="264">
        <f t="shared" si="1"/>
        <v>1</v>
      </c>
      <c r="AO30" s="244">
        <v>45042</v>
      </c>
      <c r="AP30" s="126" t="s">
        <v>273</v>
      </c>
      <c r="AQ30" s="121" t="s">
        <v>277</v>
      </c>
      <c r="AR30" s="122" t="s">
        <v>276</v>
      </c>
      <c r="AS30" s="118"/>
      <c r="AT30" s="119"/>
      <c r="AU30" s="119">
        <v>1</v>
      </c>
      <c r="AV30" s="126"/>
      <c r="AW30" s="119" t="s">
        <v>459</v>
      </c>
      <c r="AX30" s="120"/>
      <c r="AY30" s="120"/>
      <c r="AZ30" s="128"/>
      <c r="BA30" s="91"/>
      <c r="BB30" s="91"/>
      <c r="BC30" s="91"/>
    </row>
    <row r="31" spans="1:55" ht="28" hidden="1" customHeight="1">
      <c r="A31" s="162">
        <v>26</v>
      </c>
      <c r="B31" s="163">
        <v>45036</v>
      </c>
      <c r="C31" s="87" t="s">
        <v>134</v>
      </c>
      <c r="D31" s="87" t="s">
        <v>135</v>
      </c>
      <c r="E31" s="87" t="s">
        <v>136</v>
      </c>
      <c r="F31" s="92" t="s">
        <v>210</v>
      </c>
      <c r="G31" s="109" t="s">
        <v>219</v>
      </c>
      <c r="H31" s="164" t="s">
        <v>110</v>
      </c>
      <c r="I31" s="109" t="s">
        <v>220</v>
      </c>
      <c r="J31" s="165" t="s">
        <v>221</v>
      </c>
      <c r="K31" s="160" t="s">
        <v>80</v>
      </c>
      <c r="L31" s="160" t="s">
        <v>222</v>
      </c>
      <c r="M31" s="109" t="s">
        <v>154</v>
      </c>
      <c r="N31" s="109" t="s">
        <v>80</v>
      </c>
      <c r="O31" s="109" t="s">
        <v>80</v>
      </c>
      <c r="P31" s="123"/>
      <c r="Q31" s="124"/>
      <c r="R31" s="236">
        <f>0</f>
        <v>0</v>
      </c>
      <c r="S31" s="86">
        <f>0</f>
        <v>0</v>
      </c>
      <c r="T31" s="86">
        <f>0</f>
        <v>0</v>
      </c>
      <c r="U31" s="110">
        <v>4</v>
      </c>
      <c r="V31" s="86">
        <f>0</f>
        <v>0</v>
      </c>
      <c r="W31" s="86">
        <f>0</f>
        <v>0</v>
      </c>
      <c r="X31" s="86">
        <f>0</f>
        <v>0</v>
      </c>
      <c r="Y31" s="86">
        <f>0</f>
        <v>0</v>
      </c>
      <c r="Z31" s="86">
        <f>0</f>
        <v>0</v>
      </c>
      <c r="AA31" s="237">
        <f>0</f>
        <v>0</v>
      </c>
      <c r="AB31" s="239">
        <f>0</f>
        <v>0</v>
      </c>
      <c r="AC31" s="86">
        <f>0</f>
        <v>0</v>
      </c>
      <c r="AD31" s="86">
        <f>0</f>
        <v>0</v>
      </c>
      <c r="AE31" s="86"/>
      <c r="AF31" s="86"/>
      <c r="AG31" s="86"/>
      <c r="AH31" s="86"/>
      <c r="AI31" s="86"/>
      <c r="AJ31" s="86"/>
      <c r="AK31" s="237"/>
      <c r="AL31" s="263">
        <f t="shared" si="0"/>
        <v>4</v>
      </c>
      <c r="AM31" s="111">
        <f>0</f>
        <v>0</v>
      </c>
      <c r="AN31" s="265">
        <f t="shared" si="1"/>
        <v>4</v>
      </c>
      <c r="AO31" s="245">
        <v>45042</v>
      </c>
      <c r="AP31" s="126" t="s">
        <v>273</v>
      </c>
      <c r="AQ31" s="117" t="s">
        <v>460</v>
      </c>
      <c r="AR31" s="129" t="s">
        <v>148</v>
      </c>
      <c r="AS31" s="118"/>
      <c r="AT31" s="119"/>
      <c r="AU31" s="119">
        <v>4</v>
      </c>
      <c r="AV31" s="126"/>
      <c r="AW31" s="119" t="s">
        <v>459</v>
      </c>
      <c r="AX31" s="120"/>
      <c r="AY31" s="120"/>
      <c r="AZ31" s="128"/>
      <c r="BA31" s="91"/>
      <c r="BB31" s="91"/>
      <c r="BC31" s="91"/>
    </row>
    <row r="32" spans="1:55" ht="28" hidden="1" customHeight="1">
      <c r="A32" s="162">
        <v>27</v>
      </c>
      <c r="B32" s="163">
        <v>45036</v>
      </c>
      <c r="C32" s="87" t="s">
        <v>134</v>
      </c>
      <c r="D32" s="87" t="s">
        <v>135</v>
      </c>
      <c r="E32" s="87" t="s">
        <v>136</v>
      </c>
      <c r="F32" s="92" t="s">
        <v>210</v>
      </c>
      <c r="G32" s="109" t="s">
        <v>223</v>
      </c>
      <c r="H32" s="164" t="s">
        <v>110</v>
      </c>
      <c r="I32" s="109" t="s">
        <v>224</v>
      </c>
      <c r="J32" s="165" t="s">
        <v>225</v>
      </c>
      <c r="K32" s="160" t="s">
        <v>80</v>
      </c>
      <c r="L32" s="160" t="s">
        <v>226</v>
      </c>
      <c r="M32" s="109" t="s">
        <v>154</v>
      </c>
      <c r="N32" s="109" t="s">
        <v>80</v>
      </c>
      <c r="O32" s="109" t="s">
        <v>155</v>
      </c>
      <c r="P32" s="123"/>
      <c r="Q32" s="124"/>
      <c r="R32" s="236">
        <f>0</f>
        <v>0</v>
      </c>
      <c r="S32" s="86">
        <f>0</f>
        <v>0</v>
      </c>
      <c r="T32" s="86">
        <f>0</f>
        <v>0</v>
      </c>
      <c r="U32" s="110">
        <v>1</v>
      </c>
      <c r="V32" s="86">
        <f>0</f>
        <v>0</v>
      </c>
      <c r="W32" s="86">
        <f>0</f>
        <v>0</v>
      </c>
      <c r="X32" s="86">
        <f>0</f>
        <v>0</v>
      </c>
      <c r="Y32" s="86">
        <f>0</f>
        <v>0</v>
      </c>
      <c r="Z32" s="86">
        <f>0</f>
        <v>0</v>
      </c>
      <c r="AA32" s="237">
        <f>0</f>
        <v>0</v>
      </c>
      <c r="AB32" s="239">
        <f>0</f>
        <v>0</v>
      </c>
      <c r="AC32" s="86">
        <f>0</f>
        <v>0</v>
      </c>
      <c r="AD32" s="86">
        <f>0</f>
        <v>0</v>
      </c>
      <c r="AE32" s="86"/>
      <c r="AF32" s="86"/>
      <c r="AG32" s="86"/>
      <c r="AH32" s="86"/>
      <c r="AI32" s="86"/>
      <c r="AJ32" s="86"/>
      <c r="AK32" s="237"/>
      <c r="AL32" s="263">
        <f t="shared" si="0"/>
        <v>1</v>
      </c>
      <c r="AM32" s="111">
        <f>0</f>
        <v>0</v>
      </c>
      <c r="AN32" s="265">
        <f t="shared" si="1"/>
        <v>1</v>
      </c>
      <c r="AO32" s="245">
        <v>45042</v>
      </c>
      <c r="AP32" s="126" t="s">
        <v>273</v>
      </c>
      <c r="AQ32" s="117" t="s">
        <v>460</v>
      </c>
      <c r="AR32" s="129" t="s">
        <v>148</v>
      </c>
      <c r="AS32" s="118"/>
      <c r="AT32" s="119"/>
      <c r="AU32" s="119"/>
      <c r="AV32" s="126"/>
      <c r="AW32" s="119"/>
      <c r="AX32" s="120"/>
      <c r="AY32" s="120"/>
      <c r="AZ32" s="128"/>
      <c r="BA32" s="91"/>
      <c r="BB32" s="91"/>
      <c r="BC32" s="91"/>
    </row>
    <row r="33" spans="1:55" ht="28" hidden="1" customHeight="1">
      <c r="A33" s="162">
        <v>28</v>
      </c>
      <c r="B33" s="163">
        <v>45036</v>
      </c>
      <c r="C33" s="87" t="s">
        <v>134</v>
      </c>
      <c r="D33" s="87" t="s">
        <v>135</v>
      </c>
      <c r="E33" s="87" t="s">
        <v>136</v>
      </c>
      <c r="F33" s="92" t="s">
        <v>210</v>
      </c>
      <c r="G33" s="109" t="s">
        <v>227</v>
      </c>
      <c r="H33" s="164" t="s">
        <v>110</v>
      </c>
      <c r="I33" s="109" t="s">
        <v>163</v>
      </c>
      <c r="J33" s="165" t="s">
        <v>228</v>
      </c>
      <c r="K33" s="160" t="s">
        <v>80</v>
      </c>
      <c r="L33" s="160" t="s">
        <v>153</v>
      </c>
      <c r="M33" s="109" t="s">
        <v>154</v>
      </c>
      <c r="N33" s="109" t="s">
        <v>80</v>
      </c>
      <c r="O33" s="109" t="s">
        <v>155</v>
      </c>
      <c r="P33" s="123"/>
      <c r="Q33" s="124"/>
      <c r="R33" s="236">
        <f>0</f>
        <v>0</v>
      </c>
      <c r="S33" s="86">
        <f>0</f>
        <v>0</v>
      </c>
      <c r="T33" s="86">
        <f>0</f>
        <v>0</v>
      </c>
      <c r="U33" s="110">
        <v>1</v>
      </c>
      <c r="V33" s="86">
        <f>0</f>
        <v>0</v>
      </c>
      <c r="W33" s="86">
        <f>0</f>
        <v>0</v>
      </c>
      <c r="X33" s="86">
        <f>0</f>
        <v>0</v>
      </c>
      <c r="Y33" s="86">
        <f>0</f>
        <v>0</v>
      </c>
      <c r="Z33" s="86">
        <f>0</f>
        <v>0</v>
      </c>
      <c r="AA33" s="237">
        <f>0</f>
        <v>0</v>
      </c>
      <c r="AB33" s="239">
        <f>0</f>
        <v>0</v>
      </c>
      <c r="AC33" s="86">
        <f>0</f>
        <v>0</v>
      </c>
      <c r="AD33" s="86">
        <f>0</f>
        <v>0</v>
      </c>
      <c r="AE33" s="86"/>
      <c r="AF33" s="86"/>
      <c r="AG33" s="86"/>
      <c r="AH33" s="86"/>
      <c r="AI33" s="86"/>
      <c r="AJ33" s="86"/>
      <c r="AK33" s="237"/>
      <c r="AL33" s="263">
        <f t="shared" si="0"/>
        <v>1</v>
      </c>
      <c r="AM33" s="111">
        <f>0</f>
        <v>0</v>
      </c>
      <c r="AN33" s="265">
        <f t="shared" si="1"/>
        <v>1</v>
      </c>
      <c r="AO33" s="245">
        <v>45042</v>
      </c>
      <c r="AP33" s="126" t="s">
        <v>273</v>
      </c>
      <c r="AQ33" s="117" t="s">
        <v>460</v>
      </c>
      <c r="AR33" s="129" t="s">
        <v>148</v>
      </c>
      <c r="AS33" s="118"/>
      <c r="AT33" s="119"/>
      <c r="AU33" s="119"/>
      <c r="AV33" s="126"/>
      <c r="AW33" s="119"/>
      <c r="AX33" s="120"/>
      <c r="AY33" s="120"/>
      <c r="AZ33" s="128"/>
      <c r="BA33" s="91"/>
      <c r="BB33" s="91"/>
      <c r="BC33" s="91"/>
    </row>
    <row r="34" spans="1:55" ht="28" hidden="1" customHeight="1">
      <c r="A34" s="162">
        <v>29</v>
      </c>
      <c r="B34" s="163">
        <v>45036</v>
      </c>
      <c r="C34" s="87" t="s">
        <v>134</v>
      </c>
      <c r="D34" s="87" t="s">
        <v>135</v>
      </c>
      <c r="E34" s="87" t="s">
        <v>136</v>
      </c>
      <c r="F34" s="92" t="s">
        <v>210</v>
      </c>
      <c r="G34" s="109" t="s">
        <v>229</v>
      </c>
      <c r="H34" s="164" t="s">
        <v>110</v>
      </c>
      <c r="I34" s="109" t="s">
        <v>230</v>
      </c>
      <c r="J34" s="165" t="s">
        <v>231</v>
      </c>
      <c r="K34" s="160" t="s">
        <v>80</v>
      </c>
      <c r="L34" s="160" t="s">
        <v>153</v>
      </c>
      <c r="M34" s="109" t="s">
        <v>154</v>
      </c>
      <c r="N34" s="109" t="s">
        <v>80</v>
      </c>
      <c r="O34" s="109" t="s">
        <v>155</v>
      </c>
      <c r="P34" s="123"/>
      <c r="Q34" s="124"/>
      <c r="R34" s="236">
        <f>0</f>
        <v>0</v>
      </c>
      <c r="S34" s="86">
        <f>0</f>
        <v>0</v>
      </c>
      <c r="T34" s="86">
        <f>0</f>
        <v>0</v>
      </c>
      <c r="U34" s="110">
        <v>1</v>
      </c>
      <c r="V34" s="86">
        <f>0</f>
        <v>0</v>
      </c>
      <c r="W34" s="86">
        <f>0</f>
        <v>0</v>
      </c>
      <c r="X34" s="86">
        <f>0</f>
        <v>0</v>
      </c>
      <c r="Y34" s="86">
        <f>0</f>
        <v>0</v>
      </c>
      <c r="Z34" s="86">
        <f>0</f>
        <v>0</v>
      </c>
      <c r="AA34" s="237">
        <f>0</f>
        <v>0</v>
      </c>
      <c r="AB34" s="239">
        <f>0</f>
        <v>0</v>
      </c>
      <c r="AC34" s="86">
        <f>0</f>
        <v>0</v>
      </c>
      <c r="AD34" s="86">
        <f>0</f>
        <v>0</v>
      </c>
      <c r="AE34" s="86"/>
      <c r="AF34" s="86"/>
      <c r="AG34" s="86"/>
      <c r="AH34" s="86"/>
      <c r="AI34" s="86"/>
      <c r="AJ34" s="86"/>
      <c r="AK34" s="237"/>
      <c r="AL34" s="263">
        <f t="shared" si="0"/>
        <v>1</v>
      </c>
      <c r="AM34" s="111">
        <f>0</f>
        <v>0</v>
      </c>
      <c r="AN34" s="265">
        <f t="shared" si="1"/>
        <v>1</v>
      </c>
      <c r="AO34" s="245">
        <v>45042</v>
      </c>
      <c r="AP34" s="126" t="s">
        <v>273</v>
      </c>
      <c r="AQ34" s="117" t="s">
        <v>460</v>
      </c>
      <c r="AR34" s="129" t="s">
        <v>148</v>
      </c>
      <c r="AS34" s="118"/>
      <c r="AT34" s="119"/>
      <c r="AU34" s="119"/>
      <c r="AV34" s="126"/>
      <c r="AW34" s="119"/>
      <c r="AX34" s="120"/>
      <c r="AY34" s="120"/>
      <c r="AZ34" s="128"/>
      <c r="BA34" s="91"/>
      <c r="BB34" s="91"/>
      <c r="BC34" s="91"/>
    </row>
    <row r="35" spans="1:55" ht="28" hidden="1" customHeight="1">
      <c r="A35" s="162">
        <v>30</v>
      </c>
      <c r="B35" s="163">
        <v>45036</v>
      </c>
      <c r="C35" s="87" t="s">
        <v>134</v>
      </c>
      <c r="D35" s="87" t="s">
        <v>135</v>
      </c>
      <c r="E35" s="87" t="s">
        <v>136</v>
      </c>
      <c r="F35" s="92" t="s">
        <v>210</v>
      </c>
      <c r="G35" s="109" t="s">
        <v>232</v>
      </c>
      <c r="H35" s="164" t="s">
        <v>110</v>
      </c>
      <c r="I35" s="109" t="s">
        <v>233</v>
      </c>
      <c r="J35" s="165" t="s">
        <v>234</v>
      </c>
      <c r="K35" s="160" t="s">
        <v>80</v>
      </c>
      <c r="L35" s="160" t="s">
        <v>153</v>
      </c>
      <c r="M35" s="109" t="s">
        <v>154</v>
      </c>
      <c r="N35" s="109" t="s">
        <v>80</v>
      </c>
      <c r="O35" s="109" t="s">
        <v>155</v>
      </c>
      <c r="P35" s="123"/>
      <c r="Q35" s="124"/>
      <c r="R35" s="236">
        <f>0</f>
        <v>0</v>
      </c>
      <c r="S35" s="86">
        <f>0</f>
        <v>0</v>
      </c>
      <c r="T35" s="86">
        <f>0</f>
        <v>0</v>
      </c>
      <c r="U35" s="110">
        <v>1</v>
      </c>
      <c r="V35" s="86">
        <f>0</f>
        <v>0</v>
      </c>
      <c r="W35" s="86">
        <f>0</f>
        <v>0</v>
      </c>
      <c r="X35" s="86">
        <f>0</f>
        <v>0</v>
      </c>
      <c r="Y35" s="86">
        <f>0</f>
        <v>0</v>
      </c>
      <c r="Z35" s="86">
        <f>0</f>
        <v>0</v>
      </c>
      <c r="AA35" s="237">
        <f>0</f>
        <v>0</v>
      </c>
      <c r="AB35" s="239">
        <f>0</f>
        <v>0</v>
      </c>
      <c r="AC35" s="86">
        <f>0</f>
        <v>0</v>
      </c>
      <c r="AD35" s="86">
        <f>0</f>
        <v>0</v>
      </c>
      <c r="AE35" s="86"/>
      <c r="AF35" s="86"/>
      <c r="AG35" s="86"/>
      <c r="AH35" s="86"/>
      <c r="AI35" s="86"/>
      <c r="AJ35" s="86"/>
      <c r="AK35" s="237"/>
      <c r="AL35" s="263">
        <f t="shared" si="0"/>
        <v>1</v>
      </c>
      <c r="AM35" s="111">
        <f>0</f>
        <v>0</v>
      </c>
      <c r="AN35" s="265">
        <f t="shared" si="1"/>
        <v>1</v>
      </c>
      <c r="AO35" s="245">
        <v>45042</v>
      </c>
      <c r="AP35" s="126" t="s">
        <v>273</v>
      </c>
      <c r="AQ35" s="117" t="s">
        <v>460</v>
      </c>
      <c r="AR35" s="129" t="s">
        <v>148</v>
      </c>
      <c r="AS35" s="118"/>
      <c r="AT35" s="119"/>
      <c r="AU35" s="119"/>
      <c r="AV35" s="126"/>
      <c r="AW35" s="119"/>
      <c r="AX35" s="120"/>
      <c r="AY35" s="120"/>
      <c r="AZ35" s="128"/>
      <c r="BA35" s="91"/>
      <c r="BB35" s="91"/>
      <c r="BC35" s="91"/>
    </row>
    <row r="36" spans="1:55" ht="28" hidden="1" customHeight="1">
      <c r="A36" s="162">
        <v>31</v>
      </c>
      <c r="B36" s="163">
        <v>45036</v>
      </c>
      <c r="C36" s="87" t="s">
        <v>134</v>
      </c>
      <c r="D36" s="87" t="s">
        <v>135</v>
      </c>
      <c r="E36" s="87" t="s">
        <v>136</v>
      </c>
      <c r="F36" s="92" t="s">
        <v>210</v>
      </c>
      <c r="G36" s="109" t="s">
        <v>235</v>
      </c>
      <c r="H36" s="164" t="s">
        <v>110</v>
      </c>
      <c r="I36" s="109" t="s">
        <v>236</v>
      </c>
      <c r="J36" s="165" t="s">
        <v>237</v>
      </c>
      <c r="K36" s="160" t="s">
        <v>80</v>
      </c>
      <c r="L36" s="160" t="s">
        <v>153</v>
      </c>
      <c r="M36" s="109" t="s">
        <v>154</v>
      </c>
      <c r="N36" s="109"/>
      <c r="O36" s="109" t="s">
        <v>155</v>
      </c>
      <c r="P36" s="123"/>
      <c r="Q36" s="124"/>
      <c r="R36" s="236">
        <f>0</f>
        <v>0</v>
      </c>
      <c r="S36" s="86">
        <f>0</f>
        <v>0</v>
      </c>
      <c r="T36" s="86">
        <f>0</f>
        <v>0</v>
      </c>
      <c r="U36" s="110">
        <v>1</v>
      </c>
      <c r="V36" s="86">
        <f>0</f>
        <v>0</v>
      </c>
      <c r="W36" s="86">
        <f>0</f>
        <v>0</v>
      </c>
      <c r="X36" s="86">
        <f>0</f>
        <v>0</v>
      </c>
      <c r="Y36" s="86">
        <f>0</f>
        <v>0</v>
      </c>
      <c r="Z36" s="86">
        <f>0</f>
        <v>0</v>
      </c>
      <c r="AA36" s="237">
        <f>0</f>
        <v>0</v>
      </c>
      <c r="AB36" s="239">
        <f>0</f>
        <v>0</v>
      </c>
      <c r="AC36" s="86">
        <f>0</f>
        <v>0</v>
      </c>
      <c r="AD36" s="86">
        <f>0</f>
        <v>0</v>
      </c>
      <c r="AE36" s="86"/>
      <c r="AF36" s="86"/>
      <c r="AG36" s="86"/>
      <c r="AH36" s="86"/>
      <c r="AI36" s="86"/>
      <c r="AJ36" s="86"/>
      <c r="AK36" s="237"/>
      <c r="AL36" s="263">
        <f t="shared" si="0"/>
        <v>1</v>
      </c>
      <c r="AM36" s="111">
        <f>0</f>
        <v>0</v>
      </c>
      <c r="AN36" s="265">
        <f t="shared" si="1"/>
        <v>1</v>
      </c>
      <c r="AO36" s="245">
        <v>45042</v>
      </c>
      <c r="AP36" s="126" t="s">
        <v>273</v>
      </c>
      <c r="AQ36" s="117" t="s">
        <v>460</v>
      </c>
      <c r="AR36" s="129" t="s">
        <v>148</v>
      </c>
      <c r="AS36" s="118"/>
      <c r="AT36" s="125"/>
      <c r="AU36" s="125"/>
      <c r="AV36" s="126"/>
      <c r="AW36" s="125"/>
      <c r="AX36" s="127"/>
      <c r="AY36" s="127"/>
      <c r="AZ36" s="128"/>
      <c r="BA36" s="91"/>
      <c r="BB36" s="91"/>
      <c r="BC36" s="91"/>
    </row>
    <row r="37" spans="1:55" ht="28" hidden="1" customHeight="1">
      <c r="A37" s="162">
        <v>32</v>
      </c>
      <c r="B37" s="163">
        <v>45036</v>
      </c>
      <c r="C37" s="87" t="s">
        <v>134</v>
      </c>
      <c r="D37" s="87" t="s">
        <v>135</v>
      </c>
      <c r="E37" s="87" t="s">
        <v>136</v>
      </c>
      <c r="F37" s="92" t="s">
        <v>210</v>
      </c>
      <c r="G37" s="109" t="s">
        <v>238</v>
      </c>
      <c r="H37" s="164" t="s">
        <v>110</v>
      </c>
      <c r="I37" s="109" t="s">
        <v>239</v>
      </c>
      <c r="J37" s="165" t="s">
        <v>240</v>
      </c>
      <c r="K37" s="160" t="s">
        <v>80</v>
      </c>
      <c r="L37" s="160" t="s">
        <v>153</v>
      </c>
      <c r="M37" s="109" t="s">
        <v>154</v>
      </c>
      <c r="N37" s="109" t="s">
        <v>80</v>
      </c>
      <c r="O37" s="109" t="s">
        <v>155</v>
      </c>
      <c r="P37" s="123"/>
      <c r="Q37" s="124"/>
      <c r="R37" s="236">
        <f>0</f>
        <v>0</v>
      </c>
      <c r="S37" s="86">
        <f>0</f>
        <v>0</v>
      </c>
      <c r="T37" s="86">
        <f>0</f>
        <v>0</v>
      </c>
      <c r="U37" s="110">
        <v>1</v>
      </c>
      <c r="V37" s="86">
        <f>0</f>
        <v>0</v>
      </c>
      <c r="W37" s="86">
        <f>0</f>
        <v>0</v>
      </c>
      <c r="X37" s="86">
        <f>0</f>
        <v>0</v>
      </c>
      <c r="Y37" s="86">
        <f>0</f>
        <v>0</v>
      </c>
      <c r="Z37" s="86">
        <f>0</f>
        <v>0</v>
      </c>
      <c r="AA37" s="237">
        <f>0</f>
        <v>0</v>
      </c>
      <c r="AB37" s="239">
        <f>0</f>
        <v>0</v>
      </c>
      <c r="AC37" s="86">
        <f>0</f>
        <v>0</v>
      </c>
      <c r="AD37" s="86">
        <f>0</f>
        <v>0</v>
      </c>
      <c r="AE37" s="86"/>
      <c r="AF37" s="86"/>
      <c r="AG37" s="86"/>
      <c r="AH37" s="86"/>
      <c r="AI37" s="86"/>
      <c r="AJ37" s="86"/>
      <c r="AK37" s="237"/>
      <c r="AL37" s="263">
        <f t="shared" si="0"/>
        <v>1</v>
      </c>
      <c r="AM37" s="111">
        <f>0</f>
        <v>0</v>
      </c>
      <c r="AN37" s="265">
        <f t="shared" si="1"/>
        <v>1</v>
      </c>
      <c r="AO37" s="245">
        <v>45042</v>
      </c>
      <c r="AP37" s="126" t="s">
        <v>273</v>
      </c>
      <c r="AQ37" s="117" t="s">
        <v>460</v>
      </c>
      <c r="AR37" s="129" t="s">
        <v>148</v>
      </c>
      <c r="AS37" s="118"/>
      <c r="AT37" s="125"/>
      <c r="AU37" s="125"/>
      <c r="AV37" s="126"/>
      <c r="AW37" s="125"/>
      <c r="AX37" s="127"/>
      <c r="AY37" s="127"/>
      <c r="AZ37" s="128"/>
      <c r="BA37" s="91"/>
      <c r="BB37" s="91"/>
      <c r="BC37" s="91"/>
    </row>
    <row r="38" spans="1:55" ht="28" hidden="1" customHeight="1">
      <c r="A38" s="162">
        <v>33</v>
      </c>
      <c r="B38" s="163">
        <v>45036</v>
      </c>
      <c r="C38" s="87" t="s">
        <v>134</v>
      </c>
      <c r="D38" s="87" t="s">
        <v>135</v>
      </c>
      <c r="E38" s="87" t="s">
        <v>136</v>
      </c>
      <c r="F38" s="92" t="s">
        <v>210</v>
      </c>
      <c r="G38" s="109" t="s">
        <v>241</v>
      </c>
      <c r="H38" s="164" t="s">
        <v>110</v>
      </c>
      <c r="I38" s="109" t="s">
        <v>242</v>
      </c>
      <c r="J38" s="165" t="s">
        <v>243</v>
      </c>
      <c r="K38" s="160"/>
      <c r="L38" s="160" t="s">
        <v>153</v>
      </c>
      <c r="M38" s="109" t="s">
        <v>154</v>
      </c>
      <c r="N38" s="109"/>
      <c r="O38" s="109" t="s">
        <v>155</v>
      </c>
      <c r="P38" s="123"/>
      <c r="Q38" s="124"/>
      <c r="R38" s="236">
        <f>0</f>
        <v>0</v>
      </c>
      <c r="S38" s="86">
        <f>0</f>
        <v>0</v>
      </c>
      <c r="T38" s="86">
        <f>0</f>
        <v>0</v>
      </c>
      <c r="U38" s="110">
        <v>1</v>
      </c>
      <c r="V38" s="86">
        <f>0</f>
        <v>0</v>
      </c>
      <c r="W38" s="86">
        <f>0</f>
        <v>0</v>
      </c>
      <c r="X38" s="86">
        <f>0</f>
        <v>0</v>
      </c>
      <c r="Y38" s="86">
        <f>0</f>
        <v>0</v>
      </c>
      <c r="Z38" s="86">
        <f>0</f>
        <v>0</v>
      </c>
      <c r="AA38" s="237">
        <f>0</f>
        <v>0</v>
      </c>
      <c r="AB38" s="239">
        <f>0</f>
        <v>0</v>
      </c>
      <c r="AC38" s="86">
        <f>0</f>
        <v>0</v>
      </c>
      <c r="AD38" s="86">
        <f>0</f>
        <v>0</v>
      </c>
      <c r="AE38" s="86"/>
      <c r="AF38" s="86"/>
      <c r="AG38" s="86"/>
      <c r="AH38" s="86"/>
      <c r="AI38" s="86"/>
      <c r="AJ38" s="86"/>
      <c r="AK38" s="237"/>
      <c r="AL38" s="263">
        <f t="shared" ref="AL38:AL69" si="2">SUM(R38:AK38)</f>
        <v>1</v>
      </c>
      <c r="AM38" s="111">
        <f>0</f>
        <v>0</v>
      </c>
      <c r="AN38" s="265">
        <f t="shared" ref="AN38:AN69" si="3">AL38-AM38</f>
        <v>1</v>
      </c>
      <c r="AO38" s="245">
        <v>45042</v>
      </c>
      <c r="AP38" s="126" t="s">
        <v>273</v>
      </c>
      <c r="AQ38" s="117" t="s">
        <v>460</v>
      </c>
      <c r="AR38" s="129" t="s">
        <v>148</v>
      </c>
      <c r="AS38" s="118"/>
      <c r="AT38" s="125"/>
      <c r="AU38" s="125"/>
      <c r="AV38" s="126"/>
      <c r="AW38" s="125"/>
      <c r="AX38" s="127"/>
      <c r="AY38" s="127"/>
      <c r="AZ38" s="128"/>
      <c r="BA38" s="91"/>
      <c r="BB38" s="91"/>
      <c r="BC38" s="91"/>
    </row>
    <row r="39" spans="1:55" ht="28" hidden="1" customHeight="1">
      <c r="A39" s="162">
        <v>34</v>
      </c>
      <c r="B39" s="163">
        <v>45036</v>
      </c>
      <c r="C39" s="87" t="s">
        <v>134</v>
      </c>
      <c r="D39" s="87" t="s">
        <v>135</v>
      </c>
      <c r="E39" s="87" t="s">
        <v>136</v>
      </c>
      <c r="F39" s="92" t="s">
        <v>210</v>
      </c>
      <c r="G39" s="109" t="s">
        <v>244</v>
      </c>
      <c r="H39" s="164" t="s">
        <v>110</v>
      </c>
      <c r="I39" s="109" t="s">
        <v>245</v>
      </c>
      <c r="J39" s="165" t="s">
        <v>246</v>
      </c>
      <c r="K39" s="160" t="s">
        <v>80</v>
      </c>
      <c r="L39" s="160" t="s">
        <v>153</v>
      </c>
      <c r="M39" s="109" t="s">
        <v>154</v>
      </c>
      <c r="N39" s="109" t="s">
        <v>80</v>
      </c>
      <c r="O39" s="109" t="s">
        <v>155</v>
      </c>
      <c r="P39" s="123"/>
      <c r="Q39" s="124"/>
      <c r="R39" s="236">
        <f>0</f>
        <v>0</v>
      </c>
      <c r="S39" s="86">
        <f>0</f>
        <v>0</v>
      </c>
      <c r="T39" s="86">
        <f>0</f>
        <v>0</v>
      </c>
      <c r="U39" s="110">
        <v>1</v>
      </c>
      <c r="V39" s="86">
        <f>0</f>
        <v>0</v>
      </c>
      <c r="W39" s="86">
        <f>0</f>
        <v>0</v>
      </c>
      <c r="X39" s="86">
        <f>0</f>
        <v>0</v>
      </c>
      <c r="Y39" s="86">
        <f>0</f>
        <v>0</v>
      </c>
      <c r="Z39" s="86">
        <f>0</f>
        <v>0</v>
      </c>
      <c r="AA39" s="237">
        <f>0</f>
        <v>0</v>
      </c>
      <c r="AB39" s="239">
        <f>0</f>
        <v>0</v>
      </c>
      <c r="AC39" s="86">
        <f>0</f>
        <v>0</v>
      </c>
      <c r="AD39" s="86">
        <f>0</f>
        <v>0</v>
      </c>
      <c r="AE39" s="86"/>
      <c r="AF39" s="86"/>
      <c r="AG39" s="86"/>
      <c r="AH39" s="86"/>
      <c r="AI39" s="86"/>
      <c r="AJ39" s="86"/>
      <c r="AK39" s="237"/>
      <c r="AL39" s="263">
        <f t="shared" si="2"/>
        <v>1</v>
      </c>
      <c r="AM39" s="111">
        <f>0</f>
        <v>0</v>
      </c>
      <c r="AN39" s="265">
        <f t="shared" si="3"/>
        <v>1</v>
      </c>
      <c r="AO39" s="245">
        <v>45042</v>
      </c>
      <c r="AP39" s="126" t="s">
        <v>273</v>
      </c>
      <c r="AQ39" s="117" t="s">
        <v>460</v>
      </c>
      <c r="AR39" s="129" t="s">
        <v>148</v>
      </c>
      <c r="AS39" s="118"/>
      <c r="AT39" s="125"/>
      <c r="AU39" s="125"/>
      <c r="AV39" s="126"/>
      <c r="AW39" s="125"/>
      <c r="AX39" s="127"/>
      <c r="AY39" s="127"/>
      <c r="AZ39" s="128"/>
      <c r="BA39" s="91"/>
      <c r="BB39" s="91"/>
      <c r="BC39" s="91"/>
    </row>
    <row r="40" spans="1:55" ht="28" hidden="1" customHeight="1">
      <c r="A40" s="162">
        <v>35</v>
      </c>
      <c r="B40" s="163">
        <v>45036</v>
      </c>
      <c r="C40" s="87" t="s">
        <v>134</v>
      </c>
      <c r="D40" s="87" t="s">
        <v>135</v>
      </c>
      <c r="E40" s="87" t="s">
        <v>136</v>
      </c>
      <c r="F40" s="92" t="s">
        <v>210</v>
      </c>
      <c r="G40" s="109" t="s">
        <v>247</v>
      </c>
      <c r="H40" s="164" t="s">
        <v>110</v>
      </c>
      <c r="I40" s="109" t="s">
        <v>248</v>
      </c>
      <c r="J40" s="165" t="s">
        <v>249</v>
      </c>
      <c r="K40" s="160" t="s">
        <v>80</v>
      </c>
      <c r="L40" s="160" t="s">
        <v>168</v>
      </c>
      <c r="M40" s="109" t="s">
        <v>154</v>
      </c>
      <c r="N40" s="109"/>
      <c r="O40" s="109" t="s">
        <v>149</v>
      </c>
      <c r="P40" s="123"/>
      <c r="Q40" s="124"/>
      <c r="R40" s="236">
        <f>0</f>
        <v>0</v>
      </c>
      <c r="S40" s="86">
        <f>0</f>
        <v>0</v>
      </c>
      <c r="T40" s="86">
        <f>0</f>
        <v>0</v>
      </c>
      <c r="U40" s="110">
        <v>1</v>
      </c>
      <c r="V40" s="86">
        <f>0</f>
        <v>0</v>
      </c>
      <c r="W40" s="86">
        <f>0</f>
        <v>0</v>
      </c>
      <c r="X40" s="86">
        <f>0</f>
        <v>0</v>
      </c>
      <c r="Y40" s="86">
        <f>0</f>
        <v>0</v>
      </c>
      <c r="Z40" s="86">
        <f>0</f>
        <v>0</v>
      </c>
      <c r="AA40" s="237">
        <f>0</f>
        <v>0</v>
      </c>
      <c r="AB40" s="239">
        <f>0</f>
        <v>0</v>
      </c>
      <c r="AC40" s="86">
        <f>0</f>
        <v>0</v>
      </c>
      <c r="AD40" s="86">
        <f>0</f>
        <v>0</v>
      </c>
      <c r="AE40" s="86"/>
      <c r="AF40" s="86"/>
      <c r="AG40" s="86"/>
      <c r="AH40" s="86"/>
      <c r="AI40" s="86"/>
      <c r="AJ40" s="86"/>
      <c r="AK40" s="237"/>
      <c r="AL40" s="263">
        <f t="shared" si="2"/>
        <v>1</v>
      </c>
      <c r="AM40" s="111">
        <f>0</f>
        <v>0</v>
      </c>
      <c r="AN40" s="265">
        <f t="shared" si="3"/>
        <v>1</v>
      </c>
      <c r="AO40" s="246">
        <v>45057</v>
      </c>
      <c r="AP40" s="126" t="s">
        <v>273</v>
      </c>
      <c r="AQ40" s="117" t="s">
        <v>461</v>
      </c>
      <c r="AR40" s="129" t="s">
        <v>148</v>
      </c>
      <c r="AS40" s="118"/>
      <c r="AT40" s="125"/>
      <c r="AU40" s="125"/>
      <c r="AV40" s="126"/>
      <c r="AW40" s="125"/>
      <c r="AX40" s="127"/>
      <c r="AY40" s="127"/>
      <c r="AZ40" s="128"/>
      <c r="BA40" s="91"/>
      <c r="BB40" s="91"/>
      <c r="BC40" s="91"/>
    </row>
    <row r="41" spans="1:55" ht="28" hidden="1" customHeight="1">
      <c r="A41" s="162">
        <v>36</v>
      </c>
      <c r="B41" s="163">
        <v>45040</v>
      </c>
      <c r="C41" s="87" t="s">
        <v>134</v>
      </c>
      <c r="D41" s="87" t="s">
        <v>135</v>
      </c>
      <c r="E41" s="87" t="s">
        <v>136</v>
      </c>
      <c r="F41" s="92" t="s">
        <v>210</v>
      </c>
      <c r="G41" s="109" t="s">
        <v>252</v>
      </c>
      <c r="H41" s="164" t="s">
        <v>110</v>
      </c>
      <c r="I41" s="109" t="s">
        <v>253</v>
      </c>
      <c r="J41" s="165" t="s">
        <v>254</v>
      </c>
      <c r="K41" s="160" t="s">
        <v>80</v>
      </c>
      <c r="L41" s="160" t="s">
        <v>153</v>
      </c>
      <c r="M41" s="109" t="s">
        <v>154</v>
      </c>
      <c r="N41" s="109" t="s">
        <v>80</v>
      </c>
      <c r="O41" s="109" t="s">
        <v>155</v>
      </c>
      <c r="P41" s="123"/>
      <c r="Q41" s="124"/>
      <c r="R41" s="236">
        <f>0</f>
        <v>0</v>
      </c>
      <c r="S41" s="86">
        <f>0</f>
        <v>0</v>
      </c>
      <c r="T41" s="86">
        <f>0</f>
        <v>0</v>
      </c>
      <c r="U41" s="110">
        <v>1</v>
      </c>
      <c r="V41" s="86">
        <f>0</f>
        <v>0</v>
      </c>
      <c r="W41" s="86">
        <f>0</f>
        <v>0</v>
      </c>
      <c r="X41" s="86">
        <f>0</f>
        <v>0</v>
      </c>
      <c r="Y41" s="86">
        <f>0</f>
        <v>0</v>
      </c>
      <c r="Z41" s="86">
        <f>0</f>
        <v>0</v>
      </c>
      <c r="AA41" s="237">
        <f>0</f>
        <v>0</v>
      </c>
      <c r="AB41" s="239">
        <f>0</f>
        <v>0</v>
      </c>
      <c r="AC41" s="86">
        <f>0</f>
        <v>0</v>
      </c>
      <c r="AD41" s="86">
        <f>0</f>
        <v>0</v>
      </c>
      <c r="AE41" s="86"/>
      <c r="AF41" s="86"/>
      <c r="AG41" s="86"/>
      <c r="AH41" s="86"/>
      <c r="AI41" s="86"/>
      <c r="AJ41" s="86"/>
      <c r="AK41" s="237"/>
      <c r="AL41" s="263">
        <f t="shared" si="2"/>
        <v>1</v>
      </c>
      <c r="AM41" s="111">
        <f>0</f>
        <v>0</v>
      </c>
      <c r="AN41" s="265">
        <f t="shared" si="3"/>
        <v>1</v>
      </c>
      <c r="AO41" s="245">
        <v>45042</v>
      </c>
      <c r="AP41" s="126" t="s">
        <v>273</v>
      </c>
      <c r="AQ41" s="117" t="s">
        <v>460</v>
      </c>
      <c r="AR41" s="129" t="s">
        <v>148</v>
      </c>
      <c r="AS41" s="118"/>
      <c r="AT41" s="125"/>
      <c r="AU41" s="125">
        <v>1</v>
      </c>
      <c r="AV41" s="126"/>
      <c r="AW41" s="125" t="s">
        <v>459</v>
      </c>
      <c r="AX41" s="127"/>
      <c r="AY41" s="127"/>
      <c r="AZ41" s="128"/>
      <c r="BA41" s="91"/>
      <c r="BB41" s="91"/>
      <c r="BC41" s="91"/>
    </row>
    <row r="42" spans="1:55" ht="28" hidden="1" customHeight="1">
      <c r="A42" s="162">
        <v>37</v>
      </c>
      <c r="B42" s="163">
        <v>45040</v>
      </c>
      <c r="C42" s="87" t="s">
        <v>134</v>
      </c>
      <c r="D42" s="87" t="s">
        <v>135</v>
      </c>
      <c r="E42" s="87" t="s">
        <v>136</v>
      </c>
      <c r="F42" s="92" t="s">
        <v>210</v>
      </c>
      <c r="G42" s="109" t="s">
        <v>255</v>
      </c>
      <c r="H42" s="164" t="s">
        <v>110</v>
      </c>
      <c r="I42" s="109" t="s">
        <v>256</v>
      </c>
      <c r="J42" s="165" t="s">
        <v>257</v>
      </c>
      <c r="K42" s="160"/>
      <c r="L42" s="160" t="s">
        <v>193</v>
      </c>
      <c r="M42" s="109" t="s">
        <v>154</v>
      </c>
      <c r="N42" s="109" t="s">
        <v>212</v>
      </c>
      <c r="O42" s="109" t="s">
        <v>258</v>
      </c>
      <c r="P42" s="123"/>
      <c r="Q42" s="124"/>
      <c r="R42" s="236">
        <f>0</f>
        <v>0</v>
      </c>
      <c r="S42" s="86">
        <f>0</f>
        <v>0</v>
      </c>
      <c r="T42" s="86">
        <f>0</f>
        <v>0</v>
      </c>
      <c r="U42" s="110">
        <v>4</v>
      </c>
      <c r="V42" s="86">
        <f>0</f>
        <v>0</v>
      </c>
      <c r="W42" s="86">
        <f>0</f>
        <v>0</v>
      </c>
      <c r="X42" s="86">
        <f>0</f>
        <v>0</v>
      </c>
      <c r="Y42" s="86">
        <f>0</f>
        <v>0</v>
      </c>
      <c r="Z42" s="86">
        <f>0</f>
        <v>0</v>
      </c>
      <c r="AA42" s="237">
        <f>0</f>
        <v>0</v>
      </c>
      <c r="AB42" s="239">
        <f>0</f>
        <v>0</v>
      </c>
      <c r="AC42" s="86">
        <f>0</f>
        <v>0</v>
      </c>
      <c r="AD42" s="86">
        <f>0</f>
        <v>0</v>
      </c>
      <c r="AE42" s="86"/>
      <c r="AF42" s="86"/>
      <c r="AG42" s="86"/>
      <c r="AH42" s="86"/>
      <c r="AI42" s="86"/>
      <c r="AJ42" s="86"/>
      <c r="AK42" s="237"/>
      <c r="AL42" s="263">
        <f t="shared" si="2"/>
        <v>4</v>
      </c>
      <c r="AM42" s="111">
        <f>0</f>
        <v>0</v>
      </c>
      <c r="AN42" s="265">
        <f t="shared" si="3"/>
        <v>4</v>
      </c>
      <c r="AO42" s="245">
        <v>45042</v>
      </c>
      <c r="AP42" s="126" t="s">
        <v>273</v>
      </c>
      <c r="AQ42" s="117" t="s">
        <v>460</v>
      </c>
      <c r="AR42" s="129" t="s">
        <v>148</v>
      </c>
      <c r="AS42" s="118"/>
      <c r="AT42" s="125"/>
      <c r="AU42" s="125">
        <v>4</v>
      </c>
      <c r="AV42" s="126"/>
      <c r="AW42" s="125" t="s">
        <v>459</v>
      </c>
      <c r="AX42" s="127"/>
      <c r="AY42" s="127"/>
      <c r="AZ42" s="128"/>
      <c r="BA42" s="91"/>
      <c r="BB42" s="91"/>
      <c r="BC42" s="91"/>
    </row>
    <row r="43" spans="1:55" ht="28" hidden="1" customHeight="1">
      <c r="A43" s="162">
        <v>38</v>
      </c>
      <c r="B43" s="163">
        <v>45040</v>
      </c>
      <c r="C43" s="87" t="s">
        <v>134</v>
      </c>
      <c r="D43" s="87" t="s">
        <v>135</v>
      </c>
      <c r="E43" s="87" t="s">
        <v>136</v>
      </c>
      <c r="F43" s="92" t="s">
        <v>210</v>
      </c>
      <c r="G43" s="109" t="s">
        <v>259</v>
      </c>
      <c r="H43" s="164" t="s">
        <v>110</v>
      </c>
      <c r="I43" s="109" t="s">
        <v>260</v>
      </c>
      <c r="J43" s="165" t="s">
        <v>261</v>
      </c>
      <c r="K43" s="160" t="s">
        <v>80</v>
      </c>
      <c r="L43" s="160" t="s">
        <v>193</v>
      </c>
      <c r="M43" s="109" t="s">
        <v>154</v>
      </c>
      <c r="N43" s="109" t="s">
        <v>80</v>
      </c>
      <c r="O43" s="109" t="s">
        <v>258</v>
      </c>
      <c r="P43" s="123"/>
      <c r="Q43" s="124"/>
      <c r="R43" s="236">
        <f>0</f>
        <v>0</v>
      </c>
      <c r="S43" s="86">
        <f>0</f>
        <v>0</v>
      </c>
      <c r="T43" s="86">
        <f>0</f>
        <v>0</v>
      </c>
      <c r="U43" s="110">
        <v>2</v>
      </c>
      <c r="V43" s="86">
        <f>0</f>
        <v>0</v>
      </c>
      <c r="W43" s="86">
        <f>0</f>
        <v>0</v>
      </c>
      <c r="X43" s="86">
        <f>0</f>
        <v>0</v>
      </c>
      <c r="Y43" s="86">
        <f>0</f>
        <v>0</v>
      </c>
      <c r="Z43" s="86">
        <f>0</f>
        <v>0</v>
      </c>
      <c r="AA43" s="237">
        <f>0</f>
        <v>0</v>
      </c>
      <c r="AB43" s="239">
        <f>0</f>
        <v>0</v>
      </c>
      <c r="AC43" s="86">
        <f>0</f>
        <v>0</v>
      </c>
      <c r="AD43" s="86">
        <f>0</f>
        <v>0</v>
      </c>
      <c r="AE43" s="86"/>
      <c r="AF43" s="86"/>
      <c r="AG43" s="86"/>
      <c r="AH43" s="86"/>
      <c r="AI43" s="86"/>
      <c r="AJ43" s="86"/>
      <c r="AK43" s="237"/>
      <c r="AL43" s="263">
        <f t="shared" si="2"/>
        <v>2</v>
      </c>
      <c r="AM43" s="111">
        <f>0</f>
        <v>0</v>
      </c>
      <c r="AN43" s="265">
        <f t="shared" si="3"/>
        <v>2</v>
      </c>
      <c r="AO43" s="245">
        <v>45042</v>
      </c>
      <c r="AP43" s="126" t="s">
        <v>273</v>
      </c>
      <c r="AQ43" s="117" t="s">
        <v>460</v>
      </c>
      <c r="AR43" s="129" t="s">
        <v>148</v>
      </c>
      <c r="AS43" s="118"/>
      <c r="AT43" s="125"/>
      <c r="AU43" s="125">
        <v>2</v>
      </c>
      <c r="AV43" s="126"/>
      <c r="AW43" s="125" t="s">
        <v>459</v>
      </c>
      <c r="AX43" s="127"/>
      <c r="AY43" s="127"/>
      <c r="AZ43" s="128"/>
      <c r="BA43" s="91"/>
      <c r="BB43" s="91"/>
      <c r="BC43" s="91"/>
    </row>
    <row r="44" spans="1:55" ht="28" hidden="1" customHeight="1">
      <c r="A44" s="156">
        <v>39</v>
      </c>
      <c r="B44" s="157">
        <v>45040</v>
      </c>
      <c r="C44" s="87" t="s">
        <v>134</v>
      </c>
      <c r="D44" s="87" t="s">
        <v>135</v>
      </c>
      <c r="E44" s="87" t="s">
        <v>136</v>
      </c>
      <c r="F44" s="96" t="s">
        <v>210</v>
      </c>
      <c r="G44" s="123" t="s">
        <v>262</v>
      </c>
      <c r="H44" s="158" t="s">
        <v>110</v>
      </c>
      <c r="I44" s="123" t="s">
        <v>263</v>
      </c>
      <c r="J44" s="159" t="s">
        <v>264</v>
      </c>
      <c r="K44" s="160"/>
      <c r="L44" s="161" t="s">
        <v>209</v>
      </c>
      <c r="M44" s="123" t="s">
        <v>114</v>
      </c>
      <c r="N44" s="123"/>
      <c r="O44" s="123" t="s">
        <v>80</v>
      </c>
      <c r="P44" s="123"/>
      <c r="Q44" s="124"/>
      <c r="R44" s="236">
        <f>0</f>
        <v>0</v>
      </c>
      <c r="S44" s="86">
        <f>0</f>
        <v>0</v>
      </c>
      <c r="T44" s="86">
        <f>0</f>
        <v>0</v>
      </c>
      <c r="U44" s="110">
        <v>5</v>
      </c>
      <c r="V44" s="86">
        <f>0</f>
        <v>0</v>
      </c>
      <c r="W44" s="86">
        <f>0</f>
        <v>0</v>
      </c>
      <c r="X44" s="86">
        <f>0</f>
        <v>0</v>
      </c>
      <c r="Y44" s="86">
        <f>0</f>
        <v>0</v>
      </c>
      <c r="Z44" s="86">
        <f>0</f>
        <v>0</v>
      </c>
      <c r="AA44" s="237">
        <f>0</f>
        <v>0</v>
      </c>
      <c r="AB44" s="239">
        <f>0</f>
        <v>0</v>
      </c>
      <c r="AC44" s="86">
        <f>0</f>
        <v>0</v>
      </c>
      <c r="AD44" s="86">
        <f>0</f>
        <v>0</v>
      </c>
      <c r="AE44" s="86"/>
      <c r="AF44" s="86"/>
      <c r="AG44" s="86"/>
      <c r="AH44" s="86"/>
      <c r="AI44" s="86"/>
      <c r="AJ44" s="86"/>
      <c r="AK44" s="237"/>
      <c r="AL44" s="263">
        <f t="shared" si="2"/>
        <v>5</v>
      </c>
      <c r="AM44" s="111">
        <f>0</f>
        <v>0</v>
      </c>
      <c r="AN44" s="264">
        <f t="shared" si="3"/>
        <v>5</v>
      </c>
      <c r="AO44" s="244">
        <v>45042</v>
      </c>
      <c r="AP44" s="126" t="s">
        <v>273</v>
      </c>
      <c r="AQ44" s="121" t="s">
        <v>277</v>
      </c>
      <c r="AR44" s="122" t="s">
        <v>276</v>
      </c>
      <c r="AS44" s="118"/>
      <c r="AT44" s="125"/>
      <c r="AU44" s="125">
        <v>5</v>
      </c>
      <c r="AV44" s="126"/>
      <c r="AW44" s="125" t="s">
        <v>459</v>
      </c>
      <c r="AX44" s="127"/>
      <c r="AY44" s="127"/>
      <c r="AZ44" s="128"/>
      <c r="BA44" s="91"/>
      <c r="BB44" s="91"/>
      <c r="BC44" s="91"/>
    </row>
    <row r="45" spans="1:55" ht="28" hidden="1" customHeight="1">
      <c r="A45" s="162">
        <v>40</v>
      </c>
      <c r="B45" s="163">
        <v>45040</v>
      </c>
      <c r="C45" s="87" t="s">
        <v>134</v>
      </c>
      <c r="D45" s="87" t="s">
        <v>135</v>
      </c>
      <c r="E45" s="87" t="s">
        <v>136</v>
      </c>
      <c r="F45" s="92" t="s">
        <v>265</v>
      </c>
      <c r="G45" s="109" t="s">
        <v>268</v>
      </c>
      <c r="H45" s="164" t="s">
        <v>110</v>
      </c>
      <c r="I45" s="109" t="s">
        <v>267</v>
      </c>
      <c r="J45" s="165" t="s">
        <v>266</v>
      </c>
      <c r="K45" s="160"/>
      <c r="L45" s="160" t="s">
        <v>153</v>
      </c>
      <c r="M45" s="109" t="s">
        <v>154</v>
      </c>
      <c r="N45" s="109"/>
      <c r="O45" s="109" t="s">
        <v>155</v>
      </c>
      <c r="P45" s="123"/>
      <c r="Q45" s="92"/>
      <c r="R45" s="236">
        <f>0</f>
        <v>0</v>
      </c>
      <c r="S45" s="86">
        <f>0</f>
        <v>0</v>
      </c>
      <c r="T45" s="86">
        <f>0</f>
        <v>0</v>
      </c>
      <c r="U45" s="94">
        <v>1</v>
      </c>
      <c r="V45" s="86">
        <f>0</f>
        <v>0</v>
      </c>
      <c r="W45" s="86">
        <f>0</f>
        <v>0</v>
      </c>
      <c r="X45" s="86">
        <f>0</f>
        <v>0</v>
      </c>
      <c r="Y45" s="86">
        <f>0</f>
        <v>0</v>
      </c>
      <c r="Z45" s="86">
        <f>0</f>
        <v>0</v>
      </c>
      <c r="AA45" s="237">
        <f>0</f>
        <v>0</v>
      </c>
      <c r="AB45" s="239">
        <f>0</f>
        <v>0</v>
      </c>
      <c r="AC45" s="86">
        <f>0</f>
        <v>0</v>
      </c>
      <c r="AD45" s="86">
        <f>0</f>
        <v>0</v>
      </c>
      <c r="AE45" s="86"/>
      <c r="AF45" s="86"/>
      <c r="AG45" s="86"/>
      <c r="AH45" s="86"/>
      <c r="AI45" s="86"/>
      <c r="AJ45" s="86"/>
      <c r="AK45" s="237"/>
      <c r="AL45" s="263">
        <f t="shared" si="2"/>
        <v>1</v>
      </c>
      <c r="AM45" s="111">
        <f>0</f>
        <v>0</v>
      </c>
      <c r="AN45" s="265">
        <f t="shared" si="3"/>
        <v>1</v>
      </c>
      <c r="AO45" s="245">
        <v>45042</v>
      </c>
      <c r="AP45" s="126" t="s">
        <v>273</v>
      </c>
      <c r="AQ45" s="117" t="s">
        <v>460</v>
      </c>
      <c r="AR45" s="129" t="s">
        <v>148</v>
      </c>
      <c r="AS45" s="118"/>
      <c r="AT45" s="125"/>
      <c r="AU45" s="125"/>
      <c r="AV45" s="126"/>
      <c r="AW45" s="125"/>
      <c r="AX45" s="127"/>
      <c r="AY45" s="127"/>
      <c r="AZ45" s="128"/>
      <c r="BA45" s="91"/>
      <c r="BB45" s="91"/>
      <c r="BC45" s="91"/>
    </row>
    <row r="46" spans="1:55" ht="28" hidden="1" customHeight="1">
      <c r="A46" s="162">
        <v>41</v>
      </c>
      <c r="B46" s="163">
        <v>45040</v>
      </c>
      <c r="C46" s="88"/>
      <c r="D46" s="88"/>
      <c r="E46" s="89"/>
      <c r="F46" s="92" t="s">
        <v>265</v>
      </c>
      <c r="G46" s="109" t="s">
        <v>269</v>
      </c>
      <c r="H46" s="164" t="s">
        <v>110</v>
      </c>
      <c r="I46" s="109" t="s">
        <v>267</v>
      </c>
      <c r="J46" s="165" t="s">
        <v>270</v>
      </c>
      <c r="K46" s="160"/>
      <c r="L46" s="160" t="s">
        <v>153</v>
      </c>
      <c r="M46" s="109" t="s">
        <v>154</v>
      </c>
      <c r="N46" s="109"/>
      <c r="O46" s="109" t="s">
        <v>155</v>
      </c>
      <c r="P46" s="123"/>
      <c r="Q46" s="92"/>
      <c r="R46" s="236">
        <f>0</f>
        <v>0</v>
      </c>
      <c r="S46" s="86">
        <f>0</f>
        <v>0</v>
      </c>
      <c r="T46" s="86">
        <f>0</f>
        <v>0</v>
      </c>
      <c r="U46" s="94">
        <v>1</v>
      </c>
      <c r="V46" s="86">
        <f>0</f>
        <v>0</v>
      </c>
      <c r="W46" s="86">
        <f>0</f>
        <v>0</v>
      </c>
      <c r="X46" s="86">
        <f>0</f>
        <v>0</v>
      </c>
      <c r="Y46" s="86">
        <f>0</f>
        <v>0</v>
      </c>
      <c r="Z46" s="86">
        <f>0</f>
        <v>0</v>
      </c>
      <c r="AA46" s="237">
        <f>0</f>
        <v>0</v>
      </c>
      <c r="AB46" s="239">
        <f>0</f>
        <v>0</v>
      </c>
      <c r="AC46" s="86">
        <f>0</f>
        <v>0</v>
      </c>
      <c r="AD46" s="86">
        <f>0</f>
        <v>0</v>
      </c>
      <c r="AE46" s="86"/>
      <c r="AF46" s="86"/>
      <c r="AG46" s="86"/>
      <c r="AH46" s="86"/>
      <c r="AI46" s="86"/>
      <c r="AJ46" s="86"/>
      <c r="AK46" s="237"/>
      <c r="AL46" s="263">
        <f t="shared" si="2"/>
        <v>1</v>
      </c>
      <c r="AM46" s="111">
        <f>0</f>
        <v>0</v>
      </c>
      <c r="AN46" s="265">
        <f t="shared" si="3"/>
        <v>1</v>
      </c>
      <c r="AO46" s="245">
        <v>45042</v>
      </c>
      <c r="AP46" s="126" t="s">
        <v>273</v>
      </c>
      <c r="AQ46" s="117" t="s">
        <v>460</v>
      </c>
      <c r="AR46" s="129" t="s">
        <v>148</v>
      </c>
      <c r="AS46" s="118"/>
      <c r="AT46" s="125"/>
      <c r="AU46" s="125"/>
      <c r="AV46" s="126"/>
      <c r="AW46" s="125"/>
      <c r="AX46" s="127"/>
      <c r="AY46" s="127"/>
      <c r="AZ46" s="128"/>
      <c r="BA46" s="91"/>
      <c r="BB46" s="91"/>
      <c r="BC46" s="91"/>
    </row>
    <row r="47" spans="1:55" ht="28" hidden="1" customHeight="1">
      <c r="A47" s="156">
        <v>42</v>
      </c>
      <c r="B47" s="157">
        <v>45042</v>
      </c>
      <c r="C47" s="87" t="s">
        <v>134</v>
      </c>
      <c r="D47" s="87" t="s">
        <v>135</v>
      </c>
      <c r="E47" s="87" t="s">
        <v>136</v>
      </c>
      <c r="F47" s="123" t="s">
        <v>210</v>
      </c>
      <c r="G47" s="158" t="s">
        <v>274</v>
      </c>
      <c r="H47" s="158" t="s">
        <v>110</v>
      </c>
      <c r="I47" s="123" t="s">
        <v>267</v>
      </c>
      <c r="J47" s="166" t="s">
        <v>275</v>
      </c>
      <c r="K47" s="160"/>
      <c r="L47" s="123" t="s">
        <v>119</v>
      </c>
      <c r="M47" s="123" t="s">
        <v>114</v>
      </c>
      <c r="N47" s="123"/>
      <c r="O47" s="123" t="s">
        <v>120</v>
      </c>
      <c r="P47" s="123"/>
      <c r="Q47" s="124"/>
      <c r="R47" s="236">
        <f>0</f>
        <v>0</v>
      </c>
      <c r="S47" s="86">
        <f>0</f>
        <v>0</v>
      </c>
      <c r="T47" s="86">
        <f>0</f>
        <v>0</v>
      </c>
      <c r="U47" s="94">
        <v>1</v>
      </c>
      <c r="V47" s="86">
        <f>0</f>
        <v>0</v>
      </c>
      <c r="W47" s="86">
        <f>0</f>
        <v>0</v>
      </c>
      <c r="X47" s="86">
        <f>0</f>
        <v>0</v>
      </c>
      <c r="Y47" s="86">
        <f>0</f>
        <v>0</v>
      </c>
      <c r="Z47" s="86">
        <f>0</f>
        <v>0</v>
      </c>
      <c r="AA47" s="237">
        <f>0</f>
        <v>0</v>
      </c>
      <c r="AB47" s="239">
        <f>0</f>
        <v>0</v>
      </c>
      <c r="AC47" s="86">
        <f>0</f>
        <v>0</v>
      </c>
      <c r="AD47" s="86">
        <f>0</f>
        <v>0</v>
      </c>
      <c r="AE47" s="86"/>
      <c r="AF47" s="86"/>
      <c r="AG47" s="86"/>
      <c r="AH47" s="86"/>
      <c r="AI47" s="86"/>
      <c r="AJ47" s="86"/>
      <c r="AK47" s="237"/>
      <c r="AL47" s="263">
        <f t="shared" si="2"/>
        <v>1</v>
      </c>
      <c r="AM47" s="111">
        <f>0</f>
        <v>0</v>
      </c>
      <c r="AN47" s="264">
        <f t="shared" si="3"/>
        <v>1</v>
      </c>
      <c r="AO47" s="244">
        <v>45042</v>
      </c>
      <c r="AP47" s="126" t="s">
        <v>273</v>
      </c>
      <c r="AQ47" s="121" t="s">
        <v>277</v>
      </c>
      <c r="AR47" s="122" t="s">
        <v>276</v>
      </c>
      <c r="AS47" s="118"/>
      <c r="AT47" s="125"/>
      <c r="AU47" s="125">
        <v>1</v>
      </c>
      <c r="AV47" s="126"/>
      <c r="AW47" s="125" t="s">
        <v>459</v>
      </c>
      <c r="AX47" s="127"/>
      <c r="AY47" s="127"/>
      <c r="AZ47" s="128"/>
      <c r="BA47" s="91"/>
      <c r="BB47" s="91"/>
      <c r="BC47" s="91"/>
    </row>
    <row r="48" spans="1:55" ht="28" hidden="1" customHeight="1">
      <c r="A48" s="156">
        <v>43</v>
      </c>
      <c r="B48" s="167">
        <v>45054</v>
      </c>
      <c r="C48" s="87" t="s">
        <v>134</v>
      </c>
      <c r="D48" s="87" t="s">
        <v>135</v>
      </c>
      <c r="E48" s="87" t="s">
        <v>136</v>
      </c>
      <c r="F48" s="168" t="s">
        <v>432</v>
      </c>
      <c r="G48" s="169" t="s">
        <v>278</v>
      </c>
      <c r="H48" s="207" t="s">
        <v>279</v>
      </c>
      <c r="I48" s="208" t="s">
        <v>280</v>
      </c>
      <c r="J48" s="170" t="s">
        <v>457</v>
      </c>
      <c r="K48" s="161" t="s">
        <v>433</v>
      </c>
      <c r="L48" s="161" t="s">
        <v>281</v>
      </c>
      <c r="M48" s="123" t="s">
        <v>148</v>
      </c>
      <c r="N48" s="123" t="s">
        <v>212</v>
      </c>
      <c r="O48" s="123" t="s">
        <v>149</v>
      </c>
      <c r="P48" s="123"/>
      <c r="Q48" s="124"/>
      <c r="R48" s="236">
        <f>0</f>
        <v>0</v>
      </c>
      <c r="S48" s="86">
        <f>0</f>
        <v>0</v>
      </c>
      <c r="T48" s="86">
        <f>0</f>
        <v>0</v>
      </c>
      <c r="U48" s="86">
        <f>0</f>
        <v>0</v>
      </c>
      <c r="V48" s="94">
        <v>8</v>
      </c>
      <c r="W48" s="86">
        <f>0</f>
        <v>0</v>
      </c>
      <c r="X48" s="86">
        <f>0</f>
        <v>0</v>
      </c>
      <c r="Y48" s="86">
        <f>0</f>
        <v>0</v>
      </c>
      <c r="Z48" s="86">
        <f>0</f>
        <v>0</v>
      </c>
      <c r="AA48" s="237">
        <f>0</f>
        <v>0</v>
      </c>
      <c r="AB48" s="239">
        <f>0</f>
        <v>0</v>
      </c>
      <c r="AC48" s="86">
        <f>0</f>
        <v>0</v>
      </c>
      <c r="AD48" s="86">
        <f>0</f>
        <v>0</v>
      </c>
      <c r="AE48" s="86"/>
      <c r="AF48" s="86"/>
      <c r="AG48" s="86"/>
      <c r="AH48" s="86"/>
      <c r="AI48" s="86"/>
      <c r="AJ48" s="86"/>
      <c r="AK48" s="237"/>
      <c r="AL48" s="263">
        <f t="shared" si="2"/>
        <v>8</v>
      </c>
      <c r="AM48" s="111">
        <f>0</f>
        <v>0</v>
      </c>
      <c r="AN48" s="266">
        <f t="shared" si="3"/>
        <v>8</v>
      </c>
      <c r="AO48" s="246">
        <v>45057</v>
      </c>
      <c r="AP48" s="126" t="s">
        <v>273</v>
      </c>
      <c r="AQ48" s="117" t="s">
        <v>461</v>
      </c>
      <c r="AR48" s="129" t="s">
        <v>148</v>
      </c>
      <c r="AS48" s="118"/>
      <c r="AT48" s="125"/>
      <c r="AU48" s="125">
        <v>8</v>
      </c>
      <c r="AV48" s="126"/>
      <c r="AW48" s="125" t="s">
        <v>459</v>
      </c>
      <c r="AX48" s="127"/>
      <c r="AY48" s="127"/>
      <c r="AZ48" s="128"/>
      <c r="BA48" s="91"/>
      <c r="BB48" s="91"/>
      <c r="BC48" s="91"/>
    </row>
    <row r="49" spans="1:55" ht="28" hidden="1" customHeight="1">
      <c r="A49" s="156">
        <v>44</v>
      </c>
      <c r="B49" s="167">
        <v>45054</v>
      </c>
      <c r="C49" s="87" t="s">
        <v>134</v>
      </c>
      <c r="D49" s="87" t="s">
        <v>135</v>
      </c>
      <c r="E49" s="87" t="s">
        <v>136</v>
      </c>
      <c r="F49" s="168" t="s">
        <v>432</v>
      </c>
      <c r="G49" s="169" t="s">
        <v>282</v>
      </c>
      <c r="H49" s="207" t="s">
        <v>283</v>
      </c>
      <c r="I49" s="208" t="s">
        <v>284</v>
      </c>
      <c r="J49" s="170" t="s">
        <v>456</v>
      </c>
      <c r="K49" s="161" t="s">
        <v>282</v>
      </c>
      <c r="L49" s="161" t="s">
        <v>281</v>
      </c>
      <c r="M49" s="123" t="s">
        <v>148</v>
      </c>
      <c r="N49" s="123" t="s">
        <v>212</v>
      </c>
      <c r="O49" s="123" t="s">
        <v>149</v>
      </c>
      <c r="P49" s="123"/>
      <c r="Q49" s="124"/>
      <c r="R49" s="236">
        <f>0</f>
        <v>0</v>
      </c>
      <c r="S49" s="86">
        <f>0</f>
        <v>0</v>
      </c>
      <c r="T49" s="86">
        <f>0</f>
        <v>0</v>
      </c>
      <c r="U49" s="86">
        <f>0</f>
        <v>0</v>
      </c>
      <c r="V49" s="94">
        <v>1</v>
      </c>
      <c r="W49" s="86">
        <f>0</f>
        <v>0</v>
      </c>
      <c r="X49" s="86">
        <f>0</f>
        <v>0</v>
      </c>
      <c r="Y49" s="86">
        <f>0</f>
        <v>0</v>
      </c>
      <c r="Z49" s="86">
        <f>0</f>
        <v>0</v>
      </c>
      <c r="AA49" s="237">
        <f>0</f>
        <v>0</v>
      </c>
      <c r="AB49" s="239">
        <f>0</f>
        <v>0</v>
      </c>
      <c r="AC49" s="86">
        <f>0</f>
        <v>0</v>
      </c>
      <c r="AD49" s="86">
        <f>0</f>
        <v>0</v>
      </c>
      <c r="AE49" s="86"/>
      <c r="AF49" s="86"/>
      <c r="AG49" s="86"/>
      <c r="AH49" s="86"/>
      <c r="AI49" s="86"/>
      <c r="AJ49" s="86"/>
      <c r="AK49" s="237"/>
      <c r="AL49" s="263">
        <f t="shared" si="2"/>
        <v>1</v>
      </c>
      <c r="AM49" s="111">
        <f>0</f>
        <v>0</v>
      </c>
      <c r="AN49" s="266">
        <f t="shared" si="3"/>
        <v>1</v>
      </c>
      <c r="AO49" s="246">
        <v>45057</v>
      </c>
      <c r="AP49" s="126" t="s">
        <v>273</v>
      </c>
      <c r="AQ49" s="117" t="s">
        <v>461</v>
      </c>
      <c r="AR49" s="129" t="s">
        <v>148</v>
      </c>
      <c r="AS49" s="118"/>
      <c r="AT49" s="125"/>
      <c r="AU49" s="125">
        <v>1</v>
      </c>
      <c r="AV49" s="126"/>
      <c r="AW49" s="125" t="s">
        <v>459</v>
      </c>
      <c r="AX49" s="127"/>
      <c r="AY49" s="127"/>
      <c r="AZ49" s="128"/>
      <c r="BA49" s="91"/>
      <c r="BB49" s="91"/>
      <c r="BC49" s="91"/>
    </row>
    <row r="50" spans="1:55" ht="28" hidden="1" customHeight="1">
      <c r="A50" s="156">
        <v>45</v>
      </c>
      <c r="B50" s="167">
        <v>45054</v>
      </c>
      <c r="C50" s="87" t="s">
        <v>134</v>
      </c>
      <c r="D50" s="87" t="s">
        <v>135</v>
      </c>
      <c r="E50" s="87" t="s">
        <v>136</v>
      </c>
      <c r="F50" s="168" t="s">
        <v>432</v>
      </c>
      <c r="G50" s="169" t="s">
        <v>285</v>
      </c>
      <c r="H50" s="207" t="s">
        <v>110</v>
      </c>
      <c r="I50" s="208" t="s">
        <v>146</v>
      </c>
      <c r="J50" s="170" t="s">
        <v>455</v>
      </c>
      <c r="K50" s="161" t="s">
        <v>285</v>
      </c>
      <c r="L50" s="161" t="s">
        <v>147</v>
      </c>
      <c r="M50" s="123" t="s">
        <v>148</v>
      </c>
      <c r="N50" s="123" t="s">
        <v>80</v>
      </c>
      <c r="O50" s="123" t="s">
        <v>149</v>
      </c>
      <c r="P50" s="123"/>
      <c r="Q50" s="124"/>
      <c r="R50" s="236">
        <f>0</f>
        <v>0</v>
      </c>
      <c r="S50" s="86">
        <f>0</f>
        <v>0</v>
      </c>
      <c r="T50" s="86">
        <f>0</f>
        <v>0</v>
      </c>
      <c r="U50" s="86">
        <f>0</f>
        <v>0</v>
      </c>
      <c r="V50" s="94">
        <v>4</v>
      </c>
      <c r="W50" s="86">
        <f>0</f>
        <v>0</v>
      </c>
      <c r="X50" s="86">
        <f>0</f>
        <v>0</v>
      </c>
      <c r="Y50" s="86">
        <f>0</f>
        <v>0</v>
      </c>
      <c r="Z50" s="86">
        <f>0</f>
        <v>0</v>
      </c>
      <c r="AA50" s="237">
        <f>0</f>
        <v>0</v>
      </c>
      <c r="AB50" s="239">
        <f>0</f>
        <v>0</v>
      </c>
      <c r="AC50" s="86">
        <f>0</f>
        <v>0</v>
      </c>
      <c r="AD50" s="86">
        <f>0</f>
        <v>0</v>
      </c>
      <c r="AE50" s="86"/>
      <c r="AF50" s="86"/>
      <c r="AG50" s="86"/>
      <c r="AH50" s="86"/>
      <c r="AI50" s="86"/>
      <c r="AJ50" s="86"/>
      <c r="AK50" s="237"/>
      <c r="AL50" s="263">
        <f t="shared" si="2"/>
        <v>4</v>
      </c>
      <c r="AM50" s="111">
        <f>0</f>
        <v>0</v>
      </c>
      <c r="AN50" s="266">
        <f t="shared" si="3"/>
        <v>4</v>
      </c>
      <c r="AO50" s="246">
        <v>45057</v>
      </c>
      <c r="AP50" s="126" t="s">
        <v>273</v>
      </c>
      <c r="AQ50" s="117" t="s">
        <v>461</v>
      </c>
      <c r="AR50" s="129" t="s">
        <v>148</v>
      </c>
      <c r="AS50" s="118"/>
      <c r="AT50" s="125"/>
      <c r="AU50" s="125">
        <v>4</v>
      </c>
      <c r="AV50" s="126"/>
      <c r="AW50" s="125" t="s">
        <v>459</v>
      </c>
      <c r="AX50" s="127"/>
      <c r="AY50" s="127"/>
      <c r="AZ50" s="128"/>
      <c r="BA50" s="91"/>
      <c r="BB50" s="91"/>
      <c r="BC50" s="91"/>
    </row>
    <row r="51" spans="1:55" ht="28" hidden="1" customHeight="1">
      <c r="A51" s="156">
        <v>46</v>
      </c>
      <c r="B51" s="167">
        <v>45054</v>
      </c>
      <c r="C51" s="87" t="s">
        <v>134</v>
      </c>
      <c r="D51" s="87" t="s">
        <v>135</v>
      </c>
      <c r="E51" s="87" t="s">
        <v>136</v>
      </c>
      <c r="F51" s="168" t="s">
        <v>432</v>
      </c>
      <c r="G51" s="169" t="s">
        <v>286</v>
      </c>
      <c r="H51" s="207" t="s">
        <v>287</v>
      </c>
      <c r="I51" s="208" t="s">
        <v>146</v>
      </c>
      <c r="J51" s="170" t="s">
        <v>454</v>
      </c>
      <c r="K51" s="161" t="s">
        <v>288</v>
      </c>
      <c r="L51" s="161" t="s">
        <v>147</v>
      </c>
      <c r="M51" s="123" t="s">
        <v>148</v>
      </c>
      <c r="N51" s="123" t="s">
        <v>80</v>
      </c>
      <c r="O51" s="123" t="s">
        <v>149</v>
      </c>
      <c r="P51" s="123"/>
      <c r="Q51" s="124"/>
      <c r="R51" s="236">
        <f>0</f>
        <v>0</v>
      </c>
      <c r="S51" s="86">
        <f>0</f>
        <v>0</v>
      </c>
      <c r="T51" s="86">
        <f>0</f>
        <v>0</v>
      </c>
      <c r="U51" s="86">
        <f>0</f>
        <v>0</v>
      </c>
      <c r="V51" s="94">
        <v>4</v>
      </c>
      <c r="W51" s="86">
        <f>0</f>
        <v>0</v>
      </c>
      <c r="X51" s="86">
        <f>0</f>
        <v>0</v>
      </c>
      <c r="Y51" s="86">
        <f>0</f>
        <v>0</v>
      </c>
      <c r="Z51" s="86">
        <f>0</f>
        <v>0</v>
      </c>
      <c r="AA51" s="237">
        <f>0</f>
        <v>0</v>
      </c>
      <c r="AB51" s="239">
        <f>0</f>
        <v>0</v>
      </c>
      <c r="AC51" s="86">
        <f>0</f>
        <v>0</v>
      </c>
      <c r="AD51" s="86">
        <f>0</f>
        <v>0</v>
      </c>
      <c r="AE51" s="86"/>
      <c r="AF51" s="86"/>
      <c r="AG51" s="86"/>
      <c r="AH51" s="86"/>
      <c r="AI51" s="86"/>
      <c r="AJ51" s="86"/>
      <c r="AK51" s="237"/>
      <c r="AL51" s="263">
        <f t="shared" si="2"/>
        <v>4</v>
      </c>
      <c r="AM51" s="111">
        <f>0</f>
        <v>0</v>
      </c>
      <c r="AN51" s="266">
        <f t="shared" si="3"/>
        <v>4</v>
      </c>
      <c r="AO51" s="246">
        <v>45057</v>
      </c>
      <c r="AP51" s="126" t="s">
        <v>273</v>
      </c>
      <c r="AQ51" s="117" t="s">
        <v>461</v>
      </c>
      <c r="AR51" s="129" t="s">
        <v>148</v>
      </c>
      <c r="AS51" s="118"/>
      <c r="AT51" s="125"/>
      <c r="AU51" s="125">
        <v>4</v>
      </c>
      <c r="AV51" s="126"/>
      <c r="AW51" s="125" t="s">
        <v>459</v>
      </c>
      <c r="AX51" s="127"/>
      <c r="AY51" s="127"/>
      <c r="AZ51" s="128"/>
      <c r="BA51" s="91"/>
      <c r="BB51" s="91"/>
      <c r="BC51" s="91"/>
    </row>
    <row r="52" spans="1:55" ht="28" hidden="1" customHeight="1">
      <c r="A52" s="156">
        <v>47</v>
      </c>
      <c r="B52" s="167">
        <v>45054</v>
      </c>
      <c r="C52" s="87" t="s">
        <v>134</v>
      </c>
      <c r="D52" s="87" t="s">
        <v>135</v>
      </c>
      <c r="E52" s="87" t="s">
        <v>136</v>
      </c>
      <c r="F52" s="168" t="s">
        <v>432</v>
      </c>
      <c r="G52" s="169" t="s">
        <v>289</v>
      </c>
      <c r="H52" s="207" t="s">
        <v>110</v>
      </c>
      <c r="I52" s="208" t="s">
        <v>290</v>
      </c>
      <c r="J52" s="170" t="s">
        <v>291</v>
      </c>
      <c r="K52" s="161" t="s">
        <v>80</v>
      </c>
      <c r="L52" s="161" t="s">
        <v>119</v>
      </c>
      <c r="M52" s="123" t="s">
        <v>114</v>
      </c>
      <c r="N52" s="123" t="s">
        <v>80</v>
      </c>
      <c r="O52" s="123" t="s">
        <v>120</v>
      </c>
      <c r="P52" s="123"/>
      <c r="Q52" s="124"/>
      <c r="R52" s="236">
        <f>0</f>
        <v>0</v>
      </c>
      <c r="S52" s="86">
        <f>0</f>
        <v>0</v>
      </c>
      <c r="T52" s="86">
        <f>0</f>
        <v>0</v>
      </c>
      <c r="U52" s="86">
        <f>0</f>
        <v>0</v>
      </c>
      <c r="V52" s="94">
        <v>1</v>
      </c>
      <c r="W52" s="86">
        <f>0</f>
        <v>0</v>
      </c>
      <c r="X52" s="86">
        <f>0</f>
        <v>0</v>
      </c>
      <c r="Y52" s="86">
        <f>0</f>
        <v>0</v>
      </c>
      <c r="Z52" s="86">
        <f>0</f>
        <v>0</v>
      </c>
      <c r="AA52" s="237">
        <f>0</f>
        <v>0</v>
      </c>
      <c r="AB52" s="239">
        <f>0</f>
        <v>0</v>
      </c>
      <c r="AC52" s="86">
        <f>0</f>
        <v>0</v>
      </c>
      <c r="AD52" s="86">
        <f>0</f>
        <v>0</v>
      </c>
      <c r="AE52" s="86"/>
      <c r="AF52" s="86"/>
      <c r="AG52" s="86"/>
      <c r="AH52" s="86"/>
      <c r="AI52" s="86"/>
      <c r="AJ52" s="86"/>
      <c r="AK52" s="237"/>
      <c r="AL52" s="263">
        <f t="shared" si="2"/>
        <v>1</v>
      </c>
      <c r="AM52" s="111">
        <f>0</f>
        <v>0</v>
      </c>
      <c r="AN52" s="266">
        <f t="shared" si="3"/>
        <v>1</v>
      </c>
      <c r="AO52" s="246">
        <v>45057</v>
      </c>
      <c r="AP52" s="126" t="s">
        <v>273</v>
      </c>
      <c r="AQ52" s="117" t="s">
        <v>462</v>
      </c>
      <c r="AR52" s="129" t="s">
        <v>276</v>
      </c>
      <c r="AS52" s="118"/>
      <c r="AT52" s="125"/>
      <c r="AU52" s="125">
        <v>1</v>
      </c>
      <c r="AV52" s="126"/>
      <c r="AW52" s="125" t="s">
        <v>665</v>
      </c>
      <c r="AX52" s="127"/>
      <c r="AY52" s="127"/>
      <c r="AZ52" s="128"/>
      <c r="BA52" s="91"/>
      <c r="BB52" s="91"/>
      <c r="BC52" s="91"/>
    </row>
    <row r="53" spans="1:55" ht="28" hidden="1" customHeight="1">
      <c r="A53" s="156">
        <v>48</v>
      </c>
      <c r="B53" s="167">
        <v>45054</v>
      </c>
      <c r="C53" s="87" t="s">
        <v>134</v>
      </c>
      <c r="D53" s="87" t="s">
        <v>135</v>
      </c>
      <c r="E53" s="87" t="s">
        <v>136</v>
      </c>
      <c r="F53" s="168" t="s">
        <v>432</v>
      </c>
      <c r="G53" s="169" t="s">
        <v>292</v>
      </c>
      <c r="H53" s="207" t="s">
        <v>110</v>
      </c>
      <c r="I53" s="208" t="s">
        <v>434</v>
      </c>
      <c r="J53" s="170" t="s">
        <v>435</v>
      </c>
      <c r="K53" s="161" t="s">
        <v>80</v>
      </c>
      <c r="L53" s="161" t="s">
        <v>119</v>
      </c>
      <c r="M53" s="123" t="s">
        <v>114</v>
      </c>
      <c r="N53" s="123" t="s">
        <v>80</v>
      </c>
      <c r="O53" s="123" t="s">
        <v>120</v>
      </c>
      <c r="P53" s="123"/>
      <c r="Q53" s="124"/>
      <c r="R53" s="236">
        <f>0</f>
        <v>0</v>
      </c>
      <c r="S53" s="86">
        <f>0</f>
        <v>0</v>
      </c>
      <c r="T53" s="86">
        <f>0</f>
        <v>0</v>
      </c>
      <c r="U53" s="86">
        <f>0</f>
        <v>0</v>
      </c>
      <c r="V53" s="94">
        <v>1</v>
      </c>
      <c r="W53" s="86">
        <f>0</f>
        <v>0</v>
      </c>
      <c r="X53" s="86">
        <f>0</f>
        <v>0</v>
      </c>
      <c r="Y53" s="86">
        <f>0</f>
        <v>0</v>
      </c>
      <c r="Z53" s="86">
        <f>0</f>
        <v>0</v>
      </c>
      <c r="AA53" s="237">
        <f>0</f>
        <v>0</v>
      </c>
      <c r="AB53" s="239">
        <f>0</f>
        <v>0</v>
      </c>
      <c r="AC53" s="86">
        <f>0</f>
        <v>0</v>
      </c>
      <c r="AD53" s="86">
        <f>0</f>
        <v>0</v>
      </c>
      <c r="AE53" s="86"/>
      <c r="AF53" s="86"/>
      <c r="AG53" s="86"/>
      <c r="AH53" s="86"/>
      <c r="AI53" s="86"/>
      <c r="AJ53" s="86"/>
      <c r="AK53" s="237"/>
      <c r="AL53" s="263">
        <f t="shared" si="2"/>
        <v>1</v>
      </c>
      <c r="AM53" s="111">
        <f>0</f>
        <v>0</v>
      </c>
      <c r="AN53" s="266">
        <f t="shared" si="3"/>
        <v>1</v>
      </c>
      <c r="AO53" s="246">
        <v>45057</v>
      </c>
      <c r="AP53" s="126" t="s">
        <v>273</v>
      </c>
      <c r="AQ53" s="117" t="s">
        <v>462</v>
      </c>
      <c r="AR53" s="129" t="s">
        <v>276</v>
      </c>
      <c r="AS53" s="118"/>
      <c r="AT53" s="125"/>
      <c r="AU53" s="125">
        <v>1</v>
      </c>
      <c r="AV53" s="126"/>
      <c r="AW53" s="125" t="s">
        <v>665</v>
      </c>
      <c r="AX53" s="127"/>
      <c r="AY53" s="127"/>
      <c r="AZ53" s="128"/>
      <c r="BA53" s="91"/>
      <c r="BB53" s="91"/>
      <c r="BC53" s="91"/>
    </row>
    <row r="54" spans="1:55" ht="28" hidden="1" customHeight="1">
      <c r="A54" s="156">
        <v>49</v>
      </c>
      <c r="B54" s="167">
        <v>45054</v>
      </c>
      <c r="C54" s="87" t="s">
        <v>134</v>
      </c>
      <c r="D54" s="87" t="s">
        <v>135</v>
      </c>
      <c r="E54" s="87" t="s">
        <v>136</v>
      </c>
      <c r="F54" s="168" t="s">
        <v>432</v>
      </c>
      <c r="G54" s="169" t="s">
        <v>293</v>
      </c>
      <c r="H54" s="207" t="s">
        <v>110</v>
      </c>
      <c r="I54" s="208" t="s">
        <v>436</v>
      </c>
      <c r="J54" s="170" t="s">
        <v>437</v>
      </c>
      <c r="K54" s="161" t="s">
        <v>80</v>
      </c>
      <c r="L54" s="161" t="s">
        <v>119</v>
      </c>
      <c r="M54" s="123" t="s">
        <v>114</v>
      </c>
      <c r="N54" s="123" t="s">
        <v>80</v>
      </c>
      <c r="O54" s="123" t="s">
        <v>120</v>
      </c>
      <c r="P54" s="123"/>
      <c r="Q54" s="124"/>
      <c r="R54" s="236">
        <f>0</f>
        <v>0</v>
      </c>
      <c r="S54" s="86">
        <f>0</f>
        <v>0</v>
      </c>
      <c r="T54" s="86">
        <f>0</f>
        <v>0</v>
      </c>
      <c r="U54" s="86">
        <f>0</f>
        <v>0</v>
      </c>
      <c r="V54" s="94">
        <v>1</v>
      </c>
      <c r="W54" s="86">
        <f>0</f>
        <v>0</v>
      </c>
      <c r="X54" s="86">
        <f>0</f>
        <v>0</v>
      </c>
      <c r="Y54" s="86">
        <f>0</f>
        <v>0</v>
      </c>
      <c r="Z54" s="86">
        <f>0</f>
        <v>0</v>
      </c>
      <c r="AA54" s="237">
        <f>0</f>
        <v>0</v>
      </c>
      <c r="AB54" s="239">
        <f>0</f>
        <v>0</v>
      </c>
      <c r="AC54" s="86">
        <f>0</f>
        <v>0</v>
      </c>
      <c r="AD54" s="86">
        <f>0</f>
        <v>0</v>
      </c>
      <c r="AE54" s="86"/>
      <c r="AF54" s="86"/>
      <c r="AG54" s="86"/>
      <c r="AH54" s="86"/>
      <c r="AI54" s="86"/>
      <c r="AJ54" s="86"/>
      <c r="AK54" s="237"/>
      <c r="AL54" s="263">
        <f t="shared" si="2"/>
        <v>1</v>
      </c>
      <c r="AM54" s="111">
        <f>0</f>
        <v>0</v>
      </c>
      <c r="AN54" s="266">
        <f t="shared" si="3"/>
        <v>1</v>
      </c>
      <c r="AO54" s="246">
        <v>45057</v>
      </c>
      <c r="AP54" s="126" t="s">
        <v>273</v>
      </c>
      <c r="AQ54" s="117" t="s">
        <v>462</v>
      </c>
      <c r="AR54" s="129" t="s">
        <v>276</v>
      </c>
      <c r="AS54" s="118"/>
      <c r="AT54" s="125"/>
      <c r="AU54" s="125">
        <v>1</v>
      </c>
      <c r="AV54" s="126"/>
      <c r="AW54" s="125" t="s">
        <v>665</v>
      </c>
      <c r="AX54" s="127"/>
      <c r="AY54" s="127"/>
      <c r="AZ54" s="128"/>
      <c r="BA54" s="91"/>
      <c r="BB54" s="91"/>
      <c r="BC54" s="91"/>
    </row>
    <row r="55" spans="1:55" ht="28" hidden="1" customHeight="1">
      <c r="A55" s="156">
        <v>50</v>
      </c>
      <c r="B55" s="167">
        <v>45054</v>
      </c>
      <c r="C55" s="87" t="s">
        <v>134</v>
      </c>
      <c r="D55" s="87" t="s">
        <v>135</v>
      </c>
      <c r="E55" s="87" t="s">
        <v>136</v>
      </c>
      <c r="F55" s="168" t="s">
        <v>432</v>
      </c>
      <c r="G55" s="169" t="s">
        <v>294</v>
      </c>
      <c r="H55" s="207" t="s">
        <v>110</v>
      </c>
      <c r="I55" s="208" t="s">
        <v>438</v>
      </c>
      <c r="J55" s="170" t="s">
        <v>439</v>
      </c>
      <c r="K55" s="161" t="s">
        <v>80</v>
      </c>
      <c r="L55" s="161" t="s">
        <v>119</v>
      </c>
      <c r="M55" s="123" t="s">
        <v>114</v>
      </c>
      <c r="N55" s="123" t="s">
        <v>80</v>
      </c>
      <c r="O55" s="123" t="s">
        <v>120</v>
      </c>
      <c r="P55" s="123"/>
      <c r="Q55" s="124"/>
      <c r="R55" s="236">
        <f>0</f>
        <v>0</v>
      </c>
      <c r="S55" s="86">
        <f>0</f>
        <v>0</v>
      </c>
      <c r="T55" s="86">
        <f>0</f>
        <v>0</v>
      </c>
      <c r="U55" s="86">
        <f>0</f>
        <v>0</v>
      </c>
      <c r="V55" s="94">
        <v>1</v>
      </c>
      <c r="W55" s="86">
        <f>0</f>
        <v>0</v>
      </c>
      <c r="X55" s="86">
        <f>0</f>
        <v>0</v>
      </c>
      <c r="Y55" s="86">
        <f>0</f>
        <v>0</v>
      </c>
      <c r="Z55" s="86">
        <f>0</f>
        <v>0</v>
      </c>
      <c r="AA55" s="237">
        <f>0</f>
        <v>0</v>
      </c>
      <c r="AB55" s="239">
        <f>0</f>
        <v>0</v>
      </c>
      <c r="AC55" s="86">
        <f>0</f>
        <v>0</v>
      </c>
      <c r="AD55" s="86">
        <f>0</f>
        <v>0</v>
      </c>
      <c r="AE55" s="86"/>
      <c r="AF55" s="86"/>
      <c r="AG55" s="86"/>
      <c r="AH55" s="86"/>
      <c r="AI55" s="86"/>
      <c r="AJ55" s="86"/>
      <c r="AK55" s="237"/>
      <c r="AL55" s="263">
        <f t="shared" si="2"/>
        <v>1</v>
      </c>
      <c r="AM55" s="111">
        <f>0</f>
        <v>0</v>
      </c>
      <c r="AN55" s="266">
        <f t="shared" si="3"/>
        <v>1</v>
      </c>
      <c r="AO55" s="246">
        <v>45057</v>
      </c>
      <c r="AP55" s="126" t="s">
        <v>273</v>
      </c>
      <c r="AQ55" s="117" t="s">
        <v>462</v>
      </c>
      <c r="AR55" s="129" t="s">
        <v>276</v>
      </c>
      <c r="AS55" s="118"/>
      <c r="AT55" s="125"/>
      <c r="AU55" s="125">
        <v>1</v>
      </c>
      <c r="AV55" s="126"/>
      <c r="AW55" s="125" t="s">
        <v>665</v>
      </c>
      <c r="AX55" s="127"/>
      <c r="AY55" s="127"/>
      <c r="AZ55" s="128"/>
      <c r="BA55" s="91"/>
      <c r="BB55" s="91"/>
      <c r="BC55" s="91"/>
    </row>
    <row r="56" spans="1:55" ht="28" hidden="1" customHeight="1">
      <c r="A56" s="156">
        <v>51</v>
      </c>
      <c r="B56" s="167">
        <v>45054</v>
      </c>
      <c r="C56" s="87" t="s">
        <v>134</v>
      </c>
      <c r="D56" s="87" t="s">
        <v>135</v>
      </c>
      <c r="E56" s="87" t="s">
        <v>136</v>
      </c>
      <c r="F56" s="168" t="s">
        <v>432</v>
      </c>
      <c r="G56" s="169" t="s">
        <v>295</v>
      </c>
      <c r="H56" s="207" t="s">
        <v>110</v>
      </c>
      <c r="I56" s="208" t="s">
        <v>296</v>
      </c>
      <c r="J56" s="170" t="s">
        <v>297</v>
      </c>
      <c r="K56" s="161" t="s">
        <v>80</v>
      </c>
      <c r="L56" s="161" t="s">
        <v>119</v>
      </c>
      <c r="M56" s="123" t="s">
        <v>114</v>
      </c>
      <c r="N56" s="123" t="s">
        <v>80</v>
      </c>
      <c r="O56" s="123" t="s">
        <v>120</v>
      </c>
      <c r="P56" s="123"/>
      <c r="Q56" s="124"/>
      <c r="R56" s="236">
        <f>0</f>
        <v>0</v>
      </c>
      <c r="S56" s="86">
        <f>0</f>
        <v>0</v>
      </c>
      <c r="T56" s="86">
        <f>0</f>
        <v>0</v>
      </c>
      <c r="U56" s="86">
        <f>0</f>
        <v>0</v>
      </c>
      <c r="V56" s="94">
        <v>1</v>
      </c>
      <c r="W56" s="86">
        <f>0</f>
        <v>0</v>
      </c>
      <c r="X56" s="86">
        <f>0</f>
        <v>0</v>
      </c>
      <c r="Y56" s="86">
        <f>0</f>
        <v>0</v>
      </c>
      <c r="Z56" s="86">
        <f>0</f>
        <v>0</v>
      </c>
      <c r="AA56" s="237">
        <f>0</f>
        <v>0</v>
      </c>
      <c r="AB56" s="239">
        <f>0</f>
        <v>0</v>
      </c>
      <c r="AC56" s="86">
        <f>0</f>
        <v>0</v>
      </c>
      <c r="AD56" s="86">
        <f>0</f>
        <v>0</v>
      </c>
      <c r="AE56" s="86"/>
      <c r="AF56" s="86"/>
      <c r="AG56" s="86"/>
      <c r="AH56" s="86"/>
      <c r="AI56" s="86"/>
      <c r="AJ56" s="86"/>
      <c r="AK56" s="237"/>
      <c r="AL56" s="263">
        <f t="shared" si="2"/>
        <v>1</v>
      </c>
      <c r="AM56" s="111">
        <f>0</f>
        <v>0</v>
      </c>
      <c r="AN56" s="266">
        <f t="shared" si="3"/>
        <v>1</v>
      </c>
      <c r="AO56" s="246">
        <v>45057</v>
      </c>
      <c r="AP56" s="126" t="s">
        <v>273</v>
      </c>
      <c r="AQ56" s="117" t="s">
        <v>462</v>
      </c>
      <c r="AR56" s="129" t="s">
        <v>276</v>
      </c>
      <c r="AS56" s="118"/>
      <c r="AT56" s="125"/>
      <c r="AU56" s="125">
        <v>1</v>
      </c>
      <c r="AV56" s="126"/>
      <c r="AW56" s="125" t="s">
        <v>665</v>
      </c>
      <c r="AX56" s="127"/>
      <c r="AY56" s="127"/>
      <c r="AZ56" s="128"/>
      <c r="BA56" s="91"/>
      <c r="BB56" s="91"/>
      <c r="BC56" s="91"/>
    </row>
    <row r="57" spans="1:55" ht="28" hidden="1" customHeight="1">
      <c r="A57" s="156">
        <v>52</v>
      </c>
      <c r="B57" s="167">
        <v>45054</v>
      </c>
      <c r="C57" s="87" t="s">
        <v>134</v>
      </c>
      <c r="D57" s="87" t="s">
        <v>135</v>
      </c>
      <c r="E57" s="87" t="s">
        <v>136</v>
      </c>
      <c r="F57" s="168" t="s">
        <v>432</v>
      </c>
      <c r="G57" s="169" t="s">
        <v>298</v>
      </c>
      <c r="H57" s="207" t="s">
        <v>110</v>
      </c>
      <c r="I57" s="208" t="s">
        <v>299</v>
      </c>
      <c r="J57" s="170" t="s">
        <v>300</v>
      </c>
      <c r="K57" s="161" t="s">
        <v>80</v>
      </c>
      <c r="L57" s="161" t="s">
        <v>119</v>
      </c>
      <c r="M57" s="123" t="s">
        <v>114</v>
      </c>
      <c r="N57" s="123" t="s">
        <v>80</v>
      </c>
      <c r="O57" s="123" t="s">
        <v>120</v>
      </c>
      <c r="P57" s="123"/>
      <c r="Q57" s="124"/>
      <c r="R57" s="236">
        <f>0</f>
        <v>0</v>
      </c>
      <c r="S57" s="86">
        <f>0</f>
        <v>0</v>
      </c>
      <c r="T57" s="86">
        <f>0</f>
        <v>0</v>
      </c>
      <c r="U57" s="86">
        <f>0</f>
        <v>0</v>
      </c>
      <c r="V57" s="94">
        <v>1</v>
      </c>
      <c r="W57" s="86">
        <f>0</f>
        <v>0</v>
      </c>
      <c r="X57" s="86">
        <f>0</f>
        <v>0</v>
      </c>
      <c r="Y57" s="86">
        <f>0</f>
        <v>0</v>
      </c>
      <c r="Z57" s="86">
        <f>0</f>
        <v>0</v>
      </c>
      <c r="AA57" s="237">
        <f>0</f>
        <v>0</v>
      </c>
      <c r="AB57" s="239">
        <f>0</f>
        <v>0</v>
      </c>
      <c r="AC57" s="86">
        <f>0</f>
        <v>0</v>
      </c>
      <c r="AD57" s="86">
        <f>0</f>
        <v>0</v>
      </c>
      <c r="AE57" s="86"/>
      <c r="AF57" s="86"/>
      <c r="AG57" s="86"/>
      <c r="AH57" s="86"/>
      <c r="AI57" s="86"/>
      <c r="AJ57" s="86"/>
      <c r="AK57" s="237"/>
      <c r="AL57" s="263">
        <f t="shared" si="2"/>
        <v>1</v>
      </c>
      <c r="AM57" s="111">
        <f>0</f>
        <v>0</v>
      </c>
      <c r="AN57" s="266">
        <f t="shared" si="3"/>
        <v>1</v>
      </c>
      <c r="AO57" s="246">
        <v>45057</v>
      </c>
      <c r="AP57" s="126" t="s">
        <v>273</v>
      </c>
      <c r="AQ57" s="117" t="s">
        <v>462</v>
      </c>
      <c r="AR57" s="129" t="s">
        <v>276</v>
      </c>
      <c r="AS57" s="118"/>
      <c r="AT57" s="125"/>
      <c r="AU57" s="125">
        <v>1</v>
      </c>
      <c r="AV57" s="126"/>
      <c r="AW57" s="125" t="s">
        <v>665</v>
      </c>
      <c r="AX57" s="127"/>
      <c r="AY57" s="127"/>
      <c r="AZ57" s="128"/>
      <c r="BA57" s="91"/>
      <c r="BB57" s="91"/>
      <c r="BC57" s="91"/>
    </row>
    <row r="58" spans="1:55" ht="28" hidden="1" customHeight="1">
      <c r="A58" s="156">
        <v>53</v>
      </c>
      <c r="B58" s="167">
        <v>45054</v>
      </c>
      <c r="C58" s="87" t="s">
        <v>134</v>
      </c>
      <c r="D58" s="87" t="s">
        <v>135</v>
      </c>
      <c r="E58" s="87" t="s">
        <v>136</v>
      </c>
      <c r="F58" s="168" t="s">
        <v>432</v>
      </c>
      <c r="G58" s="169" t="s">
        <v>301</v>
      </c>
      <c r="H58" s="207" t="s">
        <v>110</v>
      </c>
      <c r="I58" s="208" t="s">
        <v>302</v>
      </c>
      <c r="J58" s="170" t="s">
        <v>303</v>
      </c>
      <c r="K58" s="161" t="s">
        <v>80</v>
      </c>
      <c r="L58" s="161" t="s">
        <v>304</v>
      </c>
      <c r="M58" s="123" t="s">
        <v>154</v>
      </c>
      <c r="N58" s="123" t="s">
        <v>80</v>
      </c>
      <c r="O58" s="123" t="s">
        <v>80</v>
      </c>
      <c r="P58" s="123"/>
      <c r="Q58" s="124"/>
      <c r="R58" s="236">
        <f>0</f>
        <v>0</v>
      </c>
      <c r="S58" s="86">
        <f>0</f>
        <v>0</v>
      </c>
      <c r="T58" s="86">
        <f>0</f>
        <v>0</v>
      </c>
      <c r="U58" s="86">
        <f>0</f>
        <v>0</v>
      </c>
      <c r="V58" s="94">
        <v>1</v>
      </c>
      <c r="W58" s="86">
        <f>0</f>
        <v>0</v>
      </c>
      <c r="X58" s="86">
        <f>0</f>
        <v>0</v>
      </c>
      <c r="Y58" s="86">
        <f>0</f>
        <v>0</v>
      </c>
      <c r="Z58" s="86">
        <f>0</f>
        <v>0</v>
      </c>
      <c r="AA58" s="237">
        <f>0</f>
        <v>0</v>
      </c>
      <c r="AB58" s="239">
        <f>0</f>
        <v>0</v>
      </c>
      <c r="AC58" s="86">
        <f>0</f>
        <v>0</v>
      </c>
      <c r="AD58" s="86">
        <f>0</f>
        <v>0</v>
      </c>
      <c r="AE58" s="86"/>
      <c r="AF58" s="86"/>
      <c r="AG58" s="86"/>
      <c r="AH58" s="86"/>
      <c r="AI58" s="86"/>
      <c r="AJ58" s="86"/>
      <c r="AK58" s="237"/>
      <c r="AL58" s="263">
        <f t="shared" si="2"/>
        <v>1</v>
      </c>
      <c r="AM58" s="111">
        <f>0</f>
        <v>0</v>
      </c>
      <c r="AN58" s="266">
        <f t="shared" si="3"/>
        <v>1</v>
      </c>
      <c r="AO58" s="246">
        <v>45057</v>
      </c>
      <c r="AP58" s="126" t="s">
        <v>273</v>
      </c>
      <c r="AQ58" s="117" t="s">
        <v>461</v>
      </c>
      <c r="AR58" s="129" t="s">
        <v>148</v>
      </c>
      <c r="AS58" s="118"/>
      <c r="AT58" s="125"/>
      <c r="AU58" s="125">
        <v>1</v>
      </c>
      <c r="AV58" s="126"/>
      <c r="AW58" s="125" t="s">
        <v>459</v>
      </c>
      <c r="AX58" s="127"/>
      <c r="AY58" s="127"/>
      <c r="AZ58" s="128"/>
      <c r="BA58" s="91"/>
      <c r="BB58" s="91"/>
      <c r="BC58" s="91"/>
    </row>
    <row r="59" spans="1:55" ht="28" hidden="1" customHeight="1">
      <c r="A59" s="156">
        <v>54</v>
      </c>
      <c r="B59" s="167">
        <v>45054</v>
      </c>
      <c r="C59" s="87" t="s">
        <v>134</v>
      </c>
      <c r="D59" s="87" t="s">
        <v>135</v>
      </c>
      <c r="E59" s="87" t="s">
        <v>136</v>
      </c>
      <c r="F59" s="168" t="s">
        <v>432</v>
      </c>
      <c r="G59" s="169" t="s">
        <v>305</v>
      </c>
      <c r="H59" s="207" t="s">
        <v>110</v>
      </c>
      <c r="I59" s="208" t="s">
        <v>306</v>
      </c>
      <c r="J59" s="170" t="s">
        <v>307</v>
      </c>
      <c r="K59" s="161" t="s">
        <v>80</v>
      </c>
      <c r="L59" s="161" t="s">
        <v>304</v>
      </c>
      <c r="M59" s="123" t="s">
        <v>154</v>
      </c>
      <c r="N59" s="123" t="s">
        <v>80</v>
      </c>
      <c r="O59" s="123" t="s">
        <v>80</v>
      </c>
      <c r="P59" s="123"/>
      <c r="Q59" s="124"/>
      <c r="R59" s="236">
        <f>0</f>
        <v>0</v>
      </c>
      <c r="S59" s="86">
        <f>0</f>
        <v>0</v>
      </c>
      <c r="T59" s="86">
        <f>0</f>
        <v>0</v>
      </c>
      <c r="U59" s="86">
        <f>0</f>
        <v>0</v>
      </c>
      <c r="V59" s="94">
        <v>1</v>
      </c>
      <c r="W59" s="86">
        <f>0</f>
        <v>0</v>
      </c>
      <c r="X59" s="86">
        <f>0</f>
        <v>0</v>
      </c>
      <c r="Y59" s="86">
        <f>0</f>
        <v>0</v>
      </c>
      <c r="Z59" s="86">
        <f>0</f>
        <v>0</v>
      </c>
      <c r="AA59" s="237">
        <f>0</f>
        <v>0</v>
      </c>
      <c r="AB59" s="239">
        <f>0</f>
        <v>0</v>
      </c>
      <c r="AC59" s="86">
        <f>0</f>
        <v>0</v>
      </c>
      <c r="AD59" s="86">
        <f>0</f>
        <v>0</v>
      </c>
      <c r="AE59" s="86"/>
      <c r="AF59" s="86"/>
      <c r="AG59" s="86"/>
      <c r="AH59" s="86"/>
      <c r="AI59" s="86"/>
      <c r="AJ59" s="86"/>
      <c r="AK59" s="237"/>
      <c r="AL59" s="263">
        <f t="shared" si="2"/>
        <v>1</v>
      </c>
      <c r="AM59" s="111">
        <f>0</f>
        <v>0</v>
      </c>
      <c r="AN59" s="266">
        <f t="shared" si="3"/>
        <v>1</v>
      </c>
      <c r="AO59" s="246">
        <v>45057</v>
      </c>
      <c r="AP59" s="126" t="s">
        <v>273</v>
      </c>
      <c r="AQ59" s="117" t="s">
        <v>461</v>
      </c>
      <c r="AR59" s="129" t="s">
        <v>148</v>
      </c>
      <c r="AS59" s="118"/>
      <c r="AT59" s="125"/>
      <c r="AU59" s="125">
        <v>1</v>
      </c>
      <c r="AV59" s="126"/>
      <c r="AW59" s="125" t="s">
        <v>459</v>
      </c>
      <c r="AX59" s="127"/>
      <c r="AY59" s="127"/>
      <c r="AZ59" s="128"/>
      <c r="BA59" s="91"/>
      <c r="BB59" s="91"/>
      <c r="BC59" s="91"/>
    </row>
    <row r="60" spans="1:55" ht="28" hidden="1" customHeight="1">
      <c r="A60" s="156">
        <v>55</v>
      </c>
      <c r="B60" s="167">
        <v>45054</v>
      </c>
      <c r="C60" s="87" t="s">
        <v>134</v>
      </c>
      <c r="D60" s="87" t="s">
        <v>135</v>
      </c>
      <c r="E60" s="87" t="s">
        <v>136</v>
      </c>
      <c r="F60" s="168" t="s">
        <v>432</v>
      </c>
      <c r="G60" s="169" t="s">
        <v>308</v>
      </c>
      <c r="H60" s="207" t="s">
        <v>110</v>
      </c>
      <c r="I60" s="208" t="s">
        <v>309</v>
      </c>
      <c r="J60" s="170" t="s">
        <v>310</v>
      </c>
      <c r="K60" s="161" t="s">
        <v>80</v>
      </c>
      <c r="L60" s="161" t="s">
        <v>304</v>
      </c>
      <c r="M60" s="123" t="s">
        <v>154</v>
      </c>
      <c r="N60" s="123" t="s">
        <v>80</v>
      </c>
      <c r="O60" s="123" t="s">
        <v>80</v>
      </c>
      <c r="P60" s="123"/>
      <c r="Q60" s="124"/>
      <c r="R60" s="236">
        <f>0</f>
        <v>0</v>
      </c>
      <c r="S60" s="86">
        <f>0</f>
        <v>0</v>
      </c>
      <c r="T60" s="86">
        <f>0</f>
        <v>0</v>
      </c>
      <c r="U60" s="86">
        <f>0</f>
        <v>0</v>
      </c>
      <c r="V60" s="94">
        <v>1</v>
      </c>
      <c r="W60" s="86">
        <f>0</f>
        <v>0</v>
      </c>
      <c r="X60" s="86">
        <f>0</f>
        <v>0</v>
      </c>
      <c r="Y60" s="86">
        <f>0</f>
        <v>0</v>
      </c>
      <c r="Z60" s="86">
        <f>0</f>
        <v>0</v>
      </c>
      <c r="AA60" s="237">
        <f>0</f>
        <v>0</v>
      </c>
      <c r="AB60" s="239">
        <f>0</f>
        <v>0</v>
      </c>
      <c r="AC60" s="86">
        <f>0</f>
        <v>0</v>
      </c>
      <c r="AD60" s="86">
        <f>0</f>
        <v>0</v>
      </c>
      <c r="AE60" s="86"/>
      <c r="AF60" s="86"/>
      <c r="AG60" s="86"/>
      <c r="AH60" s="86"/>
      <c r="AI60" s="86"/>
      <c r="AJ60" s="86"/>
      <c r="AK60" s="237"/>
      <c r="AL60" s="263">
        <f t="shared" si="2"/>
        <v>1</v>
      </c>
      <c r="AM60" s="111">
        <f>0</f>
        <v>0</v>
      </c>
      <c r="AN60" s="266">
        <f t="shared" si="3"/>
        <v>1</v>
      </c>
      <c r="AO60" s="246">
        <v>45057</v>
      </c>
      <c r="AP60" s="126" t="s">
        <v>273</v>
      </c>
      <c r="AQ60" s="117" t="s">
        <v>461</v>
      </c>
      <c r="AR60" s="129" t="s">
        <v>148</v>
      </c>
      <c r="AS60" s="118"/>
      <c r="AT60" s="125"/>
      <c r="AU60" s="125">
        <v>1</v>
      </c>
      <c r="AV60" s="126"/>
      <c r="AW60" s="125" t="s">
        <v>459</v>
      </c>
      <c r="AX60" s="127"/>
      <c r="AY60" s="127"/>
      <c r="AZ60" s="128"/>
      <c r="BA60" s="91"/>
      <c r="BB60" s="91"/>
      <c r="BC60" s="91"/>
    </row>
    <row r="61" spans="1:55" ht="28" hidden="1" customHeight="1">
      <c r="A61" s="156">
        <v>56</v>
      </c>
      <c r="B61" s="167">
        <v>45054</v>
      </c>
      <c r="C61" s="87" t="s">
        <v>134</v>
      </c>
      <c r="D61" s="87" t="s">
        <v>135</v>
      </c>
      <c r="E61" s="87" t="s">
        <v>136</v>
      </c>
      <c r="F61" s="168" t="s">
        <v>432</v>
      </c>
      <c r="G61" s="169" t="s">
        <v>311</v>
      </c>
      <c r="H61" s="207" t="s">
        <v>110</v>
      </c>
      <c r="I61" s="208" t="s">
        <v>312</v>
      </c>
      <c r="J61" s="170" t="s">
        <v>313</v>
      </c>
      <c r="K61" s="161" t="s">
        <v>80</v>
      </c>
      <c r="L61" s="161" t="s">
        <v>304</v>
      </c>
      <c r="M61" s="123" t="s">
        <v>154</v>
      </c>
      <c r="N61" s="123" t="s">
        <v>80</v>
      </c>
      <c r="O61" s="123" t="s">
        <v>80</v>
      </c>
      <c r="P61" s="123"/>
      <c r="Q61" s="124"/>
      <c r="R61" s="236">
        <f>0</f>
        <v>0</v>
      </c>
      <c r="S61" s="86">
        <f>0</f>
        <v>0</v>
      </c>
      <c r="T61" s="86">
        <f>0</f>
        <v>0</v>
      </c>
      <c r="U61" s="86">
        <f>0</f>
        <v>0</v>
      </c>
      <c r="V61" s="94">
        <v>1</v>
      </c>
      <c r="W61" s="86">
        <f>0</f>
        <v>0</v>
      </c>
      <c r="X61" s="86">
        <f>0</f>
        <v>0</v>
      </c>
      <c r="Y61" s="86">
        <f>0</f>
        <v>0</v>
      </c>
      <c r="Z61" s="86">
        <f>0</f>
        <v>0</v>
      </c>
      <c r="AA61" s="237">
        <f>0</f>
        <v>0</v>
      </c>
      <c r="AB61" s="239">
        <f>0</f>
        <v>0</v>
      </c>
      <c r="AC61" s="86">
        <f>0</f>
        <v>0</v>
      </c>
      <c r="AD61" s="86">
        <f>0</f>
        <v>0</v>
      </c>
      <c r="AE61" s="86"/>
      <c r="AF61" s="86"/>
      <c r="AG61" s="86"/>
      <c r="AH61" s="86"/>
      <c r="AI61" s="86"/>
      <c r="AJ61" s="86"/>
      <c r="AK61" s="237"/>
      <c r="AL61" s="263">
        <f t="shared" si="2"/>
        <v>1</v>
      </c>
      <c r="AM61" s="111">
        <f>0</f>
        <v>0</v>
      </c>
      <c r="AN61" s="266">
        <f t="shared" si="3"/>
        <v>1</v>
      </c>
      <c r="AO61" s="246">
        <v>45057</v>
      </c>
      <c r="AP61" s="126" t="s">
        <v>273</v>
      </c>
      <c r="AQ61" s="117" t="s">
        <v>461</v>
      </c>
      <c r="AR61" s="129" t="s">
        <v>148</v>
      </c>
      <c r="AS61" s="118"/>
      <c r="AT61" s="125"/>
      <c r="AU61" s="125">
        <v>1</v>
      </c>
      <c r="AV61" s="126"/>
      <c r="AW61" s="125" t="s">
        <v>459</v>
      </c>
      <c r="AX61" s="127"/>
      <c r="AY61" s="127"/>
      <c r="AZ61" s="128"/>
      <c r="BA61" s="91"/>
      <c r="BB61" s="91"/>
      <c r="BC61" s="91"/>
    </row>
    <row r="62" spans="1:55" ht="28" hidden="1" customHeight="1">
      <c r="A62" s="156">
        <v>57</v>
      </c>
      <c r="B62" s="167">
        <v>45054</v>
      </c>
      <c r="C62" s="87" t="s">
        <v>134</v>
      </c>
      <c r="D62" s="87" t="s">
        <v>135</v>
      </c>
      <c r="E62" s="87" t="s">
        <v>136</v>
      </c>
      <c r="F62" s="168" t="s">
        <v>432</v>
      </c>
      <c r="G62" s="169" t="s">
        <v>314</v>
      </c>
      <c r="H62" s="207" t="s">
        <v>110</v>
      </c>
      <c r="I62" s="208" t="s">
        <v>440</v>
      </c>
      <c r="J62" s="170" t="s">
        <v>315</v>
      </c>
      <c r="K62" s="161" t="s">
        <v>80</v>
      </c>
      <c r="L62" s="161" t="s">
        <v>316</v>
      </c>
      <c r="M62" s="123" t="s">
        <v>154</v>
      </c>
      <c r="N62" s="123" t="s">
        <v>80</v>
      </c>
      <c r="O62" s="123" t="s">
        <v>155</v>
      </c>
      <c r="P62" s="123"/>
      <c r="Q62" s="124"/>
      <c r="R62" s="236">
        <f>0</f>
        <v>0</v>
      </c>
      <c r="S62" s="86">
        <f>0</f>
        <v>0</v>
      </c>
      <c r="T62" s="86">
        <f>0</f>
        <v>0</v>
      </c>
      <c r="U62" s="86">
        <f>0</f>
        <v>0</v>
      </c>
      <c r="V62" s="94">
        <v>1</v>
      </c>
      <c r="W62" s="86">
        <f>0</f>
        <v>0</v>
      </c>
      <c r="X62" s="86">
        <f>0</f>
        <v>0</v>
      </c>
      <c r="Y62" s="86">
        <f>0</f>
        <v>0</v>
      </c>
      <c r="Z62" s="86">
        <f>0</f>
        <v>0</v>
      </c>
      <c r="AA62" s="237">
        <f>0</f>
        <v>0</v>
      </c>
      <c r="AB62" s="239">
        <f>0</f>
        <v>0</v>
      </c>
      <c r="AC62" s="86">
        <f>0</f>
        <v>0</v>
      </c>
      <c r="AD62" s="86">
        <f>0</f>
        <v>0</v>
      </c>
      <c r="AE62" s="86"/>
      <c r="AF62" s="86"/>
      <c r="AG62" s="86"/>
      <c r="AH62" s="86"/>
      <c r="AI62" s="86"/>
      <c r="AJ62" s="86"/>
      <c r="AK62" s="237"/>
      <c r="AL62" s="263">
        <f t="shared" si="2"/>
        <v>1</v>
      </c>
      <c r="AM62" s="111">
        <f>0</f>
        <v>0</v>
      </c>
      <c r="AN62" s="266">
        <f t="shared" si="3"/>
        <v>1</v>
      </c>
      <c r="AO62" s="246">
        <v>45057</v>
      </c>
      <c r="AP62" s="126" t="s">
        <v>273</v>
      </c>
      <c r="AQ62" s="117" t="s">
        <v>461</v>
      </c>
      <c r="AR62" s="129" t="s">
        <v>148</v>
      </c>
      <c r="AS62" s="118"/>
      <c r="AT62" s="125"/>
      <c r="AU62" s="125"/>
      <c r="AV62" s="126"/>
      <c r="AW62" s="125"/>
      <c r="AX62" s="127"/>
      <c r="AY62" s="127"/>
      <c r="AZ62" s="128"/>
      <c r="BA62" s="91"/>
      <c r="BB62" s="91"/>
      <c r="BC62" s="91"/>
    </row>
    <row r="63" spans="1:55" ht="28" hidden="1" customHeight="1">
      <c r="A63" s="156">
        <v>58</v>
      </c>
      <c r="B63" s="167">
        <v>45054</v>
      </c>
      <c r="C63" s="87" t="s">
        <v>134</v>
      </c>
      <c r="D63" s="87" t="s">
        <v>135</v>
      </c>
      <c r="E63" s="87" t="s">
        <v>136</v>
      </c>
      <c r="F63" s="168" t="s">
        <v>432</v>
      </c>
      <c r="G63" s="169" t="s">
        <v>317</v>
      </c>
      <c r="H63" s="207" t="s">
        <v>110</v>
      </c>
      <c r="I63" s="208" t="s">
        <v>318</v>
      </c>
      <c r="J63" s="170" t="s">
        <v>319</v>
      </c>
      <c r="K63" s="161" t="s">
        <v>80</v>
      </c>
      <c r="L63" s="161" t="s">
        <v>320</v>
      </c>
      <c r="M63" s="123" t="s">
        <v>154</v>
      </c>
      <c r="N63" s="123" t="s">
        <v>80</v>
      </c>
      <c r="O63" s="123" t="s">
        <v>155</v>
      </c>
      <c r="P63" s="123"/>
      <c r="Q63" s="124"/>
      <c r="R63" s="236">
        <f>0</f>
        <v>0</v>
      </c>
      <c r="S63" s="86">
        <f>0</f>
        <v>0</v>
      </c>
      <c r="T63" s="86">
        <f>0</f>
        <v>0</v>
      </c>
      <c r="U63" s="86">
        <f>0</f>
        <v>0</v>
      </c>
      <c r="V63" s="94">
        <v>1</v>
      </c>
      <c r="W63" s="86">
        <f>0</f>
        <v>0</v>
      </c>
      <c r="X63" s="86">
        <f>0</f>
        <v>0</v>
      </c>
      <c r="Y63" s="86">
        <f>0</f>
        <v>0</v>
      </c>
      <c r="Z63" s="86">
        <f>0</f>
        <v>0</v>
      </c>
      <c r="AA63" s="237">
        <f>0</f>
        <v>0</v>
      </c>
      <c r="AB63" s="239">
        <f>0</f>
        <v>0</v>
      </c>
      <c r="AC63" s="86">
        <f>0</f>
        <v>0</v>
      </c>
      <c r="AD63" s="86">
        <f>0</f>
        <v>0</v>
      </c>
      <c r="AE63" s="86"/>
      <c r="AF63" s="86"/>
      <c r="AG63" s="86"/>
      <c r="AH63" s="86"/>
      <c r="AI63" s="86"/>
      <c r="AJ63" s="86"/>
      <c r="AK63" s="237"/>
      <c r="AL63" s="263">
        <f t="shared" si="2"/>
        <v>1</v>
      </c>
      <c r="AM63" s="111">
        <f>0</f>
        <v>0</v>
      </c>
      <c r="AN63" s="266">
        <f t="shared" si="3"/>
        <v>1</v>
      </c>
      <c r="AO63" s="246">
        <v>45057</v>
      </c>
      <c r="AP63" s="126" t="s">
        <v>273</v>
      </c>
      <c r="AQ63" s="117" t="s">
        <v>461</v>
      </c>
      <c r="AR63" s="129" t="s">
        <v>148</v>
      </c>
      <c r="AS63" s="118"/>
      <c r="AT63" s="125"/>
      <c r="AU63" s="125"/>
      <c r="AV63" s="126"/>
      <c r="AW63" s="125"/>
      <c r="AX63" s="127"/>
      <c r="AY63" s="127"/>
      <c r="AZ63" s="128"/>
      <c r="BA63" s="91"/>
      <c r="BB63" s="91"/>
      <c r="BC63" s="91"/>
    </row>
    <row r="64" spans="1:55" ht="28" hidden="1" customHeight="1">
      <c r="A64" s="156">
        <v>59</v>
      </c>
      <c r="B64" s="167">
        <v>45054</v>
      </c>
      <c r="C64" s="87" t="s">
        <v>134</v>
      </c>
      <c r="D64" s="87" t="s">
        <v>135</v>
      </c>
      <c r="E64" s="87" t="s">
        <v>136</v>
      </c>
      <c r="F64" s="168" t="s">
        <v>432</v>
      </c>
      <c r="G64" s="169" t="s">
        <v>321</v>
      </c>
      <c r="H64" s="207" t="s">
        <v>110</v>
      </c>
      <c r="I64" s="208" t="s">
        <v>441</v>
      </c>
      <c r="J64" s="170" t="s">
        <v>442</v>
      </c>
      <c r="K64" s="161" t="s">
        <v>80</v>
      </c>
      <c r="L64" s="161" t="s">
        <v>320</v>
      </c>
      <c r="M64" s="123" t="s">
        <v>154</v>
      </c>
      <c r="N64" s="123" t="s">
        <v>80</v>
      </c>
      <c r="O64" s="123" t="s">
        <v>155</v>
      </c>
      <c r="P64" s="123"/>
      <c r="Q64" s="124"/>
      <c r="R64" s="236">
        <f>0</f>
        <v>0</v>
      </c>
      <c r="S64" s="86">
        <f>0</f>
        <v>0</v>
      </c>
      <c r="T64" s="86">
        <f>0</f>
        <v>0</v>
      </c>
      <c r="U64" s="86">
        <f>0</f>
        <v>0</v>
      </c>
      <c r="V64" s="94">
        <v>1</v>
      </c>
      <c r="W64" s="86">
        <f>0</f>
        <v>0</v>
      </c>
      <c r="X64" s="86">
        <f>0</f>
        <v>0</v>
      </c>
      <c r="Y64" s="86">
        <f>0</f>
        <v>0</v>
      </c>
      <c r="Z64" s="86">
        <f>0</f>
        <v>0</v>
      </c>
      <c r="AA64" s="237">
        <f>0</f>
        <v>0</v>
      </c>
      <c r="AB64" s="239">
        <f>0</f>
        <v>0</v>
      </c>
      <c r="AC64" s="86">
        <f>0</f>
        <v>0</v>
      </c>
      <c r="AD64" s="86">
        <f>0</f>
        <v>0</v>
      </c>
      <c r="AE64" s="86"/>
      <c r="AF64" s="86"/>
      <c r="AG64" s="86"/>
      <c r="AH64" s="86"/>
      <c r="AI64" s="86"/>
      <c r="AJ64" s="86"/>
      <c r="AK64" s="237"/>
      <c r="AL64" s="263">
        <f t="shared" si="2"/>
        <v>1</v>
      </c>
      <c r="AM64" s="111">
        <f>0</f>
        <v>0</v>
      </c>
      <c r="AN64" s="266">
        <f t="shared" si="3"/>
        <v>1</v>
      </c>
      <c r="AO64" s="246">
        <v>45057</v>
      </c>
      <c r="AP64" s="126" t="s">
        <v>273</v>
      </c>
      <c r="AQ64" s="117" t="s">
        <v>461</v>
      </c>
      <c r="AR64" s="129" t="s">
        <v>148</v>
      </c>
      <c r="AS64" s="118"/>
      <c r="AT64" s="125"/>
      <c r="AU64" s="125"/>
      <c r="AV64" s="126"/>
      <c r="AW64" s="125"/>
      <c r="AX64" s="127"/>
      <c r="AY64" s="127"/>
      <c r="AZ64" s="128"/>
      <c r="BA64" s="91"/>
      <c r="BB64" s="91"/>
      <c r="BC64" s="91"/>
    </row>
    <row r="65" spans="1:55" ht="28" hidden="1" customHeight="1">
      <c r="A65" s="156">
        <v>60</v>
      </c>
      <c r="B65" s="167">
        <v>45054</v>
      </c>
      <c r="C65" s="87" t="s">
        <v>134</v>
      </c>
      <c r="D65" s="87" t="s">
        <v>135</v>
      </c>
      <c r="E65" s="87" t="s">
        <v>136</v>
      </c>
      <c r="F65" s="168" t="s">
        <v>432</v>
      </c>
      <c r="G65" s="169" t="s">
        <v>322</v>
      </c>
      <c r="H65" s="207" t="s">
        <v>110</v>
      </c>
      <c r="I65" s="208" t="s">
        <v>443</v>
      </c>
      <c r="J65" s="170" t="s">
        <v>323</v>
      </c>
      <c r="K65" s="161" t="s">
        <v>80</v>
      </c>
      <c r="L65" s="161" t="s">
        <v>320</v>
      </c>
      <c r="M65" s="123" t="s">
        <v>154</v>
      </c>
      <c r="N65" s="123" t="s">
        <v>80</v>
      </c>
      <c r="O65" s="123" t="s">
        <v>155</v>
      </c>
      <c r="P65" s="123"/>
      <c r="Q65" s="124"/>
      <c r="R65" s="236">
        <f>0</f>
        <v>0</v>
      </c>
      <c r="S65" s="86">
        <f>0</f>
        <v>0</v>
      </c>
      <c r="T65" s="86">
        <f>0</f>
        <v>0</v>
      </c>
      <c r="U65" s="86">
        <f>0</f>
        <v>0</v>
      </c>
      <c r="V65" s="94">
        <v>1</v>
      </c>
      <c r="W65" s="86">
        <f>0</f>
        <v>0</v>
      </c>
      <c r="X65" s="86">
        <f>0</f>
        <v>0</v>
      </c>
      <c r="Y65" s="86">
        <f>0</f>
        <v>0</v>
      </c>
      <c r="Z65" s="86">
        <f>0</f>
        <v>0</v>
      </c>
      <c r="AA65" s="237">
        <f>0</f>
        <v>0</v>
      </c>
      <c r="AB65" s="239">
        <f>0</f>
        <v>0</v>
      </c>
      <c r="AC65" s="86">
        <f>0</f>
        <v>0</v>
      </c>
      <c r="AD65" s="86">
        <f>0</f>
        <v>0</v>
      </c>
      <c r="AE65" s="86"/>
      <c r="AF65" s="86"/>
      <c r="AG65" s="86"/>
      <c r="AH65" s="86"/>
      <c r="AI65" s="86"/>
      <c r="AJ65" s="86"/>
      <c r="AK65" s="237"/>
      <c r="AL65" s="263">
        <f t="shared" si="2"/>
        <v>1</v>
      </c>
      <c r="AM65" s="111">
        <f>0</f>
        <v>0</v>
      </c>
      <c r="AN65" s="266">
        <f t="shared" si="3"/>
        <v>1</v>
      </c>
      <c r="AO65" s="246">
        <v>45057</v>
      </c>
      <c r="AP65" s="126" t="s">
        <v>273</v>
      </c>
      <c r="AQ65" s="117" t="s">
        <v>461</v>
      </c>
      <c r="AR65" s="129" t="s">
        <v>148</v>
      </c>
      <c r="AS65" s="118"/>
      <c r="AT65" s="125"/>
      <c r="AU65" s="125"/>
      <c r="AV65" s="126"/>
      <c r="AW65" s="125"/>
      <c r="AX65" s="127"/>
      <c r="AY65" s="127"/>
      <c r="AZ65" s="128"/>
      <c r="BA65" s="91"/>
      <c r="BB65" s="91"/>
      <c r="BC65" s="91"/>
    </row>
    <row r="66" spans="1:55" ht="28" hidden="1" customHeight="1">
      <c r="A66" s="156">
        <v>61</v>
      </c>
      <c r="B66" s="167">
        <v>45054</v>
      </c>
      <c r="C66" s="87" t="s">
        <v>134</v>
      </c>
      <c r="D66" s="87" t="s">
        <v>135</v>
      </c>
      <c r="E66" s="87" t="s">
        <v>136</v>
      </c>
      <c r="F66" s="168" t="s">
        <v>432</v>
      </c>
      <c r="G66" s="169" t="s">
        <v>324</v>
      </c>
      <c r="H66" s="207" t="s">
        <v>110</v>
      </c>
      <c r="I66" s="208" t="s">
        <v>444</v>
      </c>
      <c r="J66" s="170" t="s">
        <v>325</v>
      </c>
      <c r="K66" s="161" t="s">
        <v>80</v>
      </c>
      <c r="L66" s="161" t="s">
        <v>320</v>
      </c>
      <c r="M66" s="123" t="s">
        <v>154</v>
      </c>
      <c r="N66" s="123" t="s">
        <v>80</v>
      </c>
      <c r="O66" s="123" t="s">
        <v>155</v>
      </c>
      <c r="P66" s="123"/>
      <c r="Q66" s="124"/>
      <c r="R66" s="236">
        <f>0</f>
        <v>0</v>
      </c>
      <c r="S66" s="86">
        <f>0</f>
        <v>0</v>
      </c>
      <c r="T66" s="86">
        <f>0</f>
        <v>0</v>
      </c>
      <c r="U66" s="86">
        <f>0</f>
        <v>0</v>
      </c>
      <c r="V66" s="94">
        <v>1</v>
      </c>
      <c r="W66" s="86">
        <f>0</f>
        <v>0</v>
      </c>
      <c r="X66" s="86">
        <f>0</f>
        <v>0</v>
      </c>
      <c r="Y66" s="86">
        <f>0</f>
        <v>0</v>
      </c>
      <c r="Z66" s="86">
        <f>0</f>
        <v>0</v>
      </c>
      <c r="AA66" s="237">
        <f>0</f>
        <v>0</v>
      </c>
      <c r="AB66" s="239">
        <f>0</f>
        <v>0</v>
      </c>
      <c r="AC66" s="86">
        <f>0</f>
        <v>0</v>
      </c>
      <c r="AD66" s="86">
        <f>0</f>
        <v>0</v>
      </c>
      <c r="AE66" s="86"/>
      <c r="AF66" s="86"/>
      <c r="AG66" s="86"/>
      <c r="AH66" s="86"/>
      <c r="AI66" s="86"/>
      <c r="AJ66" s="86"/>
      <c r="AK66" s="237"/>
      <c r="AL66" s="263">
        <f t="shared" si="2"/>
        <v>1</v>
      </c>
      <c r="AM66" s="111">
        <f>0</f>
        <v>0</v>
      </c>
      <c r="AN66" s="266">
        <f t="shared" si="3"/>
        <v>1</v>
      </c>
      <c r="AO66" s="246">
        <v>45057</v>
      </c>
      <c r="AP66" s="126" t="s">
        <v>273</v>
      </c>
      <c r="AQ66" s="117" t="s">
        <v>461</v>
      </c>
      <c r="AR66" s="129" t="s">
        <v>148</v>
      </c>
      <c r="AS66" s="118"/>
      <c r="AT66" s="125"/>
      <c r="AU66" s="125"/>
      <c r="AV66" s="126"/>
      <c r="AW66" s="125"/>
      <c r="AX66" s="127"/>
      <c r="AY66" s="127"/>
      <c r="AZ66" s="128"/>
      <c r="BA66" s="91"/>
      <c r="BB66" s="91"/>
      <c r="BC66" s="91"/>
    </row>
    <row r="67" spans="1:55" ht="28" hidden="1" customHeight="1">
      <c r="A67" s="156">
        <v>62</v>
      </c>
      <c r="B67" s="167">
        <v>45054</v>
      </c>
      <c r="C67" s="87" t="s">
        <v>134</v>
      </c>
      <c r="D67" s="87" t="s">
        <v>135</v>
      </c>
      <c r="E67" s="87" t="s">
        <v>136</v>
      </c>
      <c r="F67" s="168" t="s">
        <v>432</v>
      </c>
      <c r="G67" s="169" t="s">
        <v>326</v>
      </c>
      <c r="H67" s="207" t="s">
        <v>110</v>
      </c>
      <c r="I67" s="208" t="s">
        <v>327</v>
      </c>
      <c r="J67" s="170" t="s">
        <v>328</v>
      </c>
      <c r="K67" s="161" t="s">
        <v>80</v>
      </c>
      <c r="L67" s="161" t="s">
        <v>320</v>
      </c>
      <c r="M67" s="123" t="s">
        <v>154</v>
      </c>
      <c r="N67" s="123" t="s">
        <v>80</v>
      </c>
      <c r="O67" s="123" t="s">
        <v>155</v>
      </c>
      <c r="P67" s="123"/>
      <c r="Q67" s="124"/>
      <c r="R67" s="236">
        <f>0</f>
        <v>0</v>
      </c>
      <c r="S67" s="86">
        <f>0</f>
        <v>0</v>
      </c>
      <c r="T67" s="86">
        <f>0</f>
        <v>0</v>
      </c>
      <c r="U67" s="86">
        <f>0</f>
        <v>0</v>
      </c>
      <c r="V67" s="94">
        <v>1</v>
      </c>
      <c r="W67" s="86">
        <f>0</f>
        <v>0</v>
      </c>
      <c r="X67" s="86">
        <f>0</f>
        <v>0</v>
      </c>
      <c r="Y67" s="86">
        <f>0</f>
        <v>0</v>
      </c>
      <c r="Z67" s="86">
        <f>0</f>
        <v>0</v>
      </c>
      <c r="AA67" s="237">
        <f>0</f>
        <v>0</v>
      </c>
      <c r="AB67" s="239">
        <f>0</f>
        <v>0</v>
      </c>
      <c r="AC67" s="86">
        <f>0</f>
        <v>0</v>
      </c>
      <c r="AD67" s="86">
        <f>0</f>
        <v>0</v>
      </c>
      <c r="AE67" s="86"/>
      <c r="AF67" s="86"/>
      <c r="AG67" s="86"/>
      <c r="AH67" s="86"/>
      <c r="AI67" s="86"/>
      <c r="AJ67" s="86"/>
      <c r="AK67" s="237"/>
      <c r="AL67" s="263">
        <f t="shared" si="2"/>
        <v>1</v>
      </c>
      <c r="AM67" s="111">
        <f>0</f>
        <v>0</v>
      </c>
      <c r="AN67" s="266">
        <f t="shared" si="3"/>
        <v>1</v>
      </c>
      <c r="AO67" s="246">
        <v>45057</v>
      </c>
      <c r="AP67" s="126" t="s">
        <v>273</v>
      </c>
      <c r="AQ67" s="117" t="s">
        <v>461</v>
      </c>
      <c r="AR67" s="129" t="s">
        <v>148</v>
      </c>
      <c r="AS67" s="118"/>
      <c r="AT67" s="125"/>
      <c r="AU67" s="125"/>
      <c r="AV67" s="126"/>
      <c r="AW67" s="125"/>
      <c r="AX67" s="127"/>
      <c r="AY67" s="127"/>
      <c r="AZ67" s="128"/>
      <c r="BA67" s="91"/>
      <c r="BB67" s="91"/>
      <c r="BC67" s="91"/>
    </row>
    <row r="68" spans="1:55" ht="28" hidden="1" customHeight="1">
      <c r="A68" s="156">
        <v>63</v>
      </c>
      <c r="B68" s="167">
        <v>45054</v>
      </c>
      <c r="C68" s="87" t="s">
        <v>134</v>
      </c>
      <c r="D68" s="87" t="s">
        <v>135</v>
      </c>
      <c r="E68" s="87" t="s">
        <v>136</v>
      </c>
      <c r="F68" s="168" t="s">
        <v>432</v>
      </c>
      <c r="G68" s="169" t="s">
        <v>329</v>
      </c>
      <c r="H68" s="207" t="s">
        <v>110</v>
      </c>
      <c r="I68" s="208" t="s">
        <v>330</v>
      </c>
      <c r="J68" s="170" t="s">
        <v>331</v>
      </c>
      <c r="K68" s="161" t="s">
        <v>80</v>
      </c>
      <c r="L68" s="161" t="s">
        <v>320</v>
      </c>
      <c r="M68" s="123" t="s">
        <v>154</v>
      </c>
      <c r="N68" s="123" t="s">
        <v>80</v>
      </c>
      <c r="O68" s="123" t="s">
        <v>155</v>
      </c>
      <c r="P68" s="123"/>
      <c r="Q68" s="124"/>
      <c r="R68" s="236">
        <f>0</f>
        <v>0</v>
      </c>
      <c r="S68" s="86">
        <f>0</f>
        <v>0</v>
      </c>
      <c r="T68" s="86">
        <f>0</f>
        <v>0</v>
      </c>
      <c r="U68" s="86">
        <f>0</f>
        <v>0</v>
      </c>
      <c r="V68" s="94">
        <v>1</v>
      </c>
      <c r="W68" s="86">
        <f>0</f>
        <v>0</v>
      </c>
      <c r="X68" s="86">
        <f>0</f>
        <v>0</v>
      </c>
      <c r="Y68" s="86">
        <f>0</f>
        <v>0</v>
      </c>
      <c r="Z68" s="86">
        <f>0</f>
        <v>0</v>
      </c>
      <c r="AA68" s="237">
        <f>0</f>
        <v>0</v>
      </c>
      <c r="AB68" s="239">
        <f>0</f>
        <v>0</v>
      </c>
      <c r="AC68" s="86">
        <f>0</f>
        <v>0</v>
      </c>
      <c r="AD68" s="86">
        <f>0</f>
        <v>0</v>
      </c>
      <c r="AE68" s="86"/>
      <c r="AF68" s="86"/>
      <c r="AG68" s="86"/>
      <c r="AH68" s="86"/>
      <c r="AI68" s="86"/>
      <c r="AJ68" s="86"/>
      <c r="AK68" s="237"/>
      <c r="AL68" s="263">
        <f t="shared" si="2"/>
        <v>1</v>
      </c>
      <c r="AM68" s="111">
        <f>0</f>
        <v>0</v>
      </c>
      <c r="AN68" s="266">
        <f t="shared" si="3"/>
        <v>1</v>
      </c>
      <c r="AO68" s="246">
        <v>45057</v>
      </c>
      <c r="AP68" s="126" t="s">
        <v>273</v>
      </c>
      <c r="AQ68" s="117" t="s">
        <v>461</v>
      </c>
      <c r="AR68" s="129" t="s">
        <v>148</v>
      </c>
      <c r="AS68" s="118"/>
      <c r="AT68" s="125"/>
      <c r="AU68" s="125"/>
      <c r="AV68" s="126"/>
      <c r="AW68" s="125"/>
      <c r="AX68" s="127"/>
      <c r="AY68" s="127"/>
      <c r="AZ68" s="128"/>
      <c r="BA68" s="91"/>
      <c r="BB68" s="91"/>
      <c r="BC68" s="91"/>
    </row>
    <row r="69" spans="1:55" ht="28" hidden="1" customHeight="1">
      <c r="A69" s="156">
        <v>64</v>
      </c>
      <c r="B69" s="167">
        <v>45054</v>
      </c>
      <c r="C69" s="87" t="s">
        <v>134</v>
      </c>
      <c r="D69" s="87" t="s">
        <v>135</v>
      </c>
      <c r="E69" s="87" t="s">
        <v>136</v>
      </c>
      <c r="F69" s="168" t="s">
        <v>432</v>
      </c>
      <c r="G69" s="169" t="s">
        <v>332</v>
      </c>
      <c r="H69" s="207" t="s">
        <v>110</v>
      </c>
      <c r="I69" s="208" t="s">
        <v>333</v>
      </c>
      <c r="J69" s="170" t="s">
        <v>334</v>
      </c>
      <c r="K69" s="161" t="s">
        <v>80</v>
      </c>
      <c r="L69" s="161" t="s">
        <v>320</v>
      </c>
      <c r="M69" s="123" t="s">
        <v>154</v>
      </c>
      <c r="N69" s="123" t="s">
        <v>80</v>
      </c>
      <c r="O69" s="123" t="s">
        <v>155</v>
      </c>
      <c r="P69" s="123"/>
      <c r="Q69" s="124"/>
      <c r="R69" s="236">
        <f>0</f>
        <v>0</v>
      </c>
      <c r="S69" s="86">
        <f>0</f>
        <v>0</v>
      </c>
      <c r="T69" s="86">
        <f>0</f>
        <v>0</v>
      </c>
      <c r="U69" s="86">
        <f>0</f>
        <v>0</v>
      </c>
      <c r="V69" s="94">
        <v>1</v>
      </c>
      <c r="W69" s="86">
        <f>0</f>
        <v>0</v>
      </c>
      <c r="X69" s="86">
        <f>0</f>
        <v>0</v>
      </c>
      <c r="Y69" s="86">
        <f>0</f>
        <v>0</v>
      </c>
      <c r="Z69" s="86">
        <f>0</f>
        <v>0</v>
      </c>
      <c r="AA69" s="237">
        <f>0</f>
        <v>0</v>
      </c>
      <c r="AB69" s="239">
        <f>0</f>
        <v>0</v>
      </c>
      <c r="AC69" s="86">
        <f>0</f>
        <v>0</v>
      </c>
      <c r="AD69" s="86">
        <f>0</f>
        <v>0</v>
      </c>
      <c r="AE69" s="86"/>
      <c r="AF69" s="86"/>
      <c r="AG69" s="86"/>
      <c r="AH69" s="86"/>
      <c r="AI69" s="86"/>
      <c r="AJ69" s="86"/>
      <c r="AK69" s="237"/>
      <c r="AL69" s="263">
        <f t="shared" si="2"/>
        <v>1</v>
      </c>
      <c r="AM69" s="111">
        <f>0</f>
        <v>0</v>
      </c>
      <c r="AN69" s="266">
        <f t="shared" si="3"/>
        <v>1</v>
      </c>
      <c r="AO69" s="246">
        <v>45057</v>
      </c>
      <c r="AP69" s="126" t="s">
        <v>273</v>
      </c>
      <c r="AQ69" s="117" t="s">
        <v>461</v>
      </c>
      <c r="AR69" s="129" t="s">
        <v>148</v>
      </c>
      <c r="AS69" s="118"/>
      <c r="AT69" s="125"/>
      <c r="AU69" s="125"/>
      <c r="AV69" s="126"/>
      <c r="AW69" s="125"/>
      <c r="AX69" s="127"/>
      <c r="AY69" s="127"/>
      <c r="AZ69" s="128"/>
      <c r="BA69" s="91"/>
      <c r="BB69" s="91"/>
      <c r="BC69" s="91"/>
    </row>
    <row r="70" spans="1:55" ht="28" hidden="1" customHeight="1">
      <c r="A70" s="156">
        <v>65</v>
      </c>
      <c r="B70" s="167">
        <v>45054</v>
      </c>
      <c r="C70" s="87" t="s">
        <v>134</v>
      </c>
      <c r="D70" s="87" t="s">
        <v>135</v>
      </c>
      <c r="E70" s="87" t="s">
        <v>136</v>
      </c>
      <c r="F70" s="168" t="s">
        <v>432</v>
      </c>
      <c r="G70" s="169" t="s">
        <v>335</v>
      </c>
      <c r="H70" s="207" t="s">
        <v>110</v>
      </c>
      <c r="I70" s="208" t="s">
        <v>336</v>
      </c>
      <c r="J70" s="170" t="s">
        <v>337</v>
      </c>
      <c r="K70" s="161" t="s">
        <v>80</v>
      </c>
      <c r="L70" s="161" t="s">
        <v>320</v>
      </c>
      <c r="M70" s="123" t="s">
        <v>154</v>
      </c>
      <c r="N70" s="123" t="s">
        <v>80</v>
      </c>
      <c r="O70" s="123" t="s">
        <v>155</v>
      </c>
      <c r="P70" s="123"/>
      <c r="Q70" s="124"/>
      <c r="R70" s="236">
        <f>0</f>
        <v>0</v>
      </c>
      <c r="S70" s="86">
        <f>0</f>
        <v>0</v>
      </c>
      <c r="T70" s="86">
        <f>0</f>
        <v>0</v>
      </c>
      <c r="U70" s="86">
        <f>0</f>
        <v>0</v>
      </c>
      <c r="V70" s="94">
        <v>2</v>
      </c>
      <c r="W70" s="86">
        <f>0</f>
        <v>0</v>
      </c>
      <c r="X70" s="86">
        <f>0</f>
        <v>0</v>
      </c>
      <c r="Y70" s="86">
        <f>0</f>
        <v>0</v>
      </c>
      <c r="Z70" s="86">
        <f>0</f>
        <v>0</v>
      </c>
      <c r="AA70" s="237">
        <f>0</f>
        <v>0</v>
      </c>
      <c r="AB70" s="239">
        <f>0</f>
        <v>0</v>
      </c>
      <c r="AC70" s="86">
        <f>0</f>
        <v>0</v>
      </c>
      <c r="AD70" s="86">
        <f>0</f>
        <v>0</v>
      </c>
      <c r="AE70" s="86"/>
      <c r="AF70" s="86"/>
      <c r="AG70" s="86"/>
      <c r="AH70" s="86"/>
      <c r="AI70" s="86"/>
      <c r="AJ70" s="86"/>
      <c r="AK70" s="237"/>
      <c r="AL70" s="263">
        <f t="shared" ref="AL70:AL101" si="4">SUM(R70:AK70)</f>
        <v>2</v>
      </c>
      <c r="AM70" s="111">
        <f>0</f>
        <v>0</v>
      </c>
      <c r="AN70" s="266">
        <f t="shared" ref="AN70:AN101" si="5">AL70-AM70</f>
        <v>2</v>
      </c>
      <c r="AO70" s="246">
        <v>45057</v>
      </c>
      <c r="AP70" s="126" t="s">
        <v>273</v>
      </c>
      <c r="AQ70" s="117" t="s">
        <v>461</v>
      </c>
      <c r="AR70" s="129" t="s">
        <v>148</v>
      </c>
      <c r="AS70" s="118"/>
      <c r="AT70" s="125"/>
      <c r="AU70" s="125"/>
      <c r="AV70" s="126"/>
      <c r="AW70" s="125"/>
      <c r="AX70" s="127"/>
      <c r="AY70" s="127"/>
      <c r="AZ70" s="128"/>
      <c r="BA70" s="91"/>
      <c r="BB70" s="91"/>
      <c r="BC70" s="91"/>
    </row>
    <row r="71" spans="1:55" ht="28" hidden="1" customHeight="1">
      <c r="A71" s="156">
        <v>66</v>
      </c>
      <c r="B71" s="167">
        <v>45054</v>
      </c>
      <c r="C71" s="87" t="s">
        <v>134</v>
      </c>
      <c r="D71" s="87" t="s">
        <v>135</v>
      </c>
      <c r="E71" s="87" t="s">
        <v>136</v>
      </c>
      <c r="F71" s="168" t="s">
        <v>432</v>
      </c>
      <c r="G71" s="169" t="s">
        <v>338</v>
      </c>
      <c r="H71" s="207" t="s">
        <v>110</v>
      </c>
      <c r="I71" s="208" t="s">
        <v>445</v>
      </c>
      <c r="J71" s="170" t="s">
        <v>339</v>
      </c>
      <c r="K71" s="161" t="s">
        <v>80</v>
      </c>
      <c r="L71" s="161" t="s">
        <v>320</v>
      </c>
      <c r="M71" s="123" t="s">
        <v>154</v>
      </c>
      <c r="N71" s="123" t="s">
        <v>80</v>
      </c>
      <c r="O71" s="123" t="s">
        <v>155</v>
      </c>
      <c r="P71" s="123"/>
      <c r="Q71" s="124"/>
      <c r="R71" s="236">
        <f>0</f>
        <v>0</v>
      </c>
      <c r="S71" s="86">
        <f>0</f>
        <v>0</v>
      </c>
      <c r="T71" s="86">
        <f>0</f>
        <v>0</v>
      </c>
      <c r="U71" s="86">
        <f>0</f>
        <v>0</v>
      </c>
      <c r="V71" s="94">
        <v>1</v>
      </c>
      <c r="W71" s="86">
        <f>0</f>
        <v>0</v>
      </c>
      <c r="X71" s="86">
        <f>0</f>
        <v>0</v>
      </c>
      <c r="Y71" s="86">
        <f>0</f>
        <v>0</v>
      </c>
      <c r="Z71" s="86">
        <f>0</f>
        <v>0</v>
      </c>
      <c r="AA71" s="237">
        <f>0</f>
        <v>0</v>
      </c>
      <c r="AB71" s="239">
        <f>0</f>
        <v>0</v>
      </c>
      <c r="AC71" s="86">
        <f>0</f>
        <v>0</v>
      </c>
      <c r="AD71" s="86">
        <f>0</f>
        <v>0</v>
      </c>
      <c r="AE71" s="86"/>
      <c r="AF71" s="86"/>
      <c r="AG71" s="86"/>
      <c r="AH71" s="86"/>
      <c r="AI71" s="86"/>
      <c r="AJ71" s="86"/>
      <c r="AK71" s="237"/>
      <c r="AL71" s="263">
        <f t="shared" si="4"/>
        <v>1</v>
      </c>
      <c r="AM71" s="111">
        <f>0</f>
        <v>0</v>
      </c>
      <c r="AN71" s="266">
        <f t="shared" si="5"/>
        <v>1</v>
      </c>
      <c r="AO71" s="246">
        <v>45057</v>
      </c>
      <c r="AP71" s="126" t="s">
        <v>273</v>
      </c>
      <c r="AQ71" s="117" t="s">
        <v>461</v>
      </c>
      <c r="AR71" s="129" t="s">
        <v>148</v>
      </c>
      <c r="AS71" s="118"/>
      <c r="AT71" s="125"/>
      <c r="AU71" s="125"/>
      <c r="AV71" s="126"/>
      <c r="AW71" s="125"/>
      <c r="AX71" s="127"/>
      <c r="AY71" s="127"/>
      <c r="AZ71" s="128"/>
      <c r="BA71" s="91"/>
      <c r="BB71" s="91"/>
      <c r="BC71" s="91"/>
    </row>
    <row r="72" spans="1:55" ht="28" hidden="1" customHeight="1">
      <c r="A72" s="156">
        <v>67</v>
      </c>
      <c r="B72" s="167">
        <v>45054</v>
      </c>
      <c r="C72" s="87" t="s">
        <v>134</v>
      </c>
      <c r="D72" s="87" t="s">
        <v>135</v>
      </c>
      <c r="E72" s="87" t="s">
        <v>136</v>
      </c>
      <c r="F72" s="168" t="s">
        <v>432</v>
      </c>
      <c r="G72" s="169" t="s">
        <v>340</v>
      </c>
      <c r="H72" s="207" t="s">
        <v>110</v>
      </c>
      <c r="I72" s="208" t="s">
        <v>341</v>
      </c>
      <c r="J72" s="170" t="s">
        <v>342</v>
      </c>
      <c r="K72" s="161" t="s">
        <v>80</v>
      </c>
      <c r="L72" s="161" t="s">
        <v>320</v>
      </c>
      <c r="M72" s="123" t="s">
        <v>154</v>
      </c>
      <c r="N72" s="123" t="s">
        <v>80</v>
      </c>
      <c r="O72" s="123" t="s">
        <v>155</v>
      </c>
      <c r="P72" s="123"/>
      <c r="Q72" s="124"/>
      <c r="R72" s="236">
        <f>0</f>
        <v>0</v>
      </c>
      <c r="S72" s="86">
        <f>0</f>
        <v>0</v>
      </c>
      <c r="T72" s="86">
        <f>0</f>
        <v>0</v>
      </c>
      <c r="U72" s="86">
        <f>0</f>
        <v>0</v>
      </c>
      <c r="V72" s="94">
        <v>1</v>
      </c>
      <c r="W72" s="86">
        <f>0</f>
        <v>0</v>
      </c>
      <c r="X72" s="86">
        <f>0</f>
        <v>0</v>
      </c>
      <c r="Y72" s="86">
        <f>0</f>
        <v>0</v>
      </c>
      <c r="Z72" s="86">
        <f>0</f>
        <v>0</v>
      </c>
      <c r="AA72" s="237">
        <f>0</f>
        <v>0</v>
      </c>
      <c r="AB72" s="239">
        <f>0</f>
        <v>0</v>
      </c>
      <c r="AC72" s="86">
        <f>0</f>
        <v>0</v>
      </c>
      <c r="AD72" s="86">
        <f>0</f>
        <v>0</v>
      </c>
      <c r="AE72" s="86"/>
      <c r="AF72" s="86"/>
      <c r="AG72" s="86"/>
      <c r="AH72" s="86"/>
      <c r="AI72" s="86"/>
      <c r="AJ72" s="86"/>
      <c r="AK72" s="237"/>
      <c r="AL72" s="263">
        <f t="shared" si="4"/>
        <v>1</v>
      </c>
      <c r="AM72" s="111">
        <f>0</f>
        <v>0</v>
      </c>
      <c r="AN72" s="266">
        <f t="shared" si="5"/>
        <v>1</v>
      </c>
      <c r="AO72" s="246">
        <v>45057</v>
      </c>
      <c r="AP72" s="126" t="s">
        <v>273</v>
      </c>
      <c r="AQ72" s="117" t="s">
        <v>461</v>
      </c>
      <c r="AR72" s="129" t="s">
        <v>148</v>
      </c>
      <c r="AS72" s="118"/>
      <c r="AT72" s="125"/>
      <c r="AU72" s="125"/>
      <c r="AV72" s="126"/>
      <c r="AW72" s="125"/>
      <c r="AX72" s="127"/>
      <c r="AY72" s="127"/>
      <c r="AZ72" s="128"/>
      <c r="BA72" s="91"/>
      <c r="BB72" s="91"/>
      <c r="BC72" s="91"/>
    </row>
    <row r="73" spans="1:55" ht="28" hidden="1" customHeight="1">
      <c r="A73" s="156">
        <v>68</v>
      </c>
      <c r="B73" s="167">
        <v>45054</v>
      </c>
      <c r="C73" s="87" t="s">
        <v>134</v>
      </c>
      <c r="D73" s="87" t="s">
        <v>135</v>
      </c>
      <c r="E73" s="87" t="s">
        <v>136</v>
      </c>
      <c r="F73" s="168" t="s">
        <v>432</v>
      </c>
      <c r="G73" s="169" t="s">
        <v>343</v>
      </c>
      <c r="H73" s="207" t="s">
        <v>110</v>
      </c>
      <c r="I73" s="208" t="s">
        <v>333</v>
      </c>
      <c r="J73" s="170" t="s">
        <v>344</v>
      </c>
      <c r="K73" s="161" t="s">
        <v>80</v>
      </c>
      <c r="L73" s="161" t="s">
        <v>320</v>
      </c>
      <c r="M73" s="123" t="s">
        <v>154</v>
      </c>
      <c r="N73" s="123" t="s">
        <v>80</v>
      </c>
      <c r="O73" s="123" t="s">
        <v>155</v>
      </c>
      <c r="P73" s="123"/>
      <c r="Q73" s="124"/>
      <c r="R73" s="236">
        <f>0</f>
        <v>0</v>
      </c>
      <c r="S73" s="86">
        <f>0</f>
        <v>0</v>
      </c>
      <c r="T73" s="86">
        <f>0</f>
        <v>0</v>
      </c>
      <c r="U73" s="86">
        <f>0</f>
        <v>0</v>
      </c>
      <c r="V73" s="94">
        <v>1</v>
      </c>
      <c r="W73" s="86">
        <f>0</f>
        <v>0</v>
      </c>
      <c r="X73" s="86">
        <f>0</f>
        <v>0</v>
      </c>
      <c r="Y73" s="86">
        <f>0</f>
        <v>0</v>
      </c>
      <c r="Z73" s="86">
        <f>0</f>
        <v>0</v>
      </c>
      <c r="AA73" s="237">
        <f>0</f>
        <v>0</v>
      </c>
      <c r="AB73" s="239">
        <f>0</f>
        <v>0</v>
      </c>
      <c r="AC73" s="86">
        <f>0</f>
        <v>0</v>
      </c>
      <c r="AD73" s="86">
        <f>0</f>
        <v>0</v>
      </c>
      <c r="AE73" s="86"/>
      <c r="AF73" s="86"/>
      <c r="AG73" s="86"/>
      <c r="AH73" s="86"/>
      <c r="AI73" s="86"/>
      <c r="AJ73" s="86"/>
      <c r="AK73" s="237"/>
      <c r="AL73" s="263">
        <f t="shared" si="4"/>
        <v>1</v>
      </c>
      <c r="AM73" s="111">
        <f>0</f>
        <v>0</v>
      </c>
      <c r="AN73" s="266">
        <f t="shared" si="5"/>
        <v>1</v>
      </c>
      <c r="AO73" s="246">
        <v>45057</v>
      </c>
      <c r="AP73" s="126" t="s">
        <v>273</v>
      </c>
      <c r="AQ73" s="117" t="s">
        <v>461</v>
      </c>
      <c r="AR73" s="129" t="s">
        <v>148</v>
      </c>
      <c r="AS73" s="118"/>
      <c r="AT73" s="125"/>
      <c r="AU73" s="125"/>
      <c r="AV73" s="126"/>
      <c r="AW73" s="125"/>
      <c r="AX73" s="127"/>
      <c r="AY73" s="127"/>
      <c r="AZ73" s="128"/>
      <c r="BA73" s="91"/>
      <c r="BB73" s="91"/>
      <c r="BC73" s="91"/>
    </row>
    <row r="74" spans="1:55" ht="28" hidden="1" customHeight="1">
      <c r="A74" s="156">
        <v>69</v>
      </c>
      <c r="B74" s="167">
        <v>45054</v>
      </c>
      <c r="C74" s="87" t="s">
        <v>134</v>
      </c>
      <c r="D74" s="87" t="s">
        <v>135</v>
      </c>
      <c r="E74" s="87" t="s">
        <v>136</v>
      </c>
      <c r="F74" s="168" t="s">
        <v>432</v>
      </c>
      <c r="G74" s="169" t="s">
        <v>345</v>
      </c>
      <c r="H74" s="207" t="s">
        <v>110</v>
      </c>
      <c r="I74" s="208" t="s">
        <v>346</v>
      </c>
      <c r="J74" s="170" t="s">
        <v>347</v>
      </c>
      <c r="K74" s="161" t="s">
        <v>80</v>
      </c>
      <c r="L74" s="161" t="s">
        <v>320</v>
      </c>
      <c r="M74" s="123" t="s">
        <v>154</v>
      </c>
      <c r="N74" s="123" t="s">
        <v>80</v>
      </c>
      <c r="O74" s="123" t="s">
        <v>155</v>
      </c>
      <c r="P74" s="123"/>
      <c r="Q74" s="124"/>
      <c r="R74" s="236">
        <f>0</f>
        <v>0</v>
      </c>
      <c r="S74" s="86">
        <f>0</f>
        <v>0</v>
      </c>
      <c r="T74" s="86">
        <f>0</f>
        <v>0</v>
      </c>
      <c r="U74" s="86">
        <f>0</f>
        <v>0</v>
      </c>
      <c r="V74" s="94">
        <v>1</v>
      </c>
      <c r="W74" s="86">
        <f>0</f>
        <v>0</v>
      </c>
      <c r="X74" s="86">
        <f>0</f>
        <v>0</v>
      </c>
      <c r="Y74" s="86">
        <f>0</f>
        <v>0</v>
      </c>
      <c r="Z74" s="86">
        <f>0</f>
        <v>0</v>
      </c>
      <c r="AA74" s="237">
        <f>0</f>
        <v>0</v>
      </c>
      <c r="AB74" s="239">
        <f>0</f>
        <v>0</v>
      </c>
      <c r="AC74" s="86">
        <f>0</f>
        <v>0</v>
      </c>
      <c r="AD74" s="86">
        <f>0</f>
        <v>0</v>
      </c>
      <c r="AE74" s="86"/>
      <c r="AF74" s="86"/>
      <c r="AG74" s="86"/>
      <c r="AH74" s="86"/>
      <c r="AI74" s="86"/>
      <c r="AJ74" s="86"/>
      <c r="AK74" s="237"/>
      <c r="AL74" s="263">
        <f t="shared" si="4"/>
        <v>1</v>
      </c>
      <c r="AM74" s="111">
        <f>0</f>
        <v>0</v>
      </c>
      <c r="AN74" s="266">
        <f t="shared" si="5"/>
        <v>1</v>
      </c>
      <c r="AO74" s="246">
        <v>45057</v>
      </c>
      <c r="AP74" s="126" t="s">
        <v>273</v>
      </c>
      <c r="AQ74" s="117" t="s">
        <v>461</v>
      </c>
      <c r="AR74" s="129" t="s">
        <v>148</v>
      </c>
      <c r="AS74" s="118"/>
      <c r="AT74" s="125"/>
      <c r="AU74" s="125"/>
      <c r="AV74" s="126"/>
      <c r="AW74" s="125"/>
      <c r="AX74" s="127"/>
      <c r="AY74" s="127"/>
      <c r="AZ74" s="128"/>
      <c r="BA74" s="91"/>
      <c r="BB74" s="91"/>
      <c r="BC74" s="91"/>
    </row>
    <row r="75" spans="1:55" ht="28" hidden="1" customHeight="1">
      <c r="A75" s="156">
        <v>70</v>
      </c>
      <c r="B75" s="167">
        <v>45054</v>
      </c>
      <c r="C75" s="87" t="s">
        <v>134</v>
      </c>
      <c r="D75" s="87" t="s">
        <v>135</v>
      </c>
      <c r="E75" s="87" t="s">
        <v>136</v>
      </c>
      <c r="F75" s="168" t="s">
        <v>432</v>
      </c>
      <c r="G75" s="169" t="s">
        <v>348</v>
      </c>
      <c r="H75" s="207" t="s">
        <v>110</v>
      </c>
      <c r="I75" s="208" t="s">
        <v>349</v>
      </c>
      <c r="J75" s="170" t="s">
        <v>350</v>
      </c>
      <c r="K75" s="161" t="s">
        <v>80</v>
      </c>
      <c r="L75" s="161" t="s">
        <v>320</v>
      </c>
      <c r="M75" s="123" t="s">
        <v>154</v>
      </c>
      <c r="N75" s="123" t="s">
        <v>80</v>
      </c>
      <c r="O75" s="123" t="s">
        <v>155</v>
      </c>
      <c r="P75" s="123"/>
      <c r="Q75" s="124"/>
      <c r="R75" s="236">
        <f>0</f>
        <v>0</v>
      </c>
      <c r="S75" s="86">
        <f>0</f>
        <v>0</v>
      </c>
      <c r="T75" s="86">
        <f>0</f>
        <v>0</v>
      </c>
      <c r="U75" s="86">
        <f>0</f>
        <v>0</v>
      </c>
      <c r="V75" s="94">
        <v>1</v>
      </c>
      <c r="W75" s="86">
        <f>0</f>
        <v>0</v>
      </c>
      <c r="X75" s="86">
        <f>0</f>
        <v>0</v>
      </c>
      <c r="Y75" s="86">
        <f>0</f>
        <v>0</v>
      </c>
      <c r="Z75" s="86">
        <f>0</f>
        <v>0</v>
      </c>
      <c r="AA75" s="237">
        <f>0</f>
        <v>0</v>
      </c>
      <c r="AB75" s="239">
        <f>0</f>
        <v>0</v>
      </c>
      <c r="AC75" s="86">
        <f>0</f>
        <v>0</v>
      </c>
      <c r="AD75" s="86">
        <f>0</f>
        <v>0</v>
      </c>
      <c r="AE75" s="86"/>
      <c r="AF75" s="86"/>
      <c r="AG75" s="86"/>
      <c r="AH75" s="86"/>
      <c r="AI75" s="86"/>
      <c r="AJ75" s="86"/>
      <c r="AK75" s="237"/>
      <c r="AL75" s="263">
        <f t="shared" si="4"/>
        <v>1</v>
      </c>
      <c r="AM75" s="111">
        <f>0</f>
        <v>0</v>
      </c>
      <c r="AN75" s="266">
        <f t="shared" si="5"/>
        <v>1</v>
      </c>
      <c r="AO75" s="246">
        <v>45057</v>
      </c>
      <c r="AP75" s="126" t="s">
        <v>273</v>
      </c>
      <c r="AQ75" s="117" t="s">
        <v>461</v>
      </c>
      <c r="AR75" s="129" t="s">
        <v>148</v>
      </c>
      <c r="AS75" s="118"/>
      <c r="AT75" s="125"/>
      <c r="AU75" s="125"/>
      <c r="AV75" s="126"/>
      <c r="AW75" s="125"/>
      <c r="AX75" s="127"/>
      <c r="AY75" s="127"/>
      <c r="AZ75" s="128"/>
      <c r="BA75" s="91"/>
      <c r="BB75" s="91"/>
      <c r="BC75" s="91"/>
    </row>
    <row r="76" spans="1:55" ht="28" hidden="1" customHeight="1">
      <c r="A76" s="156">
        <v>71</v>
      </c>
      <c r="B76" s="167">
        <v>45054</v>
      </c>
      <c r="C76" s="87" t="s">
        <v>134</v>
      </c>
      <c r="D76" s="87" t="s">
        <v>135</v>
      </c>
      <c r="E76" s="87" t="s">
        <v>136</v>
      </c>
      <c r="F76" s="168" t="s">
        <v>432</v>
      </c>
      <c r="G76" s="169" t="s">
        <v>351</v>
      </c>
      <c r="H76" s="207" t="s">
        <v>110</v>
      </c>
      <c r="I76" s="208" t="s">
        <v>352</v>
      </c>
      <c r="J76" s="170" t="s">
        <v>353</v>
      </c>
      <c r="K76" s="161" t="s">
        <v>80</v>
      </c>
      <c r="L76" s="161" t="s">
        <v>153</v>
      </c>
      <c r="M76" s="123" t="s">
        <v>154</v>
      </c>
      <c r="N76" s="123" t="s">
        <v>80</v>
      </c>
      <c r="O76" s="123" t="s">
        <v>155</v>
      </c>
      <c r="P76" s="123"/>
      <c r="Q76" s="124"/>
      <c r="R76" s="236">
        <f>0</f>
        <v>0</v>
      </c>
      <c r="S76" s="86">
        <f>0</f>
        <v>0</v>
      </c>
      <c r="T76" s="86">
        <f>0</f>
        <v>0</v>
      </c>
      <c r="U76" s="86">
        <f>0</f>
        <v>0</v>
      </c>
      <c r="V76" s="94">
        <v>1</v>
      </c>
      <c r="W76" s="86">
        <f>0</f>
        <v>0</v>
      </c>
      <c r="X76" s="86">
        <f>0</f>
        <v>0</v>
      </c>
      <c r="Y76" s="86">
        <f>0</f>
        <v>0</v>
      </c>
      <c r="Z76" s="86">
        <f>0</f>
        <v>0</v>
      </c>
      <c r="AA76" s="237">
        <f>0</f>
        <v>0</v>
      </c>
      <c r="AB76" s="239">
        <f>0</f>
        <v>0</v>
      </c>
      <c r="AC76" s="86">
        <f>0</f>
        <v>0</v>
      </c>
      <c r="AD76" s="86">
        <f>0</f>
        <v>0</v>
      </c>
      <c r="AE76" s="86"/>
      <c r="AF76" s="86"/>
      <c r="AG76" s="86"/>
      <c r="AH76" s="86"/>
      <c r="AI76" s="86"/>
      <c r="AJ76" s="86"/>
      <c r="AK76" s="237"/>
      <c r="AL76" s="263">
        <f t="shared" si="4"/>
        <v>1</v>
      </c>
      <c r="AM76" s="111">
        <f>0</f>
        <v>0</v>
      </c>
      <c r="AN76" s="266">
        <f t="shared" si="5"/>
        <v>1</v>
      </c>
      <c r="AO76" s="246">
        <v>45057</v>
      </c>
      <c r="AP76" s="126" t="s">
        <v>273</v>
      </c>
      <c r="AQ76" s="117" t="s">
        <v>461</v>
      </c>
      <c r="AR76" s="129" t="s">
        <v>148</v>
      </c>
      <c r="AS76" s="118"/>
      <c r="AT76" s="125"/>
      <c r="AU76" s="125"/>
      <c r="AV76" s="126"/>
      <c r="AW76" s="125"/>
      <c r="AX76" s="127"/>
      <c r="AY76" s="127"/>
      <c r="AZ76" s="128"/>
      <c r="BA76" s="91"/>
      <c r="BB76" s="91"/>
      <c r="BC76" s="91"/>
    </row>
    <row r="77" spans="1:55" ht="28" hidden="1" customHeight="1">
      <c r="A77" s="156">
        <v>72</v>
      </c>
      <c r="B77" s="167">
        <v>45054</v>
      </c>
      <c r="C77" s="87" t="s">
        <v>134</v>
      </c>
      <c r="D77" s="87" t="s">
        <v>135</v>
      </c>
      <c r="E77" s="87" t="s">
        <v>136</v>
      </c>
      <c r="F77" s="168" t="s">
        <v>432</v>
      </c>
      <c r="G77" s="169" t="s">
        <v>354</v>
      </c>
      <c r="H77" s="207" t="s">
        <v>110</v>
      </c>
      <c r="I77" s="208" t="s">
        <v>446</v>
      </c>
      <c r="J77" s="170" t="s">
        <v>355</v>
      </c>
      <c r="K77" s="161" t="s">
        <v>80</v>
      </c>
      <c r="L77" s="161" t="s">
        <v>153</v>
      </c>
      <c r="M77" s="123" t="s">
        <v>154</v>
      </c>
      <c r="N77" s="123" t="s">
        <v>80</v>
      </c>
      <c r="O77" s="123" t="s">
        <v>155</v>
      </c>
      <c r="P77" s="123"/>
      <c r="Q77" s="124"/>
      <c r="R77" s="236">
        <f>0</f>
        <v>0</v>
      </c>
      <c r="S77" s="86">
        <f>0</f>
        <v>0</v>
      </c>
      <c r="T77" s="86">
        <f>0</f>
        <v>0</v>
      </c>
      <c r="U77" s="86">
        <f>0</f>
        <v>0</v>
      </c>
      <c r="V77" s="94">
        <v>1</v>
      </c>
      <c r="W77" s="86">
        <f>0</f>
        <v>0</v>
      </c>
      <c r="X77" s="86">
        <f>0</f>
        <v>0</v>
      </c>
      <c r="Y77" s="86">
        <f>0</f>
        <v>0</v>
      </c>
      <c r="Z77" s="86">
        <f>0</f>
        <v>0</v>
      </c>
      <c r="AA77" s="237">
        <f>0</f>
        <v>0</v>
      </c>
      <c r="AB77" s="239">
        <f>0</f>
        <v>0</v>
      </c>
      <c r="AC77" s="86">
        <f>0</f>
        <v>0</v>
      </c>
      <c r="AD77" s="86">
        <f>0</f>
        <v>0</v>
      </c>
      <c r="AE77" s="86"/>
      <c r="AF77" s="86"/>
      <c r="AG77" s="86"/>
      <c r="AH77" s="86"/>
      <c r="AI77" s="86"/>
      <c r="AJ77" s="86"/>
      <c r="AK77" s="237"/>
      <c r="AL77" s="263">
        <f t="shared" si="4"/>
        <v>1</v>
      </c>
      <c r="AM77" s="111">
        <f>0</f>
        <v>0</v>
      </c>
      <c r="AN77" s="266">
        <f t="shared" si="5"/>
        <v>1</v>
      </c>
      <c r="AO77" s="246">
        <v>45057</v>
      </c>
      <c r="AP77" s="126" t="s">
        <v>273</v>
      </c>
      <c r="AQ77" s="117" t="s">
        <v>461</v>
      </c>
      <c r="AR77" s="129" t="s">
        <v>148</v>
      </c>
      <c r="AS77" s="118"/>
      <c r="AT77" s="125"/>
      <c r="AU77" s="125"/>
      <c r="AV77" s="126"/>
      <c r="AW77" s="125"/>
      <c r="AX77" s="127"/>
      <c r="AY77" s="127"/>
      <c r="AZ77" s="128"/>
      <c r="BA77" s="91"/>
      <c r="BB77" s="91"/>
      <c r="BC77" s="91"/>
    </row>
    <row r="78" spans="1:55" ht="28" hidden="1" customHeight="1">
      <c r="A78" s="156">
        <v>73</v>
      </c>
      <c r="B78" s="167">
        <v>45054</v>
      </c>
      <c r="C78" s="87" t="s">
        <v>134</v>
      </c>
      <c r="D78" s="87" t="s">
        <v>135</v>
      </c>
      <c r="E78" s="87" t="s">
        <v>136</v>
      </c>
      <c r="F78" s="168" t="s">
        <v>432</v>
      </c>
      <c r="G78" s="169" t="s">
        <v>356</v>
      </c>
      <c r="H78" s="207" t="s">
        <v>110</v>
      </c>
      <c r="I78" s="208" t="s">
        <v>447</v>
      </c>
      <c r="J78" s="170" t="s">
        <v>357</v>
      </c>
      <c r="K78" s="161" t="s">
        <v>80</v>
      </c>
      <c r="L78" s="161" t="s">
        <v>358</v>
      </c>
      <c r="M78" s="123" t="s">
        <v>114</v>
      </c>
      <c r="N78" s="123" t="s">
        <v>80</v>
      </c>
      <c r="O78" s="123" t="s">
        <v>120</v>
      </c>
      <c r="P78" s="123"/>
      <c r="Q78" s="124"/>
      <c r="R78" s="236">
        <f>0</f>
        <v>0</v>
      </c>
      <c r="S78" s="86">
        <f>0</f>
        <v>0</v>
      </c>
      <c r="T78" s="86">
        <f>0</f>
        <v>0</v>
      </c>
      <c r="U78" s="86">
        <f>0</f>
        <v>0</v>
      </c>
      <c r="V78" s="94">
        <v>1</v>
      </c>
      <c r="W78" s="86">
        <f>0</f>
        <v>0</v>
      </c>
      <c r="X78" s="86">
        <f>0</f>
        <v>0</v>
      </c>
      <c r="Y78" s="86">
        <f>0</f>
        <v>0</v>
      </c>
      <c r="Z78" s="86">
        <f>0</f>
        <v>0</v>
      </c>
      <c r="AA78" s="237">
        <f>0</f>
        <v>0</v>
      </c>
      <c r="AB78" s="239">
        <f>0</f>
        <v>0</v>
      </c>
      <c r="AC78" s="86">
        <f>0</f>
        <v>0</v>
      </c>
      <c r="AD78" s="86">
        <f>0</f>
        <v>0</v>
      </c>
      <c r="AE78" s="86"/>
      <c r="AF78" s="86"/>
      <c r="AG78" s="86"/>
      <c r="AH78" s="86"/>
      <c r="AI78" s="86"/>
      <c r="AJ78" s="86"/>
      <c r="AK78" s="237"/>
      <c r="AL78" s="263">
        <f t="shared" si="4"/>
        <v>1</v>
      </c>
      <c r="AM78" s="111">
        <f>0</f>
        <v>0</v>
      </c>
      <c r="AN78" s="266">
        <f t="shared" si="5"/>
        <v>1</v>
      </c>
      <c r="AO78" s="246">
        <v>45057</v>
      </c>
      <c r="AP78" s="126" t="s">
        <v>273</v>
      </c>
      <c r="AQ78" s="117" t="s">
        <v>462</v>
      </c>
      <c r="AR78" s="129" t="s">
        <v>276</v>
      </c>
      <c r="AS78" s="118"/>
      <c r="AT78" s="125"/>
      <c r="AU78" s="125">
        <v>1</v>
      </c>
      <c r="AV78" s="126"/>
      <c r="AW78" s="125" t="s">
        <v>665</v>
      </c>
      <c r="AX78" s="127"/>
      <c r="AY78" s="127"/>
      <c r="AZ78" s="128"/>
      <c r="BA78" s="91"/>
      <c r="BB78" s="91"/>
      <c r="BC78" s="91"/>
    </row>
    <row r="79" spans="1:55" ht="28" hidden="1" customHeight="1">
      <c r="A79" s="156">
        <v>74</v>
      </c>
      <c r="B79" s="167">
        <v>45054</v>
      </c>
      <c r="C79" s="87" t="s">
        <v>134</v>
      </c>
      <c r="D79" s="87" t="s">
        <v>135</v>
      </c>
      <c r="E79" s="87" t="s">
        <v>136</v>
      </c>
      <c r="F79" s="168" t="s">
        <v>432</v>
      </c>
      <c r="G79" s="169" t="s">
        <v>359</v>
      </c>
      <c r="H79" s="207" t="s">
        <v>110</v>
      </c>
      <c r="I79" s="208" t="s">
        <v>360</v>
      </c>
      <c r="J79" s="170" t="s">
        <v>361</v>
      </c>
      <c r="K79" s="161" t="s">
        <v>80</v>
      </c>
      <c r="L79" s="161" t="s">
        <v>168</v>
      </c>
      <c r="M79" s="123" t="s">
        <v>154</v>
      </c>
      <c r="N79" s="123" t="s">
        <v>80</v>
      </c>
      <c r="O79" s="123" t="s">
        <v>149</v>
      </c>
      <c r="P79" s="123"/>
      <c r="Q79" s="124"/>
      <c r="R79" s="236">
        <f>0</f>
        <v>0</v>
      </c>
      <c r="S79" s="86">
        <f>0</f>
        <v>0</v>
      </c>
      <c r="T79" s="86">
        <f>0</f>
        <v>0</v>
      </c>
      <c r="U79" s="86">
        <f>0</f>
        <v>0</v>
      </c>
      <c r="V79" s="94">
        <v>1</v>
      </c>
      <c r="W79" s="86">
        <f>0</f>
        <v>0</v>
      </c>
      <c r="X79" s="86">
        <f>0</f>
        <v>0</v>
      </c>
      <c r="Y79" s="86">
        <f>0</f>
        <v>0</v>
      </c>
      <c r="Z79" s="86">
        <f>0</f>
        <v>0</v>
      </c>
      <c r="AA79" s="237">
        <f>0</f>
        <v>0</v>
      </c>
      <c r="AB79" s="239">
        <f>0</f>
        <v>0</v>
      </c>
      <c r="AC79" s="86">
        <f>0</f>
        <v>0</v>
      </c>
      <c r="AD79" s="86">
        <f>0</f>
        <v>0</v>
      </c>
      <c r="AE79" s="86"/>
      <c r="AF79" s="86"/>
      <c r="AG79" s="86"/>
      <c r="AH79" s="86"/>
      <c r="AI79" s="86"/>
      <c r="AJ79" s="86"/>
      <c r="AK79" s="237"/>
      <c r="AL79" s="263">
        <f t="shared" si="4"/>
        <v>1</v>
      </c>
      <c r="AM79" s="111">
        <f>0</f>
        <v>0</v>
      </c>
      <c r="AN79" s="266">
        <f t="shared" si="5"/>
        <v>1</v>
      </c>
      <c r="AO79" s="246">
        <v>45057</v>
      </c>
      <c r="AP79" s="126" t="s">
        <v>273</v>
      </c>
      <c r="AQ79" s="117" t="s">
        <v>461</v>
      </c>
      <c r="AR79" s="129" t="s">
        <v>148</v>
      </c>
      <c r="AS79" s="118"/>
      <c r="AT79" s="125"/>
      <c r="AU79" s="125">
        <v>1</v>
      </c>
      <c r="AV79" s="126"/>
      <c r="AW79" s="125" t="s">
        <v>459</v>
      </c>
      <c r="AX79" s="127"/>
      <c r="AY79" s="127"/>
      <c r="AZ79" s="128"/>
      <c r="BA79" s="91"/>
      <c r="BB79" s="91"/>
      <c r="BC79" s="91"/>
    </row>
    <row r="80" spans="1:55" ht="28" hidden="1" customHeight="1">
      <c r="A80" s="156">
        <v>75</v>
      </c>
      <c r="B80" s="167">
        <v>45054</v>
      </c>
      <c r="C80" s="87" t="s">
        <v>134</v>
      </c>
      <c r="D80" s="87" t="s">
        <v>135</v>
      </c>
      <c r="E80" s="87" t="s">
        <v>136</v>
      </c>
      <c r="F80" s="168" t="s">
        <v>432</v>
      </c>
      <c r="G80" s="169" t="s">
        <v>362</v>
      </c>
      <c r="H80" s="207" t="s">
        <v>110</v>
      </c>
      <c r="I80" s="208" t="s">
        <v>448</v>
      </c>
      <c r="J80" s="170" t="s">
        <v>363</v>
      </c>
      <c r="K80" s="161" t="s">
        <v>80</v>
      </c>
      <c r="L80" s="161" t="s">
        <v>168</v>
      </c>
      <c r="M80" s="123" t="s">
        <v>154</v>
      </c>
      <c r="N80" s="123" t="s">
        <v>80</v>
      </c>
      <c r="O80" s="123" t="s">
        <v>149</v>
      </c>
      <c r="P80" s="123"/>
      <c r="Q80" s="124"/>
      <c r="R80" s="236">
        <f>0</f>
        <v>0</v>
      </c>
      <c r="S80" s="86">
        <f>0</f>
        <v>0</v>
      </c>
      <c r="T80" s="86">
        <f>0</f>
        <v>0</v>
      </c>
      <c r="U80" s="86">
        <f>0</f>
        <v>0</v>
      </c>
      <c r="V80" s="94">
        <v>1</v>
      </c>
      <c r="W80" s="86">
        <f>0</f>
        <v>0</v>
      </c>
      <c r="X80" s="86">
        <f>0</f>
        <v>0</v>
      </c>
      <c r="Y80" s="86">
        <f>0</f>
        <v>0</v>
      </c>
      <c r="Z80" s="86">
        <f>0</f>
        <v>0</v>
      </c>
      <c r="AA80" s="237">
        <f>0</f>
        <v>0</v>
      </c>
      <c r="AB80" s="239">
        <f>0</f>
        <v>0</v>
      </c>
      <c r="AC80" s="86">
        <f>0</f>
        <v>0</v>
      </c>
      <c r="AD80" s="86">
        <f>0</f>
        <v>0</v>
      </c>
      <c r="AE80" s="86"/>
      <c r="AF80" s="86"/>
      <c r="AG80" s="86"/>
      <c r="AH80" s="86"/>
      <c r="AI80" s="86"/>
      <c r="AJ80" s="86"/>
      <c r="AK80" s="237"/>
      <c r="AL80" s="263">
        <f t="shared" si="4"/>
        <v>1</v>
      </c>
      <c r="AM80" s="111">
        <f>0</f>
        <v>0</v>
      </c>
      <c r="AN80" s="266">
        <f t="shared" si="5"/>
        <v>1</v>
      </c>
      <c r="AO80" s="247">
        <v>45076</v>
      </c>
      <c r="AP80" s="186" t="s">
        <v>273</v>
      </c>
      <c r="AQ80" s="117" t="s">
        <v>1293</v>
      </c>
      <c r="AR80" s="129" t="s">
        <v>667</v>
      </c>
      <c r="AS80" s="118"/>
      <c r="AT80" s="125"/>
      <c r="AU80" s="125"/>
      <c r="AV80" s="126"/>
      <c r="AW80" s="125"/>
      <c r="AX80" s="127"/>
      <c r="AY80" s="127"/>
      <c r="AZ80" s="128"/>
      <c r="BA80" s="91"/>
      <c r="BB80" s="91"/>
      <c r="BC80" s="91"/>
    </row>
    <row r="81" spans="1:55" ht="28" hidden="1" customHeight="1">
      <c r="A81" s="156">
        <v>76</v>
      </c>
      <c r="B81" s="167">
        <v>45054</v>
      </c>
      <c r="C81" s="87" t="s">
        <v>134</v>
      </c>
      <c r="D81" s="87" t="s">
        <v>135</v>
      </c>
      <c r="E81" s="87" t="s">
        <v>136</v>
      </c>
      <c r="F81" s="168" t="s">
        <v>432</v>
      </c>
      <c r="G81" s="169" t="s">
        <v>364</v>
      </c>
      <c r="H81" s="207" t="s">
        <v>110</v>
      </c>
      <c r="I81" s="208" t="s">
        <v>365</v>
      </c>
      <c r="J81" s="170" t="s">
        <v>366</v>
      </c>
      <c r="K81" s="161" t="s">
        <v>80</v>
      </c>
      <c r="L81" s="161" t="s">
        <v>168</v>
      </c>
      <c r="M81" s="123" t="s">
        <v>154</v>
      </c>
      <c r="N81" s="123" t="s">
        <v>80</v>
      </c>
      <c r="O81" s="123" t="s">
        <v>149</v>
      </c>
      <c r="P81" s="123"/>
      <c r="Q81" s="124"/>
      <c r="R81" s="236">
        <f>0</f>
        <v>0</v>
      </c>
      <c r="S81" s="86">
        <f>0</f>
        <v>0</v>
      </c>
      <c r="T81" s="86">
        <f>0</f>
        <v>0</v>
      </c>
      <c r="U81" s="86">
        <f>0</f>
        <v>0</v>
      </c>
      <c r="V81" s="94">
        <v>2</v>
      </c>
      <c r="W81" s="86">
        <f>0</f>
        <v>0</v>
      </c>
      <c r="X81" s="86">
        <f>0</f>
        <v>0</v>
      </c>
      <c r="Y81" s="86">
        <f>0</f>
        <v>0</v>
      </c>
      <c r="Z81" s="86">
        <f>0</f>
        <v>0</v>
      </c>
      <c r="AA81" s="237">
        <f>0</f>
        <v>0</v>
      </c>
      <c r="AB81" s="239">
        <f>0</f>
        <v>0</v>
      </c>
      <c r="AC81" s="86">
        <f>0</f>
        <v>0</v>
      </c>
      <c r="AD81" s="86">
        <f>0</f>
        <v>0</v>
      </c>
      <c r="AE81" s="86"/>
      <c r="AF81" s="86"/>
      <c r="AG81" s="86"/>
      <c r="AH81" s="86"/>
      <c r="AI81" s="86"/>
      <c r="AJ81" s="86"/>
      <c r="AK81" s="237"/>
      <c r="AL81" s="263">
        <f t="shared" si="4"/>
        <v>2</v>
      </c>
      <c r="AM81" s="111">
        <f>0</f>
        <v>0</v>
      </c>
      <c r="AN81" s="266">
        <f t="shared" si="5"/>
        <v>2</v>
      </c>
      <c r="AO81" s="246">
        <v>45057</v>
      </c>
      <c r="AP81" s="126" t="s">
        <v>273</v>
      </c>
      <c r="AQ81" s="117" t="s">
        <v>461</v>
      </c>
      <c r="AR81" s="129" t="s">
        <v>148</v>
      </c>
      <c r="AS81" s="118"/>
      <c r="AT81" s="125"/>
      <c r="AU81" s="125">
        <v>2</v>
      </c>
      <c r="AV81" s="126"/>
      <c r="AW81" s="125" t="s">
        <v>459</v>
      </c>
      <c r="AX81" s="127"/>
      <c r="AY81" s="127"/>
      <c r="AZ81" s="128"/>
      <c r="BA81" s="91"/>
      <c r="BB81" s="91"/>
      <c r="BC81" s="91"/>
    </row>
    <row r="82" spans="1:55" ht="28" hidden="1" customHeight="1">
      <c r="A82" s="156">
        <v>77</v>
      </c>
      <c r="B82" s="167">
        <v>45054</v>
      </c>
      <c r="C82" s="87" t="s">
        <v>134</v>
      </c>
      <c r="D82" s="87" t="s">
        <v>135</v>
      </c>
      <c r="E82" s="87" t="s">
        <v>136</v>
      </c>
      <c r="F82" s="168" t="s">
        <v>432</v>
      </c>
      <c r="G82" s="169" t="s">
        <v>367</v>
      </c>
      <c r="H82" s="207" t="s">
        <v>110</v>
      </c>
      <c r="I82" s="208" t="s">
        <v>368</v>
      </c>
      <c r="J82" s="170" t="s">
        <v>369</v>
      </c>
      <c r="K82" s="161" t="s">
        <v>80</v>
      </c>
      <c r="L82" s="161" t="s">
        <v>168</v>
      </c>
      <c r="M82" s="123" t="s">
        <v>154</v>
      </c>
      <c r="N82" s="123" t="s">
        <v>80</v>
      </c>
      <c r="O82" s="123" t="s">
        <v>149</v>
      </c>
      <c r="P82" s="123"/>
      <c r="Q82" s="124"/>
      <c r="R82" s="236">
        <f>0</f>
        <v>0</v>
      </c>
      <c r="S82" s="86">
        <f>0</f>
        <v>0</v>
      </c>
      <c r="T82" s="86">
        <f>0</f>
        <v>0</v>
      </c>
      <c r="U82" s="86">
        <f>0</f>
        <v>0</v>
      </c>
      <c r="V82" s="94">
        <v>2</v>
      </c>
      <c r="W82" s="86">
        <f>0</f>
        <v>0</v>
      </c>
      <c r="X82" s="86">
        <f>0</f>
        <v>0</v>
      </c>
      <c r="Y82" s="86">
        <f>0</f>
        <v>0</v>
      </c>
      <c r="Z82" s="86">
        <f>0</f>
        <v>0</v>
      </c>
      <c r="AA82" s="237">
        <f>0</f>
        <v>0</v>
      </c>
      <c r="AB82" s="239">
        <f>0</f>
        <v>0</v>
      </c>
      <c r="AC82" s="86">
        <f>0</f>
        <v>0</v>
      </c>
      <c r="AD82" s="86">
        <f>0</f>
        <v>0</v>
      </c>
      <c r="AE82" s="86"/>
      <c r="AF82" s="86"/>
      <c r="AG82" s="86"/>
      <c r="AH82" s="86"/>
      <c r="AI82" s="86"/>
      <c r="AJ82" s="86"/>
      <c r="AK82" s="237"/>
      <c r="AL82" s="263">
        <f t="shared" si="4"/>
        <v>2</v>
      </c>
      <c r="AM82" s="111">
        <f>0</f>
        <v>0</v>
      </c>
      <c r="AN82" s="266">
        <f t="shared" si="5"/>
        <v>2</v>
      </c>
      <c r="AO82" s="246">
        <v>45057</v>
      </c>
      <c r="AP82" s="126" t="s">
        <v>273</v>
      </c>
      <c r="AQ82" s="117" t="s">
        <v>461</v>
      </c>
      <c r="AR82" s="129" t="s">
        <v>148</v>
      </c>
      <c r="AS82" s="118"/>
      <c r="AT82" s="125"/>
      <c r="AU82" s="125"/>
      <c r="AV82" s="126"/>
      <c r="AW82" s="125"/>
      <c r="AX82" s="127"/>
      <c r="AY82" s="127"/>
      <c r="AZ82" s="128"/>
      <c r="BA82" s="91"/>
      <c r="BB82" s="91"/>
      <c r="BC82" s="91"/>
    </row>
    <row r="83" spans="1:55" ht="28" hidden="1" customHeight="1">
      <c r="A83" s="156">
        <v>78</v>
      </c>
      <c r="B83" s="167">
        <v>45054</v>
      </c>
      <c r="C83" s="87" t="s">
        <v>134</v>
      </c>
      <c r="D83" s="87" t="s">
        <v>135</v>
      </c>
      <c r="E83" s="87" t="s">
        <v>136</v>
      </c>
      <c r="F83" s="168" t="s">
        <v>432</v>
      </c>
      <c r="G83" s="169" t="s">
        <v>370</v>
      </c>
      <c r="H83" s="207" t="s">
        <v>110</v>
      </c>
      <c r="I83" s="208" t="s">
        <v>449</v>
      </c>
      <c r="J83" s="170" t="s">
        <v>450</v>
      </c>
      <c r="K83" s="161" t="s">
        <v>80</v>
      </c>
      <c r="L83" s="161" t="s">
        <v>168</v>
      </c>
      <c r="M83" s="123" t="s">
        <v>154</v>
      </c>
      <c r="N83" s="123" t="s">
        <v>80</v>
      </c>
      <c r="O83" s="123" t="s">
        <v>149</v>
      </c>
      <c r="P83" s="123"/>
      <c r="Q83" s="124"/>
      <c r="R83" s="236">
        <f>0</f>
        <v>0</v>
      </c>
      <c r="S83" s="86">
        <f>0</f>
        <v>0</v>
      </c>
      <c r="T83" s="86">
        <f>0</f>
        <v>0</v>
      </c>
      <c r="U83" s="86">
        <f>0</f>
        <v>0</v>
      </c>
      <c r="V83" s="94">
        <v>1</v>
      </c>
      <c r="W83" s="86">
        <f>0</f>
        <v>0</v>
      </c>
      <c r="X83" s="86">
        <f>0</f>
        <v>0</v>
      </c>
      <c r="Y83" s="86">
        <f>0</f>
        <v>0</v>
      </c>
      <c r="Z83" s="86">
        <f>0</f>
        <v>0</v>
      </c>
      <c r="AA83" s="237">
        <f>0</f>
        <v>0</v>
      </c>
      <c r="AB83" s="239">
        <f>0</f>
        <v>0</v>
      </c>
      <c r="AC83" s="86">
        <f>0</f>
        <v>0</v>
      </c>
      <c r="AD83" s="86">
        <f>0</f>
        <v>0</v>
      </c>
      <c r="AE83" s="86"/>
      <c r="AF83" s="86"/>
      <c r="AG83" s="86"/>
      <c r="AH83" s="86"/>
      <c r="AI83" s="86"/>
      <c r="AJ83" s="86"/>
      <c r="AK83" s="237"/>
      <c r="AL83" s="263">
        <f t="shared" si="4"/>
        <v>1</v>
      </c>
      <c r="AM83" s="111">
        <f>0</f>
        <v>0</v>
      </c>
      <c r="AN83" s="266">
        <f t="shared" si="5"/>
        <v>1</v>
      </c>
      <c r="AO83" s="246">
        <v>45057</v>
      </c>
      <c r="AP83" s="126" t="s">
        <v>273</v>
      </c>
      <c r="AQ83" s="117" t="s">
        <v>461</v>
      </c>
      <c r="AR83" s="129" t="s">
        <v>148</v>
      </c>
      <c r="AS83" s="118"/>
      <c r="AT83" s="125"/>
      <c r="AU83" s="125">
        <v>1</v>
      </c>
      <c r="AV83" s="126"/>
      <c r="AW83" s="125" t="s">
        <v>459</v>
      </c>
      <c r="AX83" s="127"/>
      <c r="AY83" s="127"/>
      <c r="AZ83" s="128"/>
      <c r="BA83" s="91"/>
      <c r="BB83" s="91"/>
      <c r="BC83" s="91"/>
    </row>
    <row r="84" spans="1:55" ht="28" hidden="1" customHeight="1">
      <c r="A84" s="156">
        <v>79</v>
      </c>
      <c r="B84" s="167">
        <v>45054</v>
      </c>
      <c r="C84" s="87" t="s">
        <v>134</v>
      </c>
      <c r="D84" s="87" t="s">
        <v>135</v>
      </c>
      <c r="E84" s="87" t="s">
        <v>136</v>
      </c>
      <c r="F84" s="168" t="s">
        <v>432</v>
      </c>
      <c r="G84" s="169" t="s">
        <v>371</v>
      </c>
      <c r="H84" s="207" t="s">
        <v>110</v>
      </c>
      <c r="I84" s="208" t="s">
        <v>451</v>
      </c>
      <c r="J84" s="170" t="s">
        <v>372</v>
      </c>
      <c r="K84" s="161" t="s">
        <v>80</v>
      </c>
      <c r="L84" s="161" t="s">
        <v>168</v>
      </c>
      <c r="M84" s="123" t="s">
        <v>154</v>
      </c>
      <c r="N84" s="123" t="s">
        <v>80</v>
      </c>
      <c r="O84" s="123" t="s">
        <v>149</v>
      </c>
      <c r="P84" s="123"/>
      <c r="Q84" s="124"/>
      <c r="R84" s="236">
        <f>0</f>
        <v>0</v>
      </c>
      <c r="S84" s="86">
        <f>0</f>
        <v>0</v>
      </c>
      <c r="T84" s="86">
        <f>0</f>
        <v>0</v>
      </c>
      <c r="U84" s="86">
        <f>0</f>
        <v>0</v>
      </c>
      <c r="V84" s="94">
        <v>1</v>
      </c>
      <c r="W84" s="86">
        <f>0</f>
        <v>0</v>
      </c>
      <c r="X84" s="86">
        <f>0</f>
        <v>0</v>
      </c>
      <c r="Y84" s="86">
        <f>0</f>
        <v>0</v>
      </c>
      <c r="Z84" s="86">
        <f>0</f>
        <v>0</v>
      </c>
      <c r="AA84" s="237">
        <f>0</f>
        <v>0</v>
      </c>
      <c r="AB84" s="239">
        <f>0</f>
        <v>0</v>
      </c>
      <c r="AC84" s="86">
        <f>0</f>
        <v>0</v>
      </c>
      <c r="AD84" s="86">
        <f>0</f>
        <v>0</v>
      </c>
      <c r="AE84" s="86"/>
      <c r="AF84" s="86"/>
      <c r="AG84" s="86"/>
      <c r="AH84" s="86"/>
      <c r="AI84" s="86"/>
      <c r="AJ84" s="86"/>
      <c r="AK84" s="237"/>
      <c r="AL84" s="263">
        <f t="shared" si="4"/>
        <v>1</v>
      </c>
      <c r="AM84" s="111">
        <f>0</f>
        <v>0</v>
      </c>
      <c r="AN84" s="266">
        <f t="shared" si="5"/>
        <v>1</v>
      </c>
      <c r="AO84" s="246">
        <v>45057</v>
      </c>
      <c r="AP84" s="126" t="s">
        <v>273</v>
      </c>
      <c r="AQ84" s="117" t="s">
        <v>461</v>
      </c>
      <c r="AR84" s="129" t="s">
        <v>148</v>
      </c>
      <c r="AS84" s="118"/>
      <c r="AT84" s="125"/>
      <c r="AU84" s="125">
        <v>1</v>
      </c>
      <c r="AV84" s="126"/>
      <c r="AW84" s="125" t="s">
        <v>459</v>
      </c>
      <c r="AX84" s="127"/>
      <c r="AY84" s="127"/>
      <c r="AZ84" s="128"/>
      <c r="BA84" s="91"/>
      <c r="BB84" s="91"/>
      <c r="BC84" s="91"/>
    </row>
    <row r="85" spans="1:55" ht="28" hidden="1" customHeight="1">
      <c r="A85" s="156">
        <v>80</v>
      </c>
      <c r="B85" s="167">
        <v>45054</v>
      </c>
      <c r="C85" s="87" t="s">
        <v>134</v>
      </c>
      <c r="D85" s="87" t="s">
        <v>135</v>
      </c>
      <c r="E85" s="87" t="s">
        <v>136</v>
      </c>
      <c r="F85" s="168" t="s">
        <v>432</v>
      </c>
      <c r="G85" s="169" t="s">
        <v>373</v>
      </c>
      <c r="H85" s="207" t="s">
        <v>110</v>
      </c>
      <c r="I85" s="208" t="s">
        <v>452</v>
      </c>
      <c r="J85" s="170" t="s">
        <v>374</v>
      </c>
      <c r="K85" s="161" t="s">
        <v>80</v>
      </c>
      <c r="L85" s="161" t="s">
        <v>168</v>
      </c>
      <c r="M85" s="123" t="s">
        <v>154</v>
      </c>
      <c r="N85" s="123" t="s">
        <v>80</v>
      </c>
      <c r="O85" s="123" t="s">
        <v>149</v>
      </c>
      <c r="P85" s="123"/>
      <c r="Q85" s="124"/>
      <c r="R85" s="236">
        <f>0</f>
        <v>0</v>
      </c>
      <c r="S85" s="86">
        <f>0</f>
        <v>0</v>
      </c>
      <c r="T85" s="86">
        <f>0</f>
        <v>0</v>
      </c>
      <c r="U85" s="86">
        <f>0</f>
        <v>0</v>
      </c>
      <c r="V85" s="94">
        <v>1</v>
      </c>
      <c r="W85" s="86">
        <f>0</f>
        <v>0</v>
      </c>
      <c r="X85" s="86">
        <f>0</f>
        <v>0</v>
      </c>
      <c r="Y85" s="86">
        <f>0</f>
        <v>0</v>
      </c>
      <c r="Z85" s="86">
        <f>0</f>
        <v>0</v>
      </c>
      <c r="AA85" s="237">
        <f>0</f>
        <v>0</v>
      </c>
      <c r="AB85" s="239">
        <f>0</f>
        <v>0</v>
      </c>
      <c r="AC85" s="86">
        <f>0</f>
        <v>0</v>
      </c>
      <c r="AD85" s="86">
        <f>0</f>
        <v>0</v>
      </c>
      <c r="AE85" s="86"/>
      <c r="AF85" s="86"/>
      <c r="AG85" s="86"/>
      <c r="AH85" s="86"/>
      <c r="AI85" s="86"/>
      <c r="AJ85" s="86"/>
      <c r="AK85" s="237"/>
      <c r="AL85" s="263">
        <f t="shared" si="4"/>
        <v>1</v>
      </c>
      <c r="AM85" s="111">
        <f>0</f>
        <v>0</v>
      </c>
      <c r="AN85" s="266">
        <f t="shared" si="5"/>
        <v>1</v>
      </c>
      <c r="AO85" s="246">
        <v>45057</v>
      </c>
      <c r="AP85" s="126" t="s">
        <v>273</v>
      </c>
      <c r="AQ85" s="117" t="s">
        <v>461</v>
      </c>
      <c r="AR85" s="129" t="s">
        <v>148</v>
      </c>
      <c r="AS85" s="118"/>
      <c r="AT85" s="125"/>
      <c r="AU85" s="125">
        <v>1</v>
      </c>
      <c r="AV85" s="126"/>
      <c r="AW85" s="125" t="s">
        <v>459</v>
      </c>
      <c r="AX85" s="127"/>
      <c r="AY85" s="127"/>
      <c r="AZ85" s="128"/>
      <c r="BA85" s="91"/>
      <c r="BB85" s="91"/>
      <c r="BC85" s="91"/>
    </row>
    <row r="86" spans="1:55" ht="28" hidden="1" customHeight="1">
      <c r="A86" s="156">
        <v>81</v>
      </c>
      <c r="B86" s="167">
        <v>45054</v>
      </c>
      <c r="C86" s="87" t="s">
        <v>134</v>
      </c>
      <c r="D86" s="87" t="s">
        <v>135</v>
      </c>
      <c r="E86" s="87" t="s">
        <v>136</v>
      </c>
      <c r="F86" s="168" t="s">
        <v>432</v>
      </c>
      <c r="G86" s="169" t="s">
        <v>375</v>
      </c>
      <c r="H86" s="207" t="s">
        <v>110</v>
      </c>
      <c r="I86" s="208" t="s">
        <v>376</v>
      </c>
      <c r="J86" s="170" t="s">
        <v>377</v>
      </c>
      <c r="K86" s="161" t="s">
        <v>80</v>
      </c>
      <c r="L86" s="161" t="s">
        <v>168</v>
      </c>
      <c r="M86" s="123" t="s">
        <v>154</v>
      </c>
      <c r="N86" s="123" t="s">
        <v>80</v>
      </c>
      <c r="O86" s="123" t="s">
        <v>149</v>
      </c>
      <c r="P86" s="123"/>
      <c r="Q86" s="124"/>
      <c r="R86" s="236">
        <f>0</f>
        <v>0</v>
      </c>
      <c r="S86" s="86">
        <f>0</f>
        <v>0</v>
      </c>
      <c r="T86" s="86">
        <f>0</f>
        <v>0</v>
      </c>
      <c r="U86" s="86">
        <f>0</f>
        <v>0</v>
      </c>
      <c r="V86" s="94">
        <v>6</v>
      </c>
      <c r="W86" s="86">
        <f>0</f>
        <v>0</v>
      </c>
      <c r="X86" s="86">
        <f>0</f>
        <v>0</v>
      </c>
      <c r="Y86" s="86">
        <f>0</f>
        <v>0</v>
      </c>
      <c r="Z86" s="86">
        <f>0</f>
        <v>0</v>
      </c>
      <c r="AA86" s="237">
        <f>0</f>
        <v>0</v>
      </c>
      <c r="AB86" s="239">
        <f>0</f>
        <v>0</v>
      </c>
      <c r="AC86" s="86">
        <f>0</f>
        <v>0</v>
      </c>
      <c r="AD86" s="86">
        <f>0</f>
        <v>0</v>
      </c>
      <c r="AE86" s="86"/>
      <c r="AF86" s="86"/>
      <c r="AG86" s="86"/>
      <c r="AH86" s="86"/>
      <c r="AI86" s="86"/>
      <c r="AJ86" s="86"/>
      <c r="AK86" s="237"/>
      <c r="AL86" s="263">
        <f t="shared" si="4"/>
        <v>6</v>
      </c>
      <c r="AM86" s="111">
        <f>0</f>
        <v>0</v>
      </c>
      <c r="AN86" s="266">
        <f t="shared" si="5"/>
        <v>6</v>
      </c>
      <c r="AO86" s="246">
        <v>45057</v>
      </c>
      <c r="AP86" s="126" t="s">
        <v>273</v>
      </c>
      <c r="AQ86" s="117" t="s">
        <v>461</v>
      </c>
      <c r="AR86" s="129" t="s">
        <v>148</v>
      </c>
      <c r="AS86" s="118"/>
      <c r="AT86" s="125"/>
      <c r="AU86" s="125"/>
      <c r="AV86" s="126"/>
      <c r="AW86" s="125"/>
      <c r="AX86" s="127"/>
      <c r="AY86" s="127"/>
      <c r="AZ86" s="128"/>
      <c r="BA86" s="91"/>
      <c r="BB86" s="91"/>
      <c r="BC86" s="91"/>
    </row>
    <row r="87" spans="1:55" ht="28" hidden="1" customHeight="1">
      <c r="A87" s="156">
        <v>82</v>
      </c>
      <c r="B87" s="167">
        <v>45054</v>
      </c>
      <c r="C87" s="87" t="s">
        <v>134</v>
      </c>
      <c r="D87" s="87" t="s">
        <v>135</v>
      </c>
      <c r="E87" s="87" t="s">
        <v>136</v>
      </c>
      <c r="F87" s="168" t="s">
        <v>432</v>
      </c>
      <c r="G87" s="169" t="s">
        <v>378</v>
      </c>
      <c r="H87" s="207" t="s">
        <v>110</v>
      </c>
      <c r="I87" s="208" t="s">
        <v>379</v>
      </c>
      <c r="J87" s="170" t="s">
        <v>380</v>
      </c>
      <c r="K87" s="161" t="s">
        <v>80</v>
      </c>
      <c r="L87" s="161" t="s">
        <v>168</v>
      </c>
      <c r="M87" s="123" t="s">
        <v>154</v>
      </c>
      <c r="N87" s="123" t="s">
        <v>80</v>
      </c>
      <c r="O87" s="123" t="s">
        <v>149</v>
      </c>
      <c r="P87" s="123"/>
      <c r="Q87" s="124"/>
      <c r="R87" s="236">
        <f>0</f>
        <v>0</v>
      </c>
      <c r="S87" s="86">
        <f>0</f>
        <v>0</v>
      </c>
      <c r="T87" s="86">
        <f>0</f>
        <v>0</v>
      </c>
      <c r="U87" s="86">
        <f>0</f>
        <v>0</v>
      </c>
      <c r="V87" s="94">
        <v>1</v>
      </c>
      <c r="W87" s="86">
        <f>0</f>
        <v>0</v>
      </c>
      <c r="X87" s="86">
        <f>0</f>
        <v>0</v>
      </c>
      <c r="Y87" s="86">
        <f>0</f>
        <v>0</v>
      </c>
      <c r="Z87" s="86">
        <f>0</f>
        <v>0</v>
      </c>
      <c r="AA87" s="237">
        <f>0</f>
        <v>0</v>
      </c>
      <c r="AB87" s="239">
        <f>0</f>
        <v>0</v>
      </c>
      <c r="AC87" s="86">
        <f>0</f>
        <v>0</v>
      </c>
      <c r="AD87" s="86">
        <f>0</f>
        <v>0</v>
      </c>
      <c r="AE87" s="86"/>
      <c r="AF87" s="86"/>
      <c r="AG87" s="86"/>
      <c r="AH87" s="86"/>
      <c r="AI87" s="86"/>
      <c r="AJ87" s="86"/>
      <c r="AK87" s="237"/>
      <c r="AL87" s="263">
        <f t="shared" si="4"/>
        <v>1</v>
      </c>
      <c r="AM87" s="111">
        <f>0</f>
        <v>0</v>
      </c>
      <c r="AN87" s="266">
        <f t="shared" si="5"/>
        <v>1</v>
      </c>
      <c r="AO87" s="246">
        <v>45057</v>
      </c>
      <c r="AP87" s="126" t="s">
        <v>273</v>
      </c>
      <c r="AQ87" s="117" t="s">
        <v>461</v>
      </c>
      <c r="AR87" s="129" t="s">
        <v>148</v>
      </c>
      <c r="AS87" s="118"/>
      <c r="AT87" s="125"/>
      <c r="AU87" s="125">
        <v>1</v>
      </c>
      <c r="AV87" s="126"/>
      <c r="AW87" s="125" t="s">
        <v>459</v>
      </c>
      <c r="AX87" s="127"/>
      <c r="AY87" s="127"/>
      <c r="AZ87" s="128"/>
      <c r="BA87" s="91"/>
      <c r="BB87" s="91"/>
      <c r="BC87" s="91"/>
    </row>
    <row r="88" spans="1:55" ht="28" hidden="1" customHeight="1">
      <c r="A88" s="156">
        <v>83</v>
      </c>
      <c r="B88" s="167">
        <v>45054</v>
      </c>
      <c r="C88" s="87" t="s">
        <v>134</v>
      </c>
      <c r="D88" s="87" t="s">
        <v>135</v>
      </c>
      <c r="E88" s="87" t="s">
        <v>136</v>
      </c>
      <c r="F88" s="168" t="s">
        <v>432</v>
      </c>
      <c r="G88" s="169" t="s">
        <v>381</v>
      </c>
      <c r="H88" s="207" t="s">
        <v>110</v>
      </c>
      <c r="I88" s="208" t="s">
        <v>382</v>
      </c>
      <c r="J88" s="170" t="s">
        <v>383</v>
      </c>
      <c r="K88" s="161" t="s">
        <v>80</v>
      </c>
      <c r="L88" s="161" t="s">
        <v>193</v>
      </c>
      <c r="M88" s="123" t="s">
        <v>154</v>
      </c>
      <c r="N88" s="123" t="s">
        <v>212</v>
      </c>
      <c r="O88" s="123" t="s">
        <v>149</v>
      </c>
      <c r="P88" s="123"/>
      <c r="Q88" s="124"/>
      <c r="R88" s="236">
        <f>0</f>
        <v>0</v>
      </c>
      <c r="S88" s="86">
        <f>0</f>
        <v>0</v>
      </c>
      <c r="T88" s="86">
        <f>0</f>
        <v>0</v>
      </c>
      <c r="U88" s="86">
        <f>0</f>
        <v>0</v>
      </c>
      <c r="V88" s="94">
        <v>1</v>
      </c>
      <c r="W88" s="86">
        <f>0</f>
        <v>0</v>
      </c>
      <c r="X88" s="86">
        <f>0</f>
        <v>0</v>
      </c>
      <c r="Y88" s="86">
        <f>0</f>
        <v>0</v>
      </c>
      <c r="Z88" s="86">
        <f>0</f>
        <v>0</v>
      </c>
      <c r="AA88" s="237">
        <f>0</f>
        <v>0</v>
      </c>
      <c r="AB88" s="239">
        <f>0</f>
        <v>0</v>
      </c>
      <c r="AC88" s="86">
        <f>0</f>
        <v>0</v>
      </c>
      <c r="AD88" s="86">
        <f>0</f>
        <v>0</v>
      </c>
      <c r="AE88" s="86"/>
      <c r="AF88" s="86"/>
      <c r="AG88" s="86"/>
      <c r="AH88" s="86"/>
      <c r="AI88" s="86"/>
      <c r="AJ88" s="86"/>
      <c r="AK88" s="237"/>
      <c r="AL88" s="263">
        <f t="shared" si="4"/>
        <v>1</v>
      </c>
      <c r="AM88" s="111">
        <f>0</f>
        <v>0</v>
      </c>
      <c r="AN88" s="266">
        <f t="shared" si="5"/>
        <v>1</v>
      </c>
      <c r="AO88" s="246">
        <v>45057</v>
      </c>
      <c r="AP88" s="126" t="s">
        <v>273</v>
      </c>
      <c r="AQ88" s="117" t="s">
        <v>461</v>
      </c>
      <c r="AR88" s="129" t="s">
        <v>148</v>
      </c>
      <c r="AS88" s="118"/>
      <c r="AT88" s="125"/>
      <c r="AU88" s="125">
        <v>1</v>
      </c>
      <c r="AV88" s="126"/>
      <c r="AW88" s="125" t="s">
        <v>459</v>
      </c>
      <c r="AX88" s="127"/>
      <c r="AY88" s="127"/>
      <c r="AZ88" s="128"/>
      <c r="BA88" s="91"/>
      <c r="BB88" s="91"/>
      <c r="BC88" s="91"/>
    </row>
    <row r="89" spans="1:55" ht="28" hidden="1" customHeight="1">
      <c r="A89" s="156">
        <v>84</v>
      </c>
      <c r="B89" s="167">
        <v>45054</v>
      </c>
      <c r="C89" s="87" t="s">
        <v>134</v>
      </c>
      <c r="D89" s="87" t="s">
        <v>135</v>
      </c>
      <c r="E89" s="87" t="s">
        <v>136</v>
      </c>
      <c r="F89" s="168" t="s">
        <v>432</v>
      </c>
      <c r="G89" s="169" t="s">
        <v>384</v>
      </c>
      <c r="H89" s="207" t="s">
        <v>110</v>
      </c>
      <c r="I89" s="208" t="s">
        <v>146</v>
      </c>
      <c r="J89" s="170" t="s">
        <v>385</v>
      </c>
      <c r="K89" s="161" t="s">
        <v>80</v>
      </c>
      <c r="L89" s="161" t="s">
        <v>193</v>
      </c>
      <c r="M89" s="123" t="s">
        <v>154</v>
      </c>
      <c r="N89" s="123" t="s">
        <v>212</v>
      </c>
      <c r="O89" s="123" t="s">
        <v>149</v>
      </c>
      <c r="P89" s="123"/>
      <c r="Q89" s="124"/>
      <c r="R89" s="236">
        <f>0</f>
        <v>0</v>
      </c>
      <c r="S89" s="86">
        <f>0</f>
        <v>0</v>
      </c>
      <c r="T89" s="86">
        <f>0</f>
        <v>0</v>
      </c>
      <c r="U89" s="86">
        <f>0</f>
        <v>0</v>
      </c>
      <c r="V89" s="94">
        <v>2</v>
      </c>
      <c r="W89" s="86">
        <f>0</f>
        <v>0</v>
      </c>
      <c r="X89" s="86">
        <f>0</f>
        <v>0</v>
      </c>
      <c r="Y89" s="86">
        <f>0</f>
        <v>0</v>
      </c>
      <c r="Z89" s="86">
        <f>0</f>
        <v>0</v>
      </c>
      <c r="AA89" s="237">
        <f>0</f>
        <v>0</v>
      </c>
      <c r="AB89" s="239">
        <f>0</f>
        <v>0</v>
      </c>
      <c r="AC89" s="86">
        <f>0</f>
        <v>0</v>
      </c>
      <c r="AD89" s="86">
        <f>0</f>
        <v>0</v>
      </c>
      <c r="AE89" s="86"/>
      <c r="AF89" s="86"/>
      <c r="AG89" s="86"/>
      <c r="AH89" s="86"/>
      <c r="AI89" s="86"/>
      <c r="AJ89" s="86"/>
      <c r="AK89" s="237"/>
      <c r="AL89" s="263">
        <f t="shared" si="4"/>
        <v>2</v>
      </c>
      <c r="AM89" s="111">
        <f>0</f>
        <v>0</v>
      </c>
      <c r="AN89" s="266">
        <f t="shared" si="5"/>
        <v>2</v>
      </c>
      <c r="AO89" s="246">
        <v>45057</v>
      </c>
      <c r="AP89" s="126" t="s">
        <v>273</v>
      </c>
      <c r="AQ89" s="117" t="s">
        <v>461</v>
      </c>
      <c r="AR89" s="129" t="s">
        <v>148</v>
      </c>
      <c r="AS89" s="118"/>
      <c r="AT89" s="125"/>
      <c r="AU89" s="125"/>
      <c r="AV89" s="126"/>
      <c r="AW89" s="125"/>
      <c r="AX89" s="127"/>
      <c r="AY89" s="127"/>
      <c r="AZ89" s="128"/>
      <c r="BA89" s="91"/>
      <c r="BB89" s="91"/>
      <c r="BC89" s="91"/>
    </row>
    <row r="90" spans="1:55" ht="28" hidden="1" customHeight="1">
      <c r="A90" s="156">
        <v>85</v>
      </c>
      <c r="B90" s="167">
        <v>45054</v>
      </c>
      <c r="C90" s="87" t="s">
        <v>134</v>
      </c>
      <c r="D90" s="87" t="s">
        <v>135</v>
      </c>
      <c r="E90" s="87" t="s">
        <v>136</v>
      </c>
      <c r="F90" s="168" t="s">
        <v>432</v>
      </c>
      <c r="G90" s="169" t="s">
        <v>386</v>
      </c>
      <c r="H90" s="207" t="s">
        <v>110</v>
      </c>
      <c r="I90" s="208" t="s">
        <v>387</v>
      </c>
      <c r="J90" s="170" t="s">
        <v>388</v>
      </c>
      <c r="K90" s="161" t="s">
        <v>80</v>
      </c>
      <c r="L90" s="161" t="s">
        <v>389</v>
      </c>
      <c r="M90" s="123" t="s">
        <v>154</v>
      </c>
      <c r="N90" s="123" t="s">
        <v>214</v>
      </c>
      <c r="O90" s="123" t="s">
        <v>390</v>
      </c>
      <c r="P90" s="123"/>
      <c r="Q90" s="124"/>
      <c r="R90" s="236">
        <f>0</f>
        <v>0</v>
      </c>
      <c r="S90" s="86">
        <f>0</f>
        <v>0</v>
      </c>
      <c r="T90" s="86">
        <f>0</f>
        <v>0</v>
      </c>
      <c r="U90" s="86">
        <f>0</f>
        <v>0</v>
      </c>
      <c r="V90" s="94">
        <v>1</v>
      </c>
      <c r="W90" s="86">
        <f>0</f>
        <v>0</v>
      </c>
      <c r="X90" s="86">
        <f>0</f>
        <v>0</v>
      </c>
      <c r="Y90" s="86">
        <f>0</f>
        <v>0</v>
      </c>
      <c r="Z90" s="86">
        <f>0</f>
        <v>0</v>
      </c>
      <c r="AA90" s="237">
        <f>0</f>
        <v>0</v>
      </c>
      <c r="AB90" s="239">
        <f>0</f>
        <v>0</v>
      </c>
      <c r="AC90" s="86">
        <f>0</f>
        <v>0</v>
      </c>
      <c r="AD90" s="86">
        <f>0</f>
        <v>0</v>
      </c>
      <c r="AE90" s="86"/>
      <c r="AF90" s="86"/>
      <c r="AG90" s="86"/>
      <c r="AH90" s="86"/>
      <c r="AI90" s="86"/>
      <c r="AJ90" s="86"/>
      <c r="AK90" s="237"/>
      <c r="AL90" s="263">
        <f t="shared" si="4"/>
        <v>1</v>
      </c>
      <c r="AM90" s="111">
        <f>0</f>
        <v>0</v>
      </c>
      <c r="AN90" s="266">
        <f t="shared" si="5"/>
        <v>1</v>
      </c>
      <c r="AO90" s="246">
        <v>45057</v>
      </c>
      <c r="AP90" s="126" t="s">
        <v>273</v>
      </c>
      <c r="AQ90" s="117" t="s">
        <v>461</v>
      </c>
      <c r="AR90" s="129" t="s">
        <v>148</v>
      </c>
      <c r="AS90" s="118"/>
      <c r="AT90" s="125"/>
      <c r="AU90" s="125">
        <v>1</v>
      </c>
      <c r="AV90" s="126"/>
      <c r="AW90" s="125" t="s">
        <v>459</v>
      </c>
      <c r="AX90" s="127"/>
      <c r="AY90" s="127"/>
      <c r="AZ90" s="128"/>
      <c r="BA90" s="91"/>
      <c r="BB90" s="91"/>
      <c r="BC90" s="91"/>
    </row>
    <row r="91" spans="1:55" ht="28" hidden="1" customHeight="1">
      <c r="A91" s="156">
        <v>86</v>
      </c>
      <c r="B91" s="167">
        <v>45054</v>
      </c>
      <c r="C91" s="87" t="s">
        <v>134</v>
      </c>
      <c r="D91" s="87" t="s">
        <v>135</v>
      </c>
      <c r="E91" s="87" t="s">
        <v>136</v>
      </c>
      <c r="F91" s="168" t="s">
        <v>432</v>
      </c>
      <c r="G91" s="169" t="s">
        <v>391</v>
      </c>
      <c r="H91" s="207" t="s">
        <v>110</v>
      </c>
      <c r="I91" s="208" t="s">
        <v>392</v>
      </c>
      <c r="J91" s="170" t="s">
        <v>393</v>
      </c>
      <c r="K91" s="161" t="s">
        <v>80</v>
      </c>
      <c r="L91" s="161" t="s">
        <v>453</v>
      </c>
      <c r="M91" s="123" t="s">
        <v>154</v>
      </c>
      <c r="N91" s="123" t="s">
        <v>214</v>
      </c>
      <c r="O91" s="123" t="s">
        <v>149</v>
      </c>
      <c r="P91" s="123"/>
      <c r="Q91" s="124"/>
      <c r="R91" s="236">
        <f>0</f>
        <v>0</v>
      </c>
      <c r="S91" s="86">
        <f>0</f>
        <v>0</v>
      </c>
      <c r="T91" s="86">
        <f>0</f>
        <v>0</v>
      </c>
      <c r="U91" s="86">
        <f>0</f>
        <v>0</v>
      </c>
      <c r="V91" s="94">
        <v>1</v>
      </c>
      <c r="W91" s="86">
        <f>0</f>
        <v>0</v>
      </c>
      <c r="X91" s="86">
        <f>0</f>
        <v>0</v>
      </c>
      <c r="Y91" s="86">
        <f>0</f>
        <v>0</v>
      </c>
      <c r="Z91" s="86">
        <f>0</f>
        <v>0</v>
      </c>
      <c r="AA91" s="237">
        <f>0</f>
        <v>0</v>
      </c>
      <c r="AB91" s="239">
        <f>0</f>
        <v>0</v>
      </c>
      <c r="AC91" s="86">
        <f>0</f>
        <v>0</v>
      </c>
      <c r="AD91" s="86">
        <f>0</f>
        <v>0</v>
      </c>
      <c r="AE91" s="86"/>
      <c r="AF91" s="86"/>
      <c r="AG91" s="86"/>
      <c r="AH91" s="86"/>
      <c r="AI91" s="86"/>
      <c r="AJ91" s="86"/>
      <c r="AK91" s="237"/>
      <c r="AL91" s="263">
        <f t="shared" si="4"/>
        <v>1</v>
      </c>
      <c r="AM91" s="111">
        <f>0</f>
        <v>0</v>
      </c>
      <c r="AN91" s="266">
        <f t="shared" si="5"/>
        <v>1</v>
      </c>
      <c r="AO91" s="246">
        <v>45057</v>
      </c>
      <c r="AP91" s="126" t="s">
        <v>273</v>
      </c>
      <c r="AQ91" s="117" t="s">
        <v>461</v>
      </c>
      <c r="AR91" s="129" t="s">
        <v>148</v>
      </c>
      <c r="AS91" s="118"/>
      <c r="AT91" s="125"/>
      <c r="AU91" s="125"/>
      <c r="AV91" s="126"/>
      <c r="AW91" s="125"/>
      <c r="AX91" s="127"/>
      <c r="AY91" s="127"/>
      <c r="AZ91" s="128"/>
      <c r="BA91" s="91"/>
      <c r="BB91" s="91"/>
      <c r="BC91" s="91"/>
    </row>
    <row r="92" spans="1:55" ht="28" hidden="1" customHeight="1">
      <c r="A92" s="156">
        <v>87</v>
      </c>
      <c r="B92" s="167">
        <v>45054</v>
      </c>
      <c r="C92" s="87" t="s">
        <v>134</v>
      </c>
      <c r="D92" s="87" t="s">
        <v>135</v>
      </c>
      <c r="E92" s="87" t="s">
        <v>136</v>
      </c>
      <c r="F92" s="168" t="s">
        <v>432</v>
      </c>
      <c r="G92" s="169" t="s">
        <v>394</v>
      </c>
      <c r="H92" s="207" t="s">
        <v>110</v>
      </c>
      <c r="I92" s="208" t="s">
        <v>395</v>
      </c>
      <c r="J92" s="170" t="s">
        <v>396</v>
      </c>
      <c r="K92" s="161" t="s">
        <v>80</v>
      </c>
      <c r="L92" s="161" t="s">
        <v>453</v>
      </c>
      <c r="M92" s="123" t="s">
        <v>154</v>
      </c>
      <c r="N92" s="123" t="s">
        <v>214</v>
      </c>
      <c r="O92" s="123" t="s">
        <v>149</v>
      </c>
      <c r="P92" s="123"/>
      <c r="Q92" s="124"/>
      <c r="R92" s="236">
        <f>0</f>
        <v>0</v>
      </c>
      <c r="S92" s="86">
        <f>0</f>
        <v>0</v>
      </c>
      <c r="T92" s="86">
        <f>0</f>
        <v>0</v>
      </c>
      <c r="U92" s="86">
        <f>0</f>
        <v>0</v>
      </c>
      <c r="V92" s="94">
        <v>1</v>
      </c>
      <c r="W92" s="86">
        <f>0</f>
        <v>0</v>
      </c>
      <c r="X92" s="86">
        <f>0</f>
        <v>0</v>
      </c>
      <c r="Y92" s="86">
        <f>0</f>
        <v>0</v>
      </c>
      <c r="Z92" s="86">
        <f>0</f>
        <v>0</v>
      </c>
      <c r="AA92" s="237">
        <f>0</f>
        <v>0</v>
      </c>
      <c r="AB92" s="239">
        <f>0</f>
        <v>0</v>
      </c>
      <c r="AC92" s="86">
        <f>0</f>
        <v>0</v>
      </c>
      <c r="AD92" s="86">
        <f>0</f>
        <v>0</v>
      </c>
      <c r="AE92" s="86"/>
      <c r="AF92" s="86"/>
      <c r="AG92" s="86"/>
      <c r="AH92" s="86"/>
      <c r="AI92" s="86"/>
      <c r="AJ92" s="86"/>
      <c r="AK92" s="237"/>
      <c r="AL92" s="263">
        <f t="shared" si="4"/>
        <v>1</v>
      </c>
      <c r="AM92" s="111">
        <f>0</f>
        <v>0</v>
      </c>
      <c r="AN92" s="266">
        <f t="shared" si="5"/>
        <v>1</v>
      </c>
      <c r="AO92" s="246">
        <v>45057</v>
      </c>
      <c r="AP92" s="126" t="s">
        <v>273</v>
      </c>
      <c r="AQ92" s="117" t="s">
        <v>461</v>
      </c>
      <c r="AR92" s="129" t="s">
        <v>148</v>
      </c>
      <c r="AS92" s="118"/>
      <c r="AT92" s="125"/>
      <c r="AU92" s="125"/>
      <c r="AV92" s="126"/>
      <c r="AW92" s="125"/>
      <c r="AX92" s="127"/>
      <c r="AY92" s="127"/>
      <c r="AZ92" s="128"/>
      <c r="BA92" s="91"/>
      <c r="BB92" s="91"/>
      <c r="BC92" s="91"/>
    </row>
    <row r="93" spans="1:55" ht="28" hidden="1" customHeight="1">
      <c r="A93" s="156">
        <v>88</v>
      </c>
      <c r="B93" s="167">
        <v>45054</v>
      </c>
      <c r="C93" s="87" t="s">
        <v>134</v>
      </c>
      <c r="D93" s="87" t="s">
        <v>135</v>
      </c>
      <c r="E93" s="87" t="s">
        <v>136</v>
      </c>
      <c r="F93" s="168" t="s">
        <v>432</v>
      </c>
      <c r="G93" s="169" t="s">
        <v>397</v>
      </c>
      <c r="H93" s="207" t="s">
        <v>110</v>
      </c>
      <c r="I93" s="208" t="s">
        <v>398</v>
      </c>
      <c r="J93" s="170" t="s">
        <v>399</v>
      </c>
      <c r="K93" s="161" t="s">
        <v>80</v>
      </c>
      <c r="L93" s="161" t="s">
        <v>453</v>
      </c>
      <c r="M93" s="123" t="s">
        <v>154</v>
      </c>
      <c r="N93" s="123" t="s">
        <v>214</v>
      </c>
      <c r="O93" s="123" t="s">
        <v>149</v>
      </c>
      <c r="P93" s="123"/>
      <c r="Q93" s="124"/>
      <c r="R93" s="236">
        <f>0</f>
        <v>0</v>
      </c>
      <c r="S93" s="86">
        <f>0</f>
        <v>0</v>
      </c>
      <c r="T93" s="86">
        <f>0</f>
        <v>0</v>
      </c>
      <c r="U93" s="86">
        <f>0</f>
        <v>0</v>
      </c>
      <c r="V93" s="94">
        <v>1</v>
      </c>
      <c r="W93" s="86">
        <f>0</f>
        <v>0</v>
      </c>
      <c r="X93" s="86">
        <f>0</f>
        <v>0</v>
      </c>
      <c r="Y93" s="86">
        <f>0</f>
        <v>0</v>
      </c>
      <c r="Z93" s="86">
        <f>0</f>
        <v>0</v>
      </c>
      <c r="AA93" s="237">
        <f>0</f>
        <v>0</v>
      </c>
      <c r="AB93" s="239">
        <f>0</f>
        <v>0</v>
      </c>
      <c r="AC93" s="86">
        <f>0</f>
        <v>0</v>
      </c>
      <c r="AD93" s="86">
        <f>0</f>
        <v>0</v>
      </c>
      <c r="AE93" s="86"/>
      <c r="AF93" s="86"/>
      <c r="AG93" s="86"/>
      <c r="AH93" s="86"/>
      <c r="AI93" s="86"/>
      <c r="AJ93" s="86"/>
      <c r="AK93" s="237"/>
      <c r="AL93" s="263">
        <f t="shared" si="4"/>
        <v>1</v>
      </c>
      <c r="AM93" s="111">
        <f>0</f>
        <v>0</v>
      </c>
      <c r="AN93" s="266">
        <f t="shared" si="5"/>
        <v>1</v>
      </c>
      <c r="AO93" s="247">
        <v>45076</v>
      </c>
      <c r="AP93" s="186" t="s">
        <v>273</v>
      </c>
      <c r="AQ93" s="117" t="s">
        <v>1293</v>
      </c>
      <c r="AR93" s="129" t="s">
        <v>667</v>
      </c>
      <c r="AS93" s="118"/>
      <c r="AT93" s="125"/>
      <c r="AU93" s="125"/>
      <c r="AV93" s="126"/>
      <c r="AW93" s="125"/>
      <c r="AX93" s="127"/>
      <c r="AY93" s="127"/>
      <c r="AZ93" s="128"/>
      <c r="BA93" s="91"/>
      <c r="BB93" s="91"/>
      <c r="BC93" s="91"/>
    </row>
    <row r="94" spans="1:55" ht="28" hidden="1" customHeight="1">
      <c r="A94" s="156">
        <v>89</v>
      </c>
      <c r="B94" s="167">
        <v>45054</v>
      </c>
      <c r="C94" s="87" t="s">
        <v>134</v>
      </c>
      <c r="D94" s="87" t="s">
        <v>135</v>
      </c>
      <c r="E94" s="87" t="s">
        <v>136</v>
      </c>
      <c r="F94" s="168" t="s">
        <v>432</v>
      </c>
      <c r="G94" s="169" t="s">
        <v>400</v>
      </c>
      <c r="H94" s="207" t="s">
        <v>110</v>
      </c>
      <c r="I94" s="208" t="s">
        <v>401</v>
      </c>
      <c r="J94" s="170" t="s">
        <v>402</v>
      </c>
      <c r="K94" s="161" t="s">
        <v>80</v>
      </c>
      <c r="L94" s="161" t="s">
        <v>453</v>
      </c>
      <c r="M94" s="123" t="s">
        <v>154</v>
      </c>
      <c r="N94" s="123" t="s">
        <v>214</v>
      </c>
      <c r="O94" s="123" t="s">
        <v>149</v>
      </c>
      <c r="P94" s="123"/>
      <c r="Q94" s="124"/>
      <c r="R94" s="236">
        <f>0</f>
        <v>0</v>
      </c>
      <c r="S94" s="86">
        <f>0</f>
        <v>0</v>
      </c>
      <c r="T94" s="86">
        <f>0</f>
        <v>0</v>
      </c>
      <c r="U94" s="86">
        <f>0</f>
        <v>0</v>
      </c>
      <c r="V94" s="94">
        <v>1</v>
      </c>
      <c r="W94" s="86">
        <f>0</f>
        <v>0</v>
      </c>
      <c r="X94" s="86">
        <f>0</f>
        <v>0</v>
      </c>
      <c r="Y94" s="86">
        <f>0</f>
        <v>0</v>
      </c>
      <c r="Z94" s="86">
        <f>0</f>
        <v>0</v>
      </c>
      <c r="AA94" s="237">
        <f>0</f>
        <v>0</v>
      </c>
      <c r="AB94" s="239">
        <f>0</f>
        <v>0</v>
      </c>
      <c r="AC94" s="86">
        <f>0</f>
        <v>0</v>
      </c>
      <c r="AD94" s="86">
        <f>0</f>
        <v>0</v>
      </c>
      <c r="AE94" s="86"/>
      <c r="AF94" s="86"/>
      <c r="AG94" s="86"/>
      <c r="AH94" s="86"/>
      <c r="AI94" s="86"/>
      <c r="AJ94" s="86"/>
      <c r="AK94" s="237"/>
      <c r="AL94" s="263">
        <f t="shared" si="4"/>
        <v>1</v>
      </c>
      <c r="AM94" s="111">
        <f>0</f>
        <v>0</v>
      </c>
      <c r="AN94" s="266">
        <f t="shared" si="5"/>
        <v>1</v>
      </c>
      <c r="AO94" s="246">
        <v>45057</v>
      </c>
      <c r="AP94" s="126" t="s">
        <v>273</v>
      </c>
      <c r="AQ94" s="117" t="s">
        <v>461</v>
      </c>
      <c r="AR94" s="129" t="s">
        <v>148</v>
      </c>
      <c r="AS94" s="118"/>
      <c r="AT94" s="125"/>
      <c r="AU94" s="125"/>
      <c r="AV94" s="126"/>
      <c r="AW94" s="125"/>
      <c r="AX94" s="127"/>
      <c r="AY94" s="127"/>
      <c r="AZ94" s="128"/>
      <c r="BA94" s="91"/>
      <c r="BB94" s="91"/>
      <c r="BC94" s="91"/>
    </row>
    <row r="95" spans="1:55" ht="28" hidden="1" customHeight="1">
      <c r="A95" s="156">
        <v>90</v>
      </c>
      <c r="B95" s="167">
        <v>45054</v>
      </c>
      <c r="C95" s="87" t="s">
        <v>134</v>
      </c>
      <c r="D95" s="87" t="s">
        <v>135</v>
      </c>
      <c r="E95" s="87" t="s">
        <v>136</v>
      </c>
      <c r="F95" s="168" t="s">
        <v>432</v>
      </c>
      <c r="G95" s="169" t="s">
        <v>403</v>
      </c>
      <c r="H95" s="207" t="s">
        <v>110</v>
      </c>
      <c r="I95" s="208" t="s">
        <v>404</v>
      </c>
      <c r="J95" s="170" t="s">
        <v>405</v>
      </c>
      <c r="K95" s="161" t="s">
        <v>80</v>
      </c>
      <c r="L95" s="161" t="s">
        <v>209</v>
      </c>
      <c r="M95" s="123" t="s">
        <v>114</v>
      </c>
      <c r="N95" s="123" t="s">
        <v>80</v>
      </c>
      <c r="O95" s="123" t="s">
        <v>80</v>
      </c>
      <c r="P95" s="123"/>
      <c r="Q95" s="124"/>
      <c r="R95" s="236">
        <f>0</f>
        <v>0</v>
      </c>
      <c r="S95" s="86">
        <f>0</f>
        <v>0</v>
      </c>
      <c r="T95" s="86">
        <f>0</f>
        <v>0</v>
      </c>
      <c r="U95" s="86">
        <f>0</f>
        <v>0</v>
      </c>
      <c r="V95" s="94">
        <v>1</v>
      </c>
      <c r="W95" s="86">
        <f>0</f>
        <v>0</v>
      </c>
      <c r="X95" s="86">
        <f>0</f>
        <v>0</v>
      </c>
      <c r="Y95" s="86">
        <f>0</f>
        <v>0</v>
      </c>
      <c r="Z95" s="86">
        <f>0</f>
        <v>0</v>
      </c>
      <c r="AA95" s="237">
        <f>0</f>
        <v>0</v>
      </c>
      <c r="AB95" s="239">
        <f>0</f>
        <v>0</v>
      </c>
      <c r="AC95" s="86">
        <f>0</f>
        <v>0</v>
      </c>
      <c r="AD95" s="86">
        <f>0</f>
        <v>0</v>
      </c>
      <c r="AE95" s="86"/>
      <c r="AF95" s="86"/>
      <c r="AG95" s="86"/>
      <c r="AH95" s="86"/>
      <c r="AI95" s="86"/>
      <c r="AJ95" s="86"/>
      <c r="AK95" s="237"/>
      <c r="AL95" s="263">
        <f t="shared" si="4"/>
        <v>1</v>
      </c>
      <c r="AM95" s="111">
        <f>0</f>
        <v>0</v>
      </c>
      <c r="AN95" s="266">
        <f t="shared" si="5"/>
        <v>1</v>
      </c>
      <c r="AO95" s="246">
        <v>45057</v>
      </c>
      <c r="AP95" s="126" t="s">
        <v>273</v>
      </c>
      <c r="AQ95" s="117" t="s">
        <v>462</v>
      </c>
      <c r="AR95" s="129" t="s">
        <v>276</v>
      </c>
      <c r="AS95" s="118"/>
      <c r="AT95" s="125"/>
      <c r="AU95" s="125">
        <v>1</v>
      </c>
      <c r="AV95" s="126"/>
      <c r="AW95" s="125" t="s">
        <v>459</v>
      </c>
      <c r="AX95" s="127"/>
      <c r="AY95" s="127"/>
      <c r="AZ95" s="128"/>
      <c r="BA95" s="91"/>
      <c r="BB95" s="91"/>
      <c r="BC95" s="91"/>
    </row>
    <row r="96" spans="1:55" ht="28" hidden="1" customHeight="1">
      <c r="A96" s="156">
        <v>91</v>
      </c>
      <c r="B96" s="167">
        <v>45054</v>
      </c>
      <c r="C96" s="87" t="s">
        <v>134</v>
      </c>
      <c r="D96" s="87" t="s">
        <v>135</v>
      </c>
      <c r="E96" s="87" t="s">
        <v>136</v>
      </c>
      <c r="F96" s="168" t="s">
        <v>432</v>
      </c>
      <c r="G96" s="169" t="s">
        <v>406</v>
      </c>
      <c r="H96" s="207" t="s">
        <v>110</v>
      </c>
      <c r="I96" s="208" t="s">
        <v>407</v>
      </c>
      <c r="J96" s="170" t="s">
        <v>408</v>
      </c>
      <c r="K96" s="161" t="s">
        <v>80</v>
      </c>
      <c r="L96" s="161" t="s">
        <v>209</v>
      </c>
      <c r="M96" s="123" t="s">
        <v>114</v>
      </c>
      <c r="N96" s="123" t="s">
        <v>80</v>
      </c>
      <c r="O96" s="123" t="s">
        <v>80</v>
      </c>
      <c r="P96" s="123"/>
      <c r="Q96" s="124"/>
      <c r="R96" s="236">
        <f>0</f>
        <v>0</v>
      </c>
      <c r="S96" s="86">
        <f>0</f>
        <v>0</v>
      </c>
      <c r="T96" s="86">
        <f>0</f>
        <v>0</v>
      </c>
      <c r="U96" s="86">
        <f>0</f>
        <v>0</v>
      </c>
      <c r="V96" s="94">
        <v>1</v>
      </c>
      <c r="W96" s="86">
        <f>0</f>
        <v>0</v>
      </c>
      <c r="X96" s="86">
        <f>0</f>
        <v>0</v>
      </c>
      <c r="Y96" s="86">
        <f>0</f>
        <v>0</v>
      </c>
      <c r="Z96" s="86">
        <f>0</f>
        <v>0</v>
      </c>
      <c r="AA96" s="237">
        <f>0</f>
        <v>0</v>
      </c>
      <c r="AB96" s="239">
        <f>0</f>
        <v>0</v>
      </c>
      <c r="AC96" s="86">
        <f>0</f>
        <v>0</v>
      </c>
      <c r="AD96" s="86">
        <f>0</f>
        <v>0</v>
      </c>
      <c r="AE96" s="86"/>
      <c r="AF96" s="86"/>
      <c r="AG96" s="86"/>
      <c r="AH96" s="86"/>
      <c r="AI96" s="86"/>
      <c r="AJ96" s="86"/>
      <c r="AK96" s="237"/>
      <c r="AL96" s="263">
        <f t="shared" si="4"/>
        <v>1</v>
      </c>
      <c r="AM96" s="111">
        <f>0</f>
        <v>0</v>
      </c>
      <c r="AN96" s="266">
        <f t="shared" si="5"/>
        <v>1</v>
      </c>
      <c r="AO96" s="246">
        <v>45057</v>
      </c>
      <c r="AP96" s="126" t="s">
        <v>273</v>
      </c>
      <c r="AQ96" s="117" t="s">
        <v>462</v>
      </c>
      <c r="AR96" s="129" t="s">
        <v>276</v>
      </c>
      <c r="AS96" s="118"/>
      <c r="AT96" s="125"/>
      <c r="AU96" s="125">
        <v>1</v>
      </c>
      <c r="AV96" s="126"/>
      <c r="AW96" s="125" t="s">
        <v>459</v>
      </c>
      <c r="AX96" s="127"/>
      <c r="AY96" s="127"/>
      <c r="AZ96" s="128"/>
      <c r="BA96" s="91"/>
      <c r="BB96" s="91"/>
      <c r="BC96" s="91"/>
    </row>
    <row r="97" spans="1:55" ht="28" hidden="1" customHeight="1">
      <c r="A97" s="156">
        <v>92</v>
      </c>
      <c r="B97" s="167">
        <v>45054</v>
      </c>
      <c r="C97" s="88"/>
      <c r="D97" s="88"/>
      <c r="E97" s="95" t="s">
        <v>136</v>
      </c>
      <c r="F97" s="168" t="s">
        <v>432</v>
      </c>
      <c r="G97" s="169" t="s">
        <v>409</v>
      </c>
      <c r="H97" s="207" t="s">
        <v>110</v>
      </c>
      <c r="I97" s="208" t="s">
        <v>407</v>
      </c>
      <c r="J97" s="170" t="s">
        <v>410</v>
      </c>
      <c r="K97" s="161" t="s">
        <v>80</v>
      </c>
      <c r="L97" s="161" t="s">
        <v>209</v>
      </c>
      <c r="M97" s="123" t="s">
        <v>114</v>
      </c>
      <c r="N97" s="123" t="s">
        <v>80</v>
      </c>
      <c r="O97" s="123" t="s">
        <v>80</v>
      </c>
      <c r="P97" s="123"/>
      <c r="Q97" s="124"/>
      <c r="R97" s="236">
        <f>0</f>
        <v>0</v>
      </c>
      <c r="S97" s="86">
        <f>0</f>
        <v>0</v>
      </c>
      <c r="T97" s="86">
        <f>0</f>
        <v>0</v>
      </c>
      <c r="U97" s="86">
        <f>0</f>
        <v>0</v>
      </c>
      <c r="V97" s="94">
        <v>1</v>
      </c>
      <c r="W97" s="86">
        <f>0</f>
        <v>0</v>
      </c>
      <c r="X97" s="86">
        <f>0</f>
        <v>0</v>
      </c>
      <c r="Y97" s="86">
        <f>0</f>
        <v>0</v>
      </c>
      <c r="Z97" s="86">
        <f>0</f>
        <v>0</v>
      </c>
      <c r="AA97" s="237">
        <f>0</f>
        <v>0</v>
      </c>
      <c r="AB97" s="239">
        <f>0</f>
        <v>0</v>
      </c>
      <c r="AC97" s="86">
        <f>0</f>
        <v>0</v>
      </c>
      <c r="AD97" s="86">
        <f>0</f>
        <v>0</v>
      </c>
      <c r="AE97" s="86"/>
      <c r="AF97" s="86"/>
      <c r="AG97" s="86"/>
      <c r="AH97" s="86"/>
      <c r="AI97" s="86"/>
      <c r="AJ97" s="86"/>
      <c r="AK97" s="237"/>
      <c r="AL97" s="263">
        <f t="shared" si="4"/>
        <v>1</v>
      </c>
      <c r="AM97" s="111">
        <f>0</f>
        <v>0</v>
      </c>
      <c r="AN97" s="266">
        <f t="shared" si="5"/>
        <v>1</v>
      </c>
      <c r="AO97" s="246">
        <v>45057</v>
      </c>
      <c r="AP97" s="126" t="s">
        <v>273</v>
      </c>
      <c r="AQ97" s="117" t="s">
        <v>462</v>
      </c>
      <c r="AR97" s="129" t="s">
        <v>276</v>
      </c>
      <c r="AS97" s="118"/>
      <c r="AT97" s="125"/>
      <c r="AU97" s="125">
        <v>1</v>
      </c>
      <c r="AV97" s="126"/>
      <c r="AW97" s="125" t="s">
        <v>459</v>
      </c>
      <c r="AX97" s="127"/>
      <c r="AY97" s="127"/>
      <c r="AZ97" s="128"/>
      <c r="BA97" s="91"/>
      <c r="BB97" s="91"/>
      <c r="BC97" s="91"/>
    </row>
    <row r="98" spans="1:55" ht="28" hidden="1" customHeight="1">
      <c r="A98" s="156">
        <v>93</v>
      </c>
      <c r="B98" s="167">
        <v>45054</v>
      </c>
      <c r="C98" s="87" t="s">
        <v>134</v>
      </c>
      <c r="D98" s="87" t="s">
        <v>135</v>
      </c>
      <c r="E98" s="87" t="s">
        <v>136</v>
      </c>
      <c r="F98" s="168" t="s">
        <v>432</v>
      </c>
      <c r="G98" s="169" t="s">
        <v>411</v>
      </c>
      <c r="H98" s="207" t="s">
        <v>110</v>
      </c>
      <c r="I98" s="208" t="s">
        <v>412</v>
      </c>
      <c r="J98" s="170" t="s">
        <v>413</v>
      </c>
      <c r="K98" s="161" t="s">
        <v>80</v>
      </c>
      <c r="L98" s="161" t="s">
        <v>209</v>
      </c>
      <c r="M98" s="123" t="s">
        <v>114</v>
      </c>
      <c r="N98" s="123" t="s">
        <v>80</v>
      </c>
      <c r="O98" s="123" t="s">
        <v>80</v>
      </c>
      <c r="P98" s="123"/>
      <c r="Q98" s="124"/>
      <c r="R98" s="236">
        <f>0</f>
        <v>0</v>
      </c>
      <c r="S98" s="86">
        <f>0</f>
        <v>0</v>
      </c>
      <c r="T98" s="86">
        <f>0</f>
        <v>0</v>
      </c>
      <c r="U98" s="86">
        <f>0</f>
        <v>0</v>
      </c>
      <c r="V98" s="94">
        <v>4</v>
      </c>
      <c r="W98" s="86">
        <f>0</f>
        <v>0</v>
      </c>
      <c r="X98" s="86">
        <f>0</f>
        <v>0</v>
      </c>
      <c r="Y98" s="86">
        <f>0</f>
        <v>0</v>
      </c>
      <c r="Z98" s="86">
        <f>0</f>
        <v>0</v>
      </c>
      <c r="AA98" s="237">
        <f>0</f>
        <v>0</v>
      </c>
      <c r="AB98" s="239">
        <f>0</f>
        <v>0</v>
      </c>
      <c r="AC98" s="86">
        <f>0</f>
        <v>0</v>
      </c>
      <c r="AD98" s="86">
        <f>0</f>
        <v>0</v>
      </c>
      <c r="AE98" s="86"/>
      <c r="AF98" s="86"/>
      <c r="AG98" s="86"/>
      <c r="AH98" s="86"/>
      <c r="AI98" s="86"/>
      <c r="AJ98" s="86"/>
      <c r="AK98" s="237"/>
      <c r="AL98" s="263">
        <f t="shared" si="4"/>
        <v>4</v>
      </c>
      <c r="AM98" s="111">
        <f>0</f>
        <v>0</v>
      </c>
      <c r="AN98" s="266">
        <f t="shared" si="5"/>
        <v>4</v>
      </c>
      <c r="AO98" s="246">
        <v>45057</v>
      </c>
      <c r="AP98" s="126" t="s">
        <v>273</v>
      </c>
      <c r="AQ98" s="117" t="s">
        <v>462</v>
      </c>
      <c r="AR98" s="129" t="s">
        <v>276</v>
      </c>
      <c r="AS98" s="118"/>
      <c r="AT98" s="125"/>
      <c r="AU98" s="125">
        <v>4</v>
      </c>
      <c r="AV98" s="126"/>
      <c r="AW98" s="125" t="s">
        <v>459</v>
      </c>
      <c r="AX98" s="127"/>
      <c r="AY98" s="127"/>
      <c r="AZ98" s="128"/>
      <c r="BA98" s="91"/>
      <c r="BB98" s="91"/>
      <c r="BC98" s="91"/>
    </row>
    <row r="99" spans="1:55" ht="28" hidden="1" customHeight="1">
      <c r="A99" s="156">
        <v>94</v>
      </c>
      <c r="B99" s="167">
        <v>45054</v>
      </c>
      <c r="C99" s="87" t="s">
        <v>134</v>
      </c>
      <c r="D99" s="87" t="s">
        <v>135</v>
      </c>
      <c r="E99" s="87" t="s">
        <v>136</v>
      </c>
      <c r="F99" s="168" t="s">
        <v>432</v>
      </c>
      <c r="G99" s="169" t="s">
        <v>414</v>
      </c>
      <c r="H99" s="207" t="s">
        <v>110</v>
      </c>
      <c r="I99" s="208" t="s">
        <v>415</v>
      </c>
      <c r="J99" s="170" t="s">
        <v>416</v>
      </c>
      <c r="K99" s="161"/>
      <c r="L99" s="161" t="s">
        <v>320</v>
      </c>
      <c r="M99" s="123" t="s">
        <v>154</v>
      </c>
      <c r="N99" s="123" t="s">
        <v>80</v>
      </c>
      <c r="O99" s="123" t="s">
        <v>155</v>
      </c>
      <c r="P99" s="123"/>
      <c r="Q99" s="124"/>
      <c r="R99" s="236">
        <f>0</f>
        <v>0</v>
      </c>
      <c r="S99" s="86">
        <f>0</f>
        <v>0</v>
      </c>
      <c r="T99" s="86">
        <f>0</f>
        <v>0</v>
      </c>
      <c r="U99" s="86">
        <f>0</f>
        <v>0</v>
      </c>
      <c r="V99" s="94">
        <v>1</v>
      </c>
      <c r="W99" s="86">
        <f>0</f>
        <v>0</v>
      </c>
      <c r="X99" s="86">
        <f>0</f>
        <v>0</v>
      </c>
      <c r="Y99" s="86">
        <f>0</f>
        <v>0</v>
      </c>
      <c r="Z99" s="86">
        <f>0</f>
        <v>0</v>
      </c>
      <c r="AA99" s="237">
        <f>0</f>
        <v>0</v>
      </c>
      <c r="AB99" s="239">
        <f>0</f>
        <v>0</v>
      </c>
      <c r="AC99" s="86">
        <f>0</f>
        <v>0</v>
      </c>
      <c r="AD99" s="86">
        <f>0</f>
        <v>0</v>
      </c>
      <c r="AE99" s="86"/>
      <c r="AF99" s="86"/>
      <c r="AG99" s="86"/>
      <c r="AH99" s="86"/>
      <c r="AI99" s="86"/>
      <c r="AJ99" s="86"/>
      <c r="AK99" s="237"/>
      <c r="AL99" s="263">
        <f t="shared" si="4"/>
        <v>1</v>
      </c>
      <c r="AM99" s="111">
        <f>0</f>
        <v>0</v>
      </c>
      <c r="AN99" s="266">
        <f t="shared" si="5"/>
        <v>1</v>
      </c>
      <c r="AO99" s="246">
        <v>45057</v>
      </c>
      <c r="AP99" s="126" t="s">
        <v>273</v>
      </c>
      <c r="AQ99" s="117" t="s">
        <v>461</v>
      </c>
      <c r="AR99" s="129" t="s">
        <v>148</v>
      </c>
      <c r="AS99" s="118"/>
      <c r="AT99" s="125"/>
      <c r="AU99" s="125"/>
      <c r="AV99" s="126"/>
      <c r="AW99" s="125"/>
      <c r="AX99" s="127"/>
      <c r="AY99" s="127"/>
      <c r="AZ99" s="128"/>
      <c r="BA99" s="91"/>
      <c r="BB99" s="91"/>
      <c r="BC99" s="91"/>
    </row>
    <row r="100" spans="1:55" ht="28" hidden="1" customHeight="1">
      <c r="A100" s="100">
        <v>95</v>
      </c>
      <c r="B100" s="275">
        <v>45054</v>
      </c>
      <c r="C100" s="97"/>
      <c r="D100" s="97"/>
      <c r="E100" s="97"/>
      <c r="F100" s="276" t="s">
        <v>432</v>
      </c>
      <c r="G100" s="277" t="s">
        <v>417</v>
      </c>
      <c r="H100" s="281"/>
      <c r="I100" s="278" t="s">
        <v>418</v>
      </c>
      <c r="J100" s="279" t="s">
        <v>419</v>
      </c>
      <c r="K100" s="203"/>
      <c r="L100" s="203" t="s">
        <v>320</v>
      </c>
      <c r="M100" s="200" t="s">
        <v>154</v>
      </c>
      <c r="N100" s="200" t="s">
        <v>80</v>
      </c>
      <c r="O100" s="200" t="s">
        <v>155</v>
      </c>
      <c r="P100" s="200"/>
      <c r="Q100" s="272" t="s">
        <v>1220</v>
      </c>
      <c r="R100" s="236">
        <f>0</f>
        <v>0</v>
      </c>
      <c r="S100" s="86">
        <f>0</f>
        <v>0</v>
      </c>
      <c r="T100" s="86">
        <f>0</f>
        <v>0</v>
      </c>
      <c r="U100" s="86">
        <f>0</f>
        <v>0</v>
      </c>
      <c r="V100" s="94">
        <v>1</v>
      </c>
      <c r="W100" s="86">
        <f>0</f>
        <v>0</v>
      </c>
      <c r="X100" s="86">
        <f>0</f>
        <v>0</v>
      </c>
      <c r="Y100" s="86">
        <f>0</f>
        <v>0</v>
      </c>
      <c r="Z100" s="86">
        <f>0</f>
        <v>0</v>
      </c>
      <c r="AA100" s="237">
        <f>0</f>
        <v>0</v>
      </c>
      <c r="AB100" s="239">
        <f>0</f>
        <v>0</v>
      </c>
      <c r="AC100" s="86">
        <f>0</f>
        <v>0</v>
      </c>
      <c r="AD100" s="86">
        <f>0</f>
        <v>0</v>
      </c>
      <c r="AE100" s="86"/>
      <c r="AF100" s="86"/>
      <c r="AG100" s="86"/>
      <c r="AH100" s="86"/>
      <c r="AI100" s="86"/>
      <c r="AJ100" s="86"/>
      <c r="AK100" s="237"/>
      <c r="AL100" s="263">
        <f t="shared" si="4"/>
        <v>1</v>
      </c>
      <c r="AM100" s="111">
        <f>0</f>
        <v>0</v>
      </c>
      <c r="AN100" s="264">
        <f t="shared" si="5"/>
        <v>1</v>
      </c>
      <c r="AO100" s="268"/>
      <c r="AP100" s="267"/>
      <c r="AQ100" s="269"/>
      <c r="AR100" s="280"/>
      <c r="AS100" s="270"/>
      <c r="AT100" s="273"/>
      <c r="AU100" s="273"/>
      <c r="AV100" s="267"/>
      <c r="AW100" s="273"/>
      <c r="AX100" s="274"/>
      <c r="AY100" s="274"/>
      <c r="AZ100" s="271"/>
    </row>
    <row r="101" spans="1:55" ht="28" hidden="1" customHeight="1">
      <c r="A101" s="156">
        <v>96</v>
      </c>
      <c r="B101" s="167">
        <v>45054</v>
      </c>
      <c r="C101" s="87" t="s">
        <v>134</v>
      </c>
      <c r="D101" s="87" t="s">
        <v>135</v>
      </c>
      <c r="E101" s="87" t="s">
        <v>136</v>
      </c>
      <c r="F101" s="168" t="s">
        <v>432</v>
      </c>
      <c r="G101" s="169" t="s">
        <v>420</v>
      </c>
      <c r="H101" s="207" t="s">
        <v>110</v>
      </c>
      <c r="I101" s="208" t="s">
        <v>245</v>
      </c>
      <c r="J101" s="170" t="s">
        <v>421</v>
      </c>
      <c r="K101" s="161"/>
      <c r="L101" s="161" t="s">
        <v>320</v>
      </c>
      <c r="M101" s="123" t="s">
        <v>154</v>
      </c>
      <c r="N101" s="123" t="s">
        <v>80</v>
      </c>
      <c r="O101" s="123" t="s">
        <v>155</v>
      </c>
      <c r="P101" s="123"/>
      <c r="Q101" s="124"/>
      <c r="R101" s="236">
        <f>0</f>
        <v>0</v>
      </c>
      <c r="S101" s="86">
        <f>0</f>
        <v>0</v>
      </c>
      <c r="T101" s="86">
        <f>0</f>
        <v>0</v>
      </c>
      <c r="U101" s="86">
        <f>0</f>
        <v>0</v>
      </c>
      <c r="V101" s="94">
        <v>2</v>
      </c>
      <c r="W101" s="86">
        <f>0</f>
        <v>0</v>
      </c>
      <c r="X101" s="86">
        <f>0</f>
        <v>0</v>
      </c>
      <c r="Y101" s="86">
        <f>0</f>
        <v>0</v>
      </c>
      <c r="Z101" s="86">
        <f>0</f>
        <v>0</v>
      </c>
      <c r="AA101" s="237">
        <f>0</f>
        <v>0</v>
      </c>
      <c r="AB101" s="239">
        <f>0</f>
        <v>0</v>
      </c>
      <c r="AC101" s="86">
        <f>0</f>
        <v>0</v>
      </c>
      <c r="AD101" s="86">
        <f>0</f>
        <v>0</v>
      </c>
      <c r="AE101" s="86"/>
      <c r="AF101" s="86"/>
      <c r="AG101" s="86"/>
      <c r="AH101" s="86"/>
      <c r="AI101" s="86"/>
      <c r="AJ101" s="86"/>
      <c r="AK101" s="237"/>
      <c r="AL101" s="263">
        <f t="shared" si="4"/>
        <v>2</v>
      </c>
      <c r="AM101" s="111">
        <f>0</f>
        <v>0</v>
      </c>
      <c r="AN101" s="266">
        <f t="shared" si="5"/>
        <v>2</v>
      </c>
      <c r="AO101" s="246">
        <v>45057</v>
      </c>
      <c r="AP101" s="126" t="s">
        <v>273</v>
      </c>
      <c r="AQ101" s="117" t="s">
        <v>461</v>
      </c>
      <c r="AR101" s="129" t="s">
        <v>148</v>
      </c>
      <c r="AS101" s="118"/>
      <c r="AT101" s="125"/>
      <c r="AU101" s="125"/>
      <c r="AV101" s="126"/>
      <c r="AW101" s="125"/>
      <c r="AX101" s="127"/>
      <c r="AY101" s="127"/>
      <c r="AZ101" s="128"/>
      <c r="BA101" s="91"/>
      <c r="BB101" s="91"/>
      <c r="BC101" s="91"/>
    </row>
    <row r="102" spans="1:55" ht="28" hidden="1" customHeight="1">
      <c r="A102" s="156">
        <v>97</v>
      </c>
      <c r="B102" s="167">
        <v>45054</v>
      </c>
      <c r="C102" s="87" t="s">
        <v>134</v>
      </c>
      <c r="D102" s="87" t="s">
        <v>135</v>
      </c>
      <c r="E102" s="87" t="s">
        <v>136</v>
      </c>
      <c r="F102" s="168" t="s">
        <v>432</v>
      </c>
      <c r="G102" s="169" t="s">
        <v>422</v>
      </c>
      <c r="H102" s="207" t="s">
        <v>110</v>
      </c>
      <c r="I102" s="208" t="s">
        <v>423</v>
      </c>
      <c r="J102" s="170" t="s">
        <v>424</v>
      </c>
      <c r="K102" s="161"/>
      <c r="L102" s="161" t="s">
        <v>168</v>
      </c>
      <c r="M102" s="123" t="s">
        <v>154</v>
      </c>
      <c r="N102" s="123" t="s">
        <v>80</v>
      </c>
      <c r="O102" s="123" t="s">
        <v>149</v>
      </c>
      <c r="P102" s="123"/>
      <c r="Q102" s="124"/>
      <c r="R102" s="236">
        <f>0</f>
        <v>0</v>
      </c>
      <c r="S102" s="86">
        <f>0</f>
        <v>0</v>
      </c>
      <c r="T102" s="86">
        <f>0</f>
        <v>0</v>
      </c>
      <c r="U102" s="86">
        <f>0</f>
        <v>0</v>
      </c>
      <c r="V102" s="94">
        <v>3</v>
      </c>
      <c r="W102" s="86">
        <f>0</f>
        <v>0</v>
      </c>
      <c r="X102" s="86">
        <f>0</f>
        <v>0</v>
      </c>
      <c r="Y102" s="86">
        <f>0</f>
        <v>0</v>
      </c>
      <c r="Z102" s="86">
        <f>0</f>
        <v>0</v>
      </c>
      <c r="AA102" s="237">
        <f>0</f>
        <v>0</v>
      </c>
      <c r="AB102" s="239">
        <f>0</f>
        <v>0</v>
      </c>
      <c r="AC102" s="86">
        <f>0</f>
        <v>0</v>
      </c>
      <c r="AD102" s="86">
        <f>0</f>
        <v>0</v>
      </c>
      <c r="AE102" s="86"/>
      <c r="AF102" s="86"/>
      <c r="AG102" s="86"/>
      <c r="AH102" s="86"/>
      <c r="AI102" s="86"/>
      <c r="AJ102" s="86"/>
      <c r="AK102" s="237"/>
      <c r="AL102" s="263">
        <f>SUM(R102:AK102)</f>
        <v>3</v>
      </c>
      <c r="AM102" s="111">
        <f>0</f>
        <v>0</v>
      </c>
      <c r="AN102" s="266">
        <f>AL102-AM102</f>
        <v>3</v>
      </c>
      <c r="AO102" s="246">
        <v>45057</v>
      </c>
      <c r="AP102" s="126" t="s">
        <v>273</v>
      </c>
      <c r="AQ102" s="117" t="s">
        <v>461</v>
      </c>
      <c r="AR102" s="129" t="s">
        <v>148</v>
      </c>
      <c r="AS102" s="118"/>
      <c r="AT102" s="125"/>
      <c r="AU102" s="125">
        <v>3</v>
      </c>
      <c r="AV102" s="126"/>
      <c r="AW102" s="125" t="s">
        <v>459</v>
      </c>
      <c r="AX102" s="127"/>
      <c r="AY102" s="127"/>
      <c r="AZ102" s="128"/>
      <c r="BA102" s="91"/>
      <c r="BB102" s="91"/>
      <c r="BC102" s="91"/>
    </row>
    <row r="103" spans="1:55" ht="28" hidden="1" customHeight="1">
      <c r="A103" s="156">
        <v>98</v>
      </c>
      <c r="B103" s="167">
        <v>45054</v>
      </c>
      <c r="C103" s="87" t="s">
        <v>134</v>
      </c>
      <c r="D103" s="87" t="s">
        <v>135</v>
      </c>
      <c r="E103" s="87" t="s">
        <v>136</v>
      </c>
      <c r="F103" s="168" t="s">
        <v>432</v>
      </c>
      <c r="G103" s="169" t="s">
        <v>425</v>
      </c>
      <c r="H103" s="207" t="s">
        <v>110</v>
      </c>
      <c r="I103" s="208" t="s">
        <v>426</v>
      </c>
      <c r="J103" s="170" t="s">
        <v>427</v>
      </c>
      <c r="K103" s="161"/>
      <c r="L103" s="161" t="s">
        <v>168</v>
      </c>
      <c r="M103" s="123" t="s">
        <v>154</v>
      </c>
      <c r="N103" s="123" t="s">
        <v>80</v>
      </c>
      <c r="O103" s="123" t="s">
        <v>149</v>
      </c>
      <c r="P103" s="123"/>
      <c r="Q103" s="124"/>
      <c r="R103" s="236">
        <f>0</f>
        <v>0</v>
      </c>
      <c r="S103" s="86">
        <f>0</f>
        <v>0</v>
      </c>
      <c r="T103" s="86">
        <f>0</f>
        <v>0</v>
      </c>
      <c r="U103" s="86">
        <f>0</f>
        <v>0</v>
      </c>
      <c r="V103" s="94">
        <v>1</v>
      </c>
      <c r="W103" s="86">
        <f>0</f>
        <v>0</v>
      </c>
      <c r="X103" s="86">
        <f>0</f>
        <v>0</v>
      </c>
      <c r="Y103" s="86">
        <f>0</f>
        <v>0</v>
      </c>
      <c r="Z103" s="86">
        <f>0</f>
        <v>0</v>
      </c>
      <c r="AA103" s="237">
        <f>0</f>
        <v>0</v>
      </c>
      <c r="AB103" s="239">
        <f>0</f>
        <v>0</v>
      </c>
      <c r="AC103" s="86">
        <f>0</f>
        <v>0</v>
      </c>
      <c r="AD103" s="86">
        <f>0</f>
        <v>0</v>
      </c>
      <c r="AE103" s="86"/>
      <c r="AF103" s="86"/>
      <c r="AG103" s="86"/>
      <c r="AH103" s="86"/>
      <c r="AI103" s="86"/>
      <c r="AJ103" s="86"/>
      <c r="AK103" s="237"/>
      <c r="AL103" s="263">
        <f>SUM(R103:AK103)</f>
        <v>1</v>
      </c>
      <c r="AM103" s="111">
        <f>0</f>
        <v>0</v>
      </c>
      <c r="AN103" s="266">
        <f>AL103-AM103</f>
        <v>1</v>
      </c>
      <c r="AO103" s="246">
        <v>45057</v>
      </c>
      <c r="AP103" s="126" t="s">
        <v>273</v>
      </c>
      <c r="AQ103" s="117" t="s">
        <v>461</v>
      </c>
      <c r="AR103" s="129" t="s">
        <v>148</v>
      </c>
      <c r="AS103" s="118"/>
      <c r="AT103" s="125"/>
      <c r="AU103" s="125">
        <v>1</v>
      </c>
      <c r="AV103" s="126"/>
      <c r="AW103" s="125" t="s">
        <v>459</v>
      </c>
      <c r="AX103" s="127"/>
      <c r="AY103" s="127"/>
      <c r="AZ103" s="128"/>
      <c r="BA103" s="91"/>
      <c r="BB103" s="91"/>
      <c r="BC103" s="91"/>
    </row>
    <row r="104" spans="1:55" ht="28" hidden="1" customHeight="1">
      <c r="A104" s="156">
        <v>99</v>
      </c>
      <c r="B104" s="167">
        <v>45054</v>
      </c>
      <c r="C104" s="87" t="s">
        <v>134</v>
      </c>
      <c r="D104" s="87" t="s">
        <v>135</v>
      </c>
      <c r="E104" s="87" t="s">
        <v>136</v>
      </c>
      <c r="F104" s="168" t="s">
        <v>432</v>
      </c>
      <c r="G104" s="169" t="s">
        <v>428</v>
      </c>
      <c r="H104" s="207" t="s">
        <v>110</v>
      </c>
      <c r="I104" s="208" t="s">
        <v>429</v>
      </c>
      <c r="J104" s="170" t="s">
        <v>430</v>
      </c>
      <c r="K104" s="161"/>
      <c r="L104" s="161" t="s">
        <v>431</v>
      </c>
      <c r="M104" s="123" t="s">
        <v>154</v>
      </c>
      <c r="N104" s="123" t="s">
        <v>212</v>
      </c>
      <c r="O104" s="123" t="s">
        <v>149</v>
      </c>
      <c r="P104" s="123"/>
      <c r="Q104" s="124"/>
      <c r="R104" s="236">
        <f>0</f>
        <v>0</v>
      </c>
      <c r="S104" s="86">
        <f>0</f>
        <v>0</v>
      </c>
      <c r="T104" s="86">
        <f>0</f>
        <v>0</v>
      </c>
      <c r="U104" s="86">
        <f>0</f>
        <v>0</v>
      </c>
      <c r="V104" s="94">
        <v>1</v>
      </c>
      <c r="W104" s="86">
        <f>0</f>
        <v>0</v>
      </c>
      <c r="X104" s="86">
        <f>0</f>
        <v>0</v>
      </c>
      <c r="Y104" s="86">
        <f>0</f>
        <v>0</v>
      </c>
      <c r="Z104" s="86">
        <f>0</f>
        <v>0</v>
      </c>
      <c r="AA104" s="237">
        <f>0</f>
        <v>0</v>
      </c>
      <c r="AB104" s="239">
        <f>0</f>
        <v>0</v>
      </c>
      <c r="AC104" s="86">
        <f>0</f>
        <v>0</v>
      </c>
      <c r="AD104" s="86">
        <f>0</f>
        <v>0</v>
      </c>
      <c r="AE104" s="86"/>
      <c r="AF104" s="86"/>
      <c r="AG104" s="86"/>
      <c r="AH104" s="86"/>
      <c r="AI104" s="86"/>
      <c r="AJ104" s="86"/>
      <c r="AK104" s="237"/>
      <c r="AL104" s="263">
        <f>SUM(R104:AK104)</f>
        <v>1</v>
      </c>
      <c r="AM104" s="111">
        <f>0</f>
        <v>0</v>
      </c>
      <c r="AN104" s="266">
        <f>AL104-AM104</f>
        <v>1</v>
      </c>
      <c r="AO104" s="246">
        <v>45057</v>
      </c>
      <c r="AP104" s="126" t="s">
        <v>273</v>
      </c>
      <c r="AQ104" s="117" t="s">
        <v>461</v>
      </c>
      <c r="AR104" s="129" t="s">
        <v>148</v>
      </c>
      <c r="AS104" s="118"/>
      <c r="AT104" s="125"/>
      <c r="AU104" s="125"/>
      <c r="AV104" s="126"/>
      <c r="AW104" s="125"/>
      <c r="AX104" s="127"/>
      <c r="AY104" s="127"/>
      <c r="AZ104" s="128"/>
      <c r="BA104" s="91"/>
      <c r="BB104" s="91"/>
      <c r="BC104" s="91"/>
    </row>
    <row r="105" spans="1:55" ht="28" hidden="1" customHeight="1">
      <c r="A105" s="156">
        <v>100</v>
      </c>
      <c r="B105" s="167">
        <v>45063</v>
      </c>
      <c r="C105" s="87" t="s">
        <v>134</v>
      </c>
      <c r="D105" s="87" t="s">
        <v>135</v>
      </c>
      <c r="E105" s="87" t="s">
        <v>136</v>
      </c>
      <c r="F105" s="168" t="s">
        <v>210</v>
      </c>
      <c r="G105" s="171" t="s">
        <v>463</v>
      </c>
      <c r="H105" s="172" t="s">
        <v>110</v>
      </c>
      <c r="I105" s="171" t="s">
        <v>464</v>
      </c>
      <c r="J105" s="172" t="s">
        <v>465</v>
      </c>
      <c r="K105" s="172" t="s">
        <v>80</v>
      </c>
      <c r="L105" s="171" t="s">
        <v>119</v>
      </c>
      <c r="M105" s="171" t="s">
        <v>114</v>
      </c>
      <c r="N105" s="171" t="s">
        <v>80</v>
      </c>
      <c r="O105" s="171" t="s">
        <v>120</v>
      </c>
      <c r="P105" s="123"/>
      <c r="Q105" s="124"/>
      <c r="R105" s="236">
        <f>0</f>
        <v>0</v>
      </c>
      <c r="S105" s="86">
        <f>0</f>
        <v>0</v>
      </c>
      <c r="T105" s="86">
        <f>0</f>
        <v>0</v>
      </c>
      <c r="U105" s="110">
        <v>1</v>
      </c>
      <c r="V105" s="86"/>
      <c r="W105" s="86">
        <f>0</f>
        <v>0</v>
      </c>
      <c r="X105" s="86">
        <f>0</f>
        <v>0</v>
      </c>
      <c r="Y105" s="86">
        <f>0</f>
        <v>0</v>
      </c>
      <c r="Z105" s="86">
        <f>0</f>
        <v>0</v>
      </c>
      <c r="AA105" s="237">
        <f>0</f>
        <v>0</v>
      </c>
      <c r="AB105" s="239">
        <f>0</f>
        <v>0</v>
      </c>
      <c r="AC105" s="86">
        <f>0</f>
        <v>0</v>
      </c>
      <c r="AD105" s="86">
        <f>0</f>
        <v>0</v>
      </c>
      <c r="AE105" s="86"/>
      <c r="AF105" s="86"/>
      <c r="AG105" s="86"/>
      <c r="AH105" s="86"/>
      <c r="AI105" s="86"/>
      <c r="AJ105" s="86"/>
      <c r="AK105" s="237"/>
      <c r="AL105" s="263">
        <f t="shared" ref="AL105:AL117" si="6">SUM(R105:AK105)</f>
        <v>1</v>
      </c>
      <c r="AM105" s="111">
        <f>0</f>
        <v>0</v>
      </c>
      <c r="AN105" s="265">
        <f t="shared" ref="AN105:AN117" si="7">AL105-AM105</f>
        <v>1</v>
      </c>
      <c r="AO105" s="246">
        <v>45064</v>
      </c>
      <c r="AP105" s="126" t="s">
        <v>273</v>
      </c>
      <c r="AQ105" s="117" t="s">
        <v>580</v>
      </c>
      <c r="AR105" s="129" t="s">
        <v>276</v>
      </c>
      <c r="AS105" s="118"/>
      <c r="AT105" s="125"/>
      <c r="AU105" s="125"/>
      <c r="AV105" s="126"/>
      <c r="AW105" s="125"/>
      <c r="AX105" s="127"/>
      <c r="AY105" s="127"/>
      <c r="AZ105" s="128"/>
      <c r="BA105" s="91"/>
      <c r="BB105" s="91"/>
      <c r="BC105" s="91"/>
    </row>
    <row r="106" spans="1:55" ht="28" hidden="1" customHeight="1">
      <c r="A106" s="156">
        <v>101</v>
      </c>
      <c r="B106" s="167">
        <v>45063</v>
      </c>
      <c r="C106" s="87" t="s">
        <v>134</v>
      </c>
      <c r="D106" s="87" t="s">
        <v>135</v>
      </c>
      <c r="E106" s="87" t="s">
        <v>136</v>
      </c>
      <c r="F106" s="168" t="s">
        <v>210</v>
      </c>
      <c r="G106" s="171" t="s">
        <v>466</v>
      </c>
      <c r="H106" s="172" t="s">
        <v>110</v>
      </c>
      <c r="I106" s="171" t="s">
        <v>467</v>
      </c>
      <c r="J106" s="172" t="s">
        <v>468</v>
      </c>
      <c r="K106" s="172" t="s">
        <v>80</v>
      </c>
      <c r="L106" s="171" t="s">
        <v>119</v>
      </c>
      <c r="M106" s="171" t="s">
        <v>114</v>
      </c>
      <c r="N106" s="171" t="s">
        <v>80</v>
      </c>
      <c r="O106" s="171" t="s">
        <v>120</v>
      </c>
      <c r="P106" s="123"/>
      <c r="Q106" s="124"/>
      <c r="R106" s="236">
        <f>0</f>
        <v>0</v>
      </c>
      <c r="S106" s="86">
        <f>0</f>
        <v>0</v>
      </c>
      <c r="T106" s="86">
        <f>0</f>
        <v>0</v>
      </c>
      <c r="U106" s="110">
        <v>1</v>
      </c>
      <c r="V106" s="86"/>
      <c r="W106" s="86">
        <f>0</f>
        <v>0</v>
      </c>
      <c r="X106" s="86">
        <f>0</f>
        <v>0</v>
      </c>
      <c r="Y106" s="86">
        <f>0</f>
        <v>0</v>
      </c>
      <c r="Z106" s="86">
        <f>0</f>
        <v>0</v>
      </c>
      <c r="AA106" s="237">
        <f>0</f>
        <v>0</v>
      </c>
      <c r="AB106" s="239">
        <f>0</f>
        <v>0</v>
      </c>
      <c r="AC106" s="86">
        <f>0</f>
        <v>0</v>
      </c>
      <c r="AD106" s="86">
        <f>0</f>
        <v>0</v>
      </c>
      <c r="AE106" s="86"/>
      <c r="AF106" s="86"/>
      <c r="AG106" s="86"/>
      <c r="AH106" s="86"/>
      <c r="AI106" s="86"/>
      <c r="AJ106" s="86"/>
      <c r="AK106" s="237"/>
      <c r="AL106" s="263">
        <f t="shared" si="6"/>
        <v>1</v>
      </c>
      <c r="AM106" s="111">
        <f>0</f>
        <v>0</v>
      </c>
      <c r="AN106" s="265">
        <f t="shared" si="7"/>
        <v>1</v>
      </c>
      <c r="AO106" s="246">
        <v>45064</v>
      </c>
      <c r="AP106" s="126" t="s">
        <v>273</v>
      </c>
      <c r="AQ106" s="117" t="s">
        <v>580</v>
      </c>
      <c r="AR106" s="129" t="s">
        <v>276</v>
      </c>
      <c r="AS106" s="118"/>
      <c r="AT106" s="125"/>
      <c r="AU106" s="125"/>
      <c r="AV106" s="126"/>
      <c r="AW106" s="125"/>
      <c r="AX106" s="127"/>
      <c r="AY106" s="127"/>
      <c r="AZ106" s="128"/>
      <c r="BA106" s="91"/>
      <c r="BB106" s="91"/>
      <c r="BC106" s="91"/>
    </row>
    <row r="107" spans="1:55" ht="28" hidden="1" customHeight="1">
      <c r="A107" s="156">
        <v>102</v>
      </c>
      <c r="B107" s="167">
        <v>45063</v>
      </c>
      <c r="C107" s="87" t="s">
        <v>134</v>
      </c>
      <c r="D107" s="87" t="s">
        <v>135</v>
      </c>
      <c r="E107" s="87" t="s">
        <v>136</v>
      </c>
      <c r="F107" s="168" t="s">
        <v>210</v>
      </c>
      <c r="G107" s="171" t="s">
        <v>469</v>
      </c>
      <c r="H107" s="172" t="s">
        <v>287</v>
      </c>
      <c r="I107" s="171" t="s">
        <v>470</v>
      </c>
      <c r="J107" s="172" t="s">
        <v>666</v>
      </c>
      <c r="K107" s="172" t="s">
        <v>80</v>
      </c>
      <c r="L107" s="171" t="s">
        <v>471</v>
      </c>
      <c r="M107" s="171" t="s">
        <v>154</v>
      </c>
      <c r="N107" s="171" t="s">
        <v>212</v>
      </c>
      <c r="O107" s="171" t="s">
        <v>149</v>
      </c>
      <c r="P107" s="123"/>
      <c r="Q107" s="124"/>
      <c r="R107" s="236">
        <f>0</f>
        <v>0</v>
      </c>
      <c r="S107" s="86">
        <f>0</f>
        <v>0</v>
      </c>
      <c r="T107" s="86">
        <f>0</f>
        <v>0</v>
      </c>
      <c r="U107" s="110">
        <v>1</v>
      </c>
      <c r="V107" s="86"/>
      <c r="W107" s="86">
        <f>0</f>
        <v>0</v>
      </c>
      <c r="X107" s="86">
        <f>0</f>
        <v>0</v>
      </c>
      <c r="Y107" s="86">
        <f>0</f>
        <v>0</v>
      </c>
      <c r="Z107" s="86">
        <f>0</f>
        <v>0</v>
      </c>
      <c r="AA107" s="237">
        <f>0</f>
        <v>0</v>
      </c>
      <c r="AB107" s="239">
        <f>0</f>
        <v>0</v>
      </c>
      <c r="AC107" s="86">
        <f>0</f>
        <v>0</v>
      </c>
      <c r="AD107" s="86">
        <f>0</f>
        <v>0</v>
      </c>
      <c r="AE107" s="86"/>
      <c r="AF107" s="86"/>
      <c r="AG107" s="86"/>
      <c r="AH107" s="86"/>
      <c r="AI107" s="86"/>
      <c r="AJ107" s="86"/>
      <c r="AK107" s="237"/>
      <c r="AL107" s="263">
        <f t="shared" si="6"/>
        <v>1</v>
      </c>
      <c r="AM107" s="111">
        <f>0</f>
        <v>0</v>
      </c>
      <c r="AN107" s="265">
        <f t="shared" si="7"/>
        <v>1</v>
      </c>
      <c r="AO107" s="246">
        <v>45064</v>
      </c>
      <c r="AP107" s="126" t="s">
        <v>273</v>
      </c>
      <c r="AQ107" s="117" t="s">
        <v>579</v>
      </c>
      <c r="AR107" s="129" t="s">
        <v>148</v>
      </c>
      <c r="AS107" s="118"/>
      <c r="AT107" s="125"/>
      <c r="AU107" s="125"/>
      <c r="AV107" s="126"/>
      <c r="AW107" s="125"/>
      <c r="AX107" s="127"/>
      <c r="AY107" s="127"/>
      <c r="AZ107" s="128"/>
      <c r="BA107" s="91"/>
      <c r="BB107" s="91"/>
      <c r="BC107" s="91"/>
    </row>
    <row r="108" spans="1:55" ht="28" hidden="1" customHeight="1">
      <c r="A108" s="156">
        <v>103</v>
      </c>
      <c r="B108" s="167">
        <v>45063</v>
      </c>
      <c r="C108" s="87" t="s">
        <v>134</v>
      </c>
      <c r="D108" s="87" t="s">
        <v>135</v>
      </c>
      <c r="E108" s="87" t="s">
        <v>136</v>
      </c>
      <c r="F108" s="168" t="s">
        <v>210</v>
      </c>
      <c r="G108" s="171" t="s">
        <v>472</v>
      </c>
      <c r="H108" s="172" t="s">
        <v>110</v>
      </c>
      <c r="I108" s="171" t="s">
        <v>473</v>
      </c>
      <c r="J108" s="172" t="s">
        <v>474</v>
      </c>
      <c r="K108" s="172" t="s">
        <v>80</v>
      </c>
      <c r="L108" s="171" t="s">
        <v>168</v>
      </c>
      <c r="M108" s="171" t="s">
        <v>154</v>
      </c>
      <c r="N108" s="171" t="s">
        <v>80</v>
      </c>
      <c r="O108" s="171" t="s">
        <v>149</v>
      </c>
      <c r="P108" s="123"/>
      <c r="Q108" s="124"/>
      <c r="R108" s="236">
        <f>0</f>
        <v>0</v>
      </c>
      <c r="S108" s="86">
        <f>0</f>
        <v>0</v>
      </c>
      <c r="T108" s="86">
        <f>0</f>
        <v>0</v>
      </c>
      <c r="U108" s="110">
        <v>1</v>
      </c>
      <c r="V108" s="86"/>
      <c r="W108" s="86">
        <f>0</f>
        <v>0</v>
      </c>
      <c r="X108" s="86">
        <f>0</f>
        <v>0</v>
      </c>
      <c r="Y108" s="86">
        <f>0</f>
        <v>0</v>
      </c>
      <c r="Z108" s="86">
        <f>0</f>
        <v>0</v>
      </c>
      <c r="AA108" s="237">
        <f>0</f>
        <v>0</v>
      </c>
      <c r="AB108" s="239">
        <f>0</f>
        <v>0</v>
      </c>
      <c r="AC108" s="86">
        <f>0</f>
        <v>0</v>
      </c>
      <c r="AD108" s="86">
        <f>0</f>
        <v>0</v>
      </c>
      <c r="AE108" s="86"/>
      <c r="AF108" s="86"/>
      <c r="AG108" s="86"/>
      <c r="AH108" s="86"/>
      <c r="AI108" s="86"/>
      <c r="AJ108" s="86"/>
      <c r="AK108" s="237"/>
      <c r="AL108" s="263">
        <f t="shared" si="6"/>
        <v>1</v>
      </c>
      <c r="AM108" s="111">
        <f>0</f>
        <v>0</v>
      </c>
      <c r="AN108" s="265">
        <f t="shared" si="7"/>
        <v>1</v>
      </c>
      <c r="AO108" s="247">
        <v>45075</v>
      </c>
      <c r="AP108" s="186" t="s">
        <v>273</v>
      </c>
      <c r="AQ108" s="117" t="s">
        <v>897</v>
      </c>
      <c r="AR108" s="129" t="s">
        <v>664</v>
      </c>
      <c r="AS108" s="118"/>
      <c r="AT108" s="125"/>
      <c r="AU108" s="125"/>
      <c r="AV108" s="126"/>
      <c r="AW108" s="125"/>
      <c r="AX108" s="127"/>
      <c r="AY108" s="127"/>
      <c r="AZ108" s="128"/>
      <c r="BA108" s="91"/>
      <c r="BB108" s="91"/>
      <c r="BC108" s="91"/>
    </row>
    <row r="109" spans="1:55" ht="28" hidden="1" customHeight="1">
      <c r="A109" s="156">
        <v>104</v>
      </c>
      <c r="B109" s="167">
        <v>45063</v>
      </c>
      <c r="C109" s="87" t="s">
        <v>134</v>
      </c>
      <c r="D109" s="87" t="s">
        <v>135</v>
      </c>
      <c r="E109" s="87" t="s">
        <v>136</v>
      </c>
      <c r="F109" s="168" t="s">
        <v>210</v>
      </c>
      <c r="G109" s="171" t="s">
        <v>475</v>
      </c>
      <c r="H109" s="172" t="s">
        <v>110</v>
      </c>
      <c r="I109" s="171" t="s">
        <v>476</v>
      </c>
      <c r="J109" s="172" t="s">
        <v>477</v>
      </c>
      <c r="K109" s="172" t="s">
        <v>80</v>
      </c>
      <c r="L109" s="171" t="s">
        <v>193</v>
      </c>
      <c r="M109" s="171" t="s">
        <v>154</v>
      </c>
      <c r="N109" s="171" t="s">
        <v>214</v>
      </c>
      <c r="O109" s="171" t="s">
        <v>149</v>
      </c>
      <c r="P109" s="123"/>
      <c r="Q109" s="124"/>
      <c r="R109" s="236">
        <f>0</f>
        <v>0</v>
      </c>
      <c r="S109" s="86">
        <f>0</f>
        <v>0</v>
      </c>
      <c r="T109" s="86">
        <f>0</f>
        <v>0</v>
      </c>
      <c r="U109" s="110">
        <v>1</v>
      </c>
      <c r="V109" s="86"/>
      <c r="W109" s="86">
        <f>0</f>
        <v>0</v>
      </c>
      <c r="X109" s="86">
        <f>0</f>
        <v>0</v>
      </c>
      <c r="Y109" s="86">
        <f>0</f>
        <v>0</v>
      </c>
      <c r="Z109" s="86">
        <f>0</f>
        <v>0</v>
      </c>
      <c r="AA109" s="237">
        <f>0</f>
        <v>0</v>
      </c>
      <c r="AB109" s="239">
        <f>0</f>
        <v>0</v>
      </c>
      <c r="AC109" s="86">
        <f>0</f>
        <v>0</v>
      </c>
      <c r="AD109" s="86">
        <f>0</f>
        <v>0</v>
      </c>
      <c r="AE109" s="86"/>
      <c r="AF109" s="86"/>
      <c r="AG109" s="86"/>
      <c r="AH109" s="86"/>
      <c r="AI109" s="86"/>
      <c r="AJ109" s="86"/>
      <c r="AK109" s="237"/>
      <c r="AL109" s="263">
        <f t="shared" si="6"/>
        <v>1</v>
      </c>
      <c r="AM109" s="111">
        <f>0</f>
        <v>0</v>
      </c>
      <c r="AN109" s="265">
        <f t="shared" si="7"/>
        <v>1</v>
      </c>
      <c r="AO109" s="247">
        <v>45075</v>
      </c>
      <c r="AP109" s="186" t="s">
        <v>273</v>
      </c>
      <c r="AQ109" s="117" t="s">
        <v>897</v>
      </c>
      <c r="AR109" s="129" t="s">
        <v>664</v>
      </c>
      <c r="AS109" s="118"/>
      <c r="AT109" s="125"/>
      <c r="AU109" s="125"/>
      <c r="AV109" s="126"/>
      <c r="AW109" s="125"/>
      <c r="AX109" s="127"/>
      <c r="AY109" s="127"/>
      <c r="AZ109" s="128"/>
      <c r="BA109" s="91"/>
      <c r="BB109" s="91"/>
      <c r="BC109" s="91"/>
    </row>
    <row r="110" spans="1:55" ht="28" hidden="1" customHeight="1">
      <c r="A110" s="156">
        <v>105</v>
      </c>
      <c r="B110" s="167">
        <v>45063</v>
      </c>
      <c r="C110" s="87" t="s">
        <v>134</v>
      </c>
      <c r="D110" s="87" t="s">
        <v>135</v>
      </c>
      <c r="E110" s="87" t="s">
        <v>136</v>
      </c>
      <c r="F110" s="168" t="s">
        <v>210</v>
      </c>
      <c r="G110" s="171" t="s">
        <v>478</v>
      </c>
      <c r="H110" s="172" t="s">
        <v>110</v>
      </c>
      <c r="I110" s="171" t="s">
        <v>479</v>
      </c>
      <c r="J110" s="172" t="s">
        <v>480</v>
      </c>
      <c r="K110" s="172" t="s">
        <v>80</v>
      </c>
      <c r="L110" s="171" t="s">
        <v>389</v>
      </c>
      <c r="M110" s="171" t="s">
        <v>481</v>
      </c>
      <c r="N110" s="171" t="s">
        <v>214</v>
      </c>
      <c r="O110" s="171" t="s">
        <v>80</v>
      </c>
      <c r="P110" s="123"/>
      <c r="Q110" s="124"/>
      <c r="R110" s="236">
        <f>0</f>
        <v>0</v>
      </c>
      <c r="S110" s="86">
        <f>0</f>
        <v>0</v>
      </c>
      <c r="T110" s="86">
        <f>0</f>
        <v>0</v>
      </c>
      <c r="U110" s="110">
        <v>1</v>
      </c>
      <c r="V110" s="86"/>
      <c r="W110" s="86">
        <f>0</f>
        <v>0</v>
      </c>
      <c r="X110" s="86">
        <f>0</f>
        <v>0</v>
      </c>
      <c r="Y110" s="86">
        <f>0</f>
        <v>0</v>
      </c>
      <c r="Z110" s="86">
        <f>0</f>
        <v>0</v>
      </c>
      <c r="AA110" s="237">
        <f>0</f>
        <v>0</v>
      </c>
      <c r="AB110" s="239">
        <f>0</f>
        <v>0</v>
      </c>
      <c r="AC110" s="86">
        <f>0</f>
        <v>0</v>
      </c>
      <c r="AD110" s="86">
        <f>0</f>
        <v>0</v>
      </c>
      <c r="AE110" s="86"/>
      <c r="AF110" s="86"/>
      <c r="AG110" s="86"/>
      <c r="AH110" s="86"/>
      <c r="AI110" s="86"/>
      <c r="AJ110" s="86"/>
      <c r="AK110" s="237"/>
      <c r="AL110" s="263">
        <f t="shared" si="6"/>
        <v>1</v>
      </c>
      <c r="AM110" s="111">
        <f>0</f>
        <v>0</v>
      </c>
      <c r="AN110" s="265">
        <f t="shared" si="7"/>
        <v>1</v>
      </c>
      <c r="AO110" s="246">
        <v>45064</v>
      </c>
      <c r="AP110" s="126" t="s">
        <v>273</v>
      </c>
      <c r="AQ110" s="117" t="s">
        <v>579</v>
      </c>
      <c r="AR110" s="129" t="s">
        <v>148</v>
      </c>
      <c r="AS110" s="118"/>
      <c r="AT110" s="125"/>
      <c r="AU110" s="125"/>
      <c r="AV110" s="126"/>
      <c r="AW110" s="125"/>
      <c r="AX110" s="127"/>
      <c r="AY110" s="127"/>
      <c r="AZ110" s="128"/>
      <c r="BA110" s="91"/>
      <c r="BB110" s="91"/>
      <c r="BC110" s="91"/>
    </row>
    <row r="111" spans="1:55" ht="28" hidden="1" customHeight="1">
      <c r="A111" s="156">
        <v>106</v>
      </c>
      <c r="B111" s="167">
        <v>45063</v>
      </c>
      <c r="C111" s="87" t="s">
        <v>134</v>
      </c>
      <c r="D111" s="87" t="s">
        <v>135</v>
      </c>
      <c r="E111" s="87" t="s">
        <v>136</v>
      </c>
      <c r="F111" s="168" t="s">
        <v>210</v>
      </c>
      <c r="G111" s="171" t="s">
        <v>482</v>
      </c>
      <c r="H111" s="172" t="s">
        <v>110</v>
      </c>
      <c r="I111" s="171" t="s">
        <v>483</v>
      </c>
      <c r="J111" s="172" t="s">
        <v>484</v>
      </c>
      <c r="K111" s="172" t="s">
        <v>80</v>
      </c>
      <c r="L111" s="171" t="s">
        <v>389</v>
      </c>
      <c r="M111" s="171" t="s">
        <v>481</v>
      </c>
      <c r="N111" s="171" t="s">
        <v>214</v>
      </c>
      <c r="O111" s="171" t="s">
        <v>80</v>
      </c>
      <c r="P111" s="123"/>
      <c r="Q111" s="124"/>
      <c r="R111" s="236">
        <f>0</f>
        <v>0</v>
      </c>
      <c r="S111" s="86">
        <f>0</f>
        <v>0</v>
      </c>
      <c r="T111" s="86">
        <f>0</f>
        <v>0</v>
      </c>
      <c r="U111" s="110">
        <v>1</v>
      </c>
      <c r="V111" s="86"/>
      <c r="W111" s="86">
        <f>0</f>
        <v>0</v>
      </c>
      <c r="X111" s="86">
        <f>0</f>
        <v>0</v>
      </c>
      <c r="Y111" s="86">
        <f>0</f>
        <v>0</v>
      </c>
      <c r="Z111" s="86">
        <f>0</f>
        <v>0</v>
      </c>
      <c r="AA111" s="237">
        <f>0</f>
        <v>0</v>
      </c>
      <c r="AB111" s="239">
        <f>0</f>
        <v>0</v>
      </c>
      <c r="AC111" s="86">
        <f>0</f>
        <v>0</v>
      </c>
      <c r="AD111" s="86">
        <f>0</f>
        <v>0</v>
      </c>
      <c r="AE111" s="86"/>
      <c r="AF111" s="86"/>
      <c r="AG111" s="86"/>
      <c r="AH111" s="86"/>
      <c r="AI111" s="86"/>
      <c r="AJ111" s="86"/>
      <c r="AK111" s="237"/>
      <c r="AL111" s="263">
        <f t="shared" si="6"/>
        <v>1</v>
      </c>
      <c r="AM111" s="111">
        <f>0</f>
        <v>0</v>
      </c>
      <c r="AN111" s="265">
        <f t="shared" si="7"/>
        <v>1</v>
      </c>
      <c r="AO111" s="246">
        <v>45064</v>
      </c>
      <c r="AP111" s="126" t="s">
        <v>273</v>
      </c>
      <c r="AQ111" s="117" t="s">
        <v>579</v>
      </c>
      <c r="AR111" s="129" t="s">
        <v>148</v>
      </c>
      <c r="AS111" s="118"/>
      <c r="AT111" s="125"/>
      <c r="AU111" s="125"/>
      <c r="AV111" s="126"/>
      <c r="AW111" s="125"/>
      <c r="AX111" s="127"/>
      <c r="AY111" s="127"/>
      <c r="AZ111" s="128"/>
      <c r="BA111" s="91"/>
      <c r="BB111" s="91"/>
      <c r="BC111" s="91"/>
    </row>
    <row r="112" spans="1:55" ht="28" hidden="1" customHeight="1">
      <c r="A112" s="156">
        <v>107</v>
      </c>
      <c r="B112" s="167">
        <v>45063</v>
      </c>
      <c r="C112" s="87" t="s">
        <v>134</v>
      </c>
      <c r="D112" s="87" t="s">
        <v>135</v>
      </c>
      <c r="E112" s="87" t="s">
        <v>136</v>
      </c>
      <c r="F112" s="168" t="s">
        <v>210</v>
      </c>
      <c r="G112" s="171" t="s">
        <v>485</v>
      </c>
      <c r="H112" s="172" t="s">
        <v>110</v>
      </c>
      <c r="I112" s="171" t="s">
        <v>151</v>
      </c>
      <c r="J112" s="172" t="s">
        <v>486</v>
      </c>
      <c r="K112" s="172" t="s">
        <v>80</v>
      </c>
      <c r="L112" s="171" t="s">
        <v>153</v>
      </c>
      <c r="M112" s="171" t="s">
        <v>154</v>
      </c>
      <c r="N112" s="171" t="s">
        <v>80</v>
      </c>
      <c r="O112" s="171" t="s">
        <v>155</v>
      </c>
      <c r="P112" s="123"/>
      <c r="Q112" s="124"/>
      <c r="R112" s="236">
        <f>0</f>
        <v>0</v>
      </c>
      <c r="S112" s="86">
        <f>0</f>
        <v>0</v>
      </c>
      <c r="T112" s="86">
        <f>0</f>
        <v>0</v>
      </c>
      <c r="U112" s="110">
        <v>1</v>
      </c>
      <c r="V112" s="86"/>
      <c r="W112" s="86">
        <f>0</f>
        <v>0</v>
      </c>
      <c r="X112" s="86">
        <f>0</f>
        <v>0</v>
      </c>
      <c r="Y112" s="86">
        <f>0</f>
        <v>0</v>
      </c>
      <c r="Z112" s="86">
        <f>0</f>
        <v>0</v>
      </c>
      <c r="AA112" s="237">
        <f>0</f>
        <v>0</v>
      </c>
      <c r="AB112" s="239">
        <f>0</f>
        <v>0</v>
      </c>
      <c r="AC112" s="86">
        <f>0</f>
        <v>0</v>
      </c>
      <c r="AD112" s="86">
        <f>0</f>
        <v>0</v>
      </c>
      <c r="AE112" s="86"/>
      <c r="AF112" s="86"/>
      <c r="AG112" s="86"/>
      <c r="AH112" s="86"/>
      <c r="AI112" s="86"/>
      <c r="AJ112" s="86"/>
      <c r="AK112" s="237"/>
      <c r="AL112" s="263">
        <f t="shared" si="6"/>
        <v>1</v>
      </c>
      <c r="AM112" s="111">
        <f>0</f>
        <v>0</v>
      </c>
      <c r="AN112" s="265">
        <f t="shared" si="7"/>
        <v>1</v>
      </c>
      <c r="AO112" s="246">
        <v>45064</v>
      </c>
      <c r="AP112" s="126" t="s">
        <v>273</v>
      </c>
      <c r="AQ112" s="117" t="s">
        <v>579</v>
      </c>
      <c r="AR112" s="129" t="s">
        <v>148</v>
      </c>
      <c r="AS112" s="118"/>
      <c r="AT112" s="125"/>
      <c r="AU112" s="125"/>
      <c r="AV112" s="126"/>
      <c r="AW112" s="125"/>
      <c r="AX112" s="127"/>
      <c r="AY112" s="127"/>
      <c r="AZ112" s="128"/>
      <c r="BA112" s="91"/>
      <c r="BB112" s="91"/>
      <c r="BC112" s="91"/>
    </row>
    <row r="113" spans="1:55" ht="28" hidden="1" customHeight="1">
      <c r="A113" s="156">
        <v>108</v>
      </c>
      <c r="B113" s="167">
        <v>45063</v>
      </c>
      <c r="C113" s="87" t="s">
        <v>134</v>
      </c>
      <c r="D113" s="87" t="s">
        <v>135</v>
      </c>
      <c r="E113" s="87" t="s">
        <v>136</v>
      </c>
      <c r="F113" s="168" t="s">
        <v>210</v>
      </c>
      <c r="G113" s="171" t="s">
        <v>487</v>
      </c>
      <c r="H113" s="172" t="s">
        <v>110</v>
      </c>
      <c r="I113" s="171" t="s">
        <v>488</v>
      </c>
      <c r="J113" s="172" t="s">
        <v>489</v>
      </c>
      <c r="K113" s="172" t="s">
        <v>80</v>
      </c>
      <c r="L113" s="171" t="s">
        <v>153</v>
      </c>
      <c r="M113" s="171" t="s">
        <v>154</v>
      </c>
      <c r="N113" s="171" t="s">
        <v>80</v>
      </c>
      <c r="O113" s="171" t="s">
        <v>155</v>
      </c>
      <c r="P113" s="123"/>
      <c r="Q113" s="124"/>
      <c r="R113" s="236">
        <f>0</f>
        <v>0</v>
      </c>
      <c r="S113" s="86">
        <f>0</f>
        <v>0</v>
      </c>
      <c r="T113" s="86">
        <f>0</f>
        <v>0</v>
      </c>
      <c r="U113" s="110">
        <v>1</v>
      </c>
      <c r="V113" s="86"/>
      <c r="W113" s="86">
        <f>0</f>
        <v>0</v>
      </c>
      <c r="X113" s="86">
        <f>0</f>
        <v>0</v>
      </c>
      <c r="Y113" s="86">
        <f>0</f>
        <v>0</v>
      </c>
      <c r="Z113" s="86">
        <f>0</f>
        <v>0</v>
      </c>
      <c r="AA113" s="237">
        <f>0</f>
        <v>0</v>
      </c>
      <c r="AB113" s="239">
        <f>0</f>
        <v>0</v>
      </c>
      <c r="AC113" s="86">
        <f>0</f>
        <v>0</v>
      </c>
      <c r="AD113" s="86">
        <f>0</f>
        <v>0</v>
      </c>
      <c r="AE113" s="86"/>
      <c r="AF113" s="86"/>
      <c r="AG113" s="86"/>
      <c r="AH113" s="86"/>
      <c r="AI113" s="86"/>
      <c r="AJ113" s="86"/>
      <c r="AK113" s="237"/>
      <c r="AL113" s="263">
        <f t="shared" si="6"/>
        <v>1</v>
      </c>
      <c r="AM113" s="111">
        <f>0</f>
        <v>0</v>
      </c>
      <c r="AN113" s="265">
        <f t="shared" si="7"/>
        <v>1</v>
      </c>
      <c r="AO113" s="246">
        <v>45064</v>
      </c>
      <c r="AP113" s="126" t="s">
        <v>273</v>
      </c>
      <c r="AQ113" s="117" t="s">
        <v>579</v>
      </c>
      <c r="AR113" s="129" t="s">
        <v>148</v>
      </c>
      <c r="AS113" s="118"/>
      <c r="AT113" s="125"/>
      <c r="AU113" s="125"/>
      <c r="AV113" s="126"/>
      <c r="AW113" s="125"/>
      <c r="AX113" s="127"/>
      <c r="AY113" s="127"/>
      <c r="AZ113" s="128"/>
      <c r="BA113" s="91"/>
      <c r="BB113" s="91"/>
      <c r="BC113" s="91"/>
    </row>
    <row r="114" spans="1:55" ht="28" hidden="1" customHeight="1">
      <c r="A114" s="156">
        <v>109</v>
      </c>
      <c r="B114" s="167">
        <v>45063</v>
      </c>
      <c r="C114" s="87" t="s">
        <v>134</v>
      </c>
      <c r="D114" s="87" t="s">
        <v>135</v>
      </c>
      <c r="E114" s="87" t="s">
        <v>136</v>
      </c>
      <c r="F114" s="168" t="s">
        <v>210</v>
      </c>
      <c r="G114" s="171" t="s">
        <v>490</v>
      </c>
      <c r="H114" s="172" t="s">
        <v>110</v>
      </c>
      <c r="I114" s="171" t="s">
        <v>491</v>
      </c>
      <c r="J114" s="172" t="s">
        <v>492</v>
      </c>
      <c r="K114" s="172" t="s">
        <v>80</v>
      </c>
      <c r="L114" s="171" t="s">
        <v>153</v>
      </c>
      <c r="M114" s="171" t="s">
        <v>154</v>
      </c>
      <c r="N114" s="171" t="s">
        <v>80</v>
      </c>
      <c r="O114" s="171" t="s">
        <v>155</v>
      </c>
      <c r="P114" s="123"/>
      <c r="Q114" s="124"/>
      <c r="R114" s="236">
        <f>0</f>
        <v>0</v>
      </c>
      <c r="S114" s="86">
        <f>0</f>
        <v>0</v>
      </c>
      <c r="T114" s="86">
        <f>0</f>
        <v>0</v>
      </c>
      <c r="U114" s="110">
        <v>1</v>
      </c>
      <c r="V114" s="86"/>
      <c r="W114" s="86">
        <f>0</f>
        <v>0</v>
      </c>
      <c r="X114" s="86">
        <f>0</f>
        <v>0</v>
      </c>
      <c r="Y114" s="86">
        <f>0</f>
        <v>0</v>
      </c>
      <c r="Z114" s="86">
        <f>0</f>
        <v>0</v>
      </c>
      <c r="AA114" s="237">
        <f>0</f>
        <v>0</v>
      </c>
      <c r="AB114" s="239">
        <f>0</f>
        <v>0</v>
      </c>
      <c r="AC114" s="86">
        <f>0</f>
        <v>0</v>
      </c>
      <c r="AD114" s="86">
        <f>0</f>
        <v>0</v>
      </c>
      <c r="AE114" s="86"/>
      <c r="AF114" s="86"/>
      <c r="AG114" s="86"/>
      <c r="AH114" s="86"/>
      <c r="AI114" s="86"/>
      <c r="AJ114" s="86"/>
      <c r="AK114" s="237"/>
      <c r="AL114" s="263">
        <f t="shared" si="6"/>
        <v>1</v>
      </c>
      <c r="AM114" s="111">
        <f>0</f>
        <v>0</v>
      </c>
      <c r="AN114" s="265">
        <f t="shared" si="7"/>
        <v>1</v>
      </c>
      <c r="AO114" s="246">
        <v>45064</v>
      </c>
      <c r="AP114" s="126" t="s">
        <v>273</v>
      </c>
      <c r="AQ114" s="117" t="s">
        <v>579</v>
      </c>
      <c r="AR114" s="129" t="s">
        <v>148</v>
      </c>
      <c r="AS114" s="118"/>
      <c r="AT114" s="125"/>
      <c r="AU114" s="125"/>
      <c r="AV114" s="126"/>
      <c r="AW114" s="125"/>
      <c r="AX114" s="127"/>
      <c r="AY114" s="127"/>
      <c r="AZ114" s="128"/>
      <c r="BA114" s="91"/>
      <c r="BB114" s="91"/>
      <c r="BC114" s="91"/>
    </row>
    <row r="115" spans="1:55" ht="28" hidden="1" customHeight="1">
      <c r="A115" s="156">
        <v>110</v>
      </c>
      <c r="B115" s="167">
        <v>45063</v>
      </c>
      <c r="C115" s="87" t="s">
        <v>134</v>
      </c>
      <c r="D115" s="87" t="s">
        <v>135</v>
      </c>
      <c r="E115" s="87" t="s">
        <v>136</v>
      </c>
      <c r="F115" s="168" t="s">
        <v>210</v>
      </c>
      <c r="G115" s="171" t="s">
        <v>493</v>
      </c>
      <c r="H115" s="172" t="s">
        <v>110</v>
      </c>
      <c r="I115" s="171" t="s">
        <v>494</v>
      </c>
      <c r="J115" s="172" t="s">
        <v>495</v>
      </c>
      <c r="K115" s="172" t="s">
        <v>80</v>
      </c>
      <c r="L115" s="171" t="s">
        <v>153</v>
      </c>
      <c r="M115" s="171" t="s">
        <v>154</v>
      </c>
      <c r="N115" s="171" t="s">
        <v>80</v>
      </c>
      <c r="O115" s="171" t="s">
        <v>155</v>
      </c>
      <c r="P115" s="123"/>
      <c r="Q115" s="124"/>
      <c r="R115" s="236">
        <f>0</f>
        <v>0</v>
      </c>
      <c r="S115" s="86">
        <f>0</f>
        <v>0</v>
      </c>
      <c r="T115" s="86">
        <f>0</f>
        <v>0</v>
      </c>
      <c r="U115" s="110">
        <v>1</v>
      </c>
      <c r="V115" s="86"/>
      <c r="W115" s="86">
        <f>0</f>
        <v>0</v>
      </c>
      <c r="X115" s="86">
        <f>0</f>
        <v>0</v>
      </c>
      <c r="Y115" s="86">
        <f>0</f>
        <v>0</v>
      </c>
      <c r="Z115" s="86">
        <f>0</f>
        <v>0</v>
      </c>
      <c r="AA115" s="237">
        <f>0</f>
        <v>0</v>
      </c>
      <c r="AB115" s="239">
        <f>0</f>
        <v>0</v>
      </c>
      <c r="AC115" s="86">
        <f>0</f>
        <v>0</v>
      </c>
      <c r="AD115" s="86">
        <f>0</f>
        <v>0</v>
      </c>
      <c r="AE115" s="86"/>
      <c r="AF115" s="86"/>
      <c r="AG115" s="86"/>
      <c r="AH115" s="86"/>
      <c r="AI115" s="86"/>
      <c r="AJ115" s="86"/>
      <c r="AK115" s="237"/>
      <c r="AL115" s="263">
        <f t="shared" si="6"/>
        <v>1</v>
      </c>
      <c r="AM115" s="111">
        <f>0</f>
        <v>0</v>
      </c>
      <c r="AN115" s="265">
        <f t="shared" si="7"/>
        <v>1</v>
      </c>
      <c r="AO115" s="246">
        <v>45064</v>
      </c>
      <c r="AP115" s="126" t="s">
        <v>273</v>
      </c>
      <c r="AQ115" s="117" t="s">
        <v>579</v>
      </c>
      <c r="AR115" s="129" t="s">
        <v>148</v>
      </c>
      <c r="AS115" s="118"/>
      <c r="AT115" s="125"/>
      <c r="AU115" s="125"/>
      <c r="AV115" s="126"/>
      <c r="AW115" s="125"/>
      <c r="AX115" s="127"/>
      <c r="AY115" s="127"/>
      <c r="AZ115" s="128"/>
      <c r="BA115" s="91"/>
      <c r="BB115" s="91"/>
      <c r="BC115" s="91"/>
    </row>
    <row r="116" spans="1:55" ht="28" hidden="1" customHeight="1">
      <c r="A116" s="156">
        <v>111</v>
      </c>
      <c r="B116" s="167">
        <v>45063</v>
      </c>
      <c r="C116" s="87" t="s">
        <v>134</v>
      </c>
      <c r="D116" s="87" t="s">
        <v>135</v>
      </c>
      <c r="E116" s="87" t="s">
        <v>136</v>
      </c>
      <c r="F116" s="168" t="s">
        <v>210</v>
      </c>
      <c r="G116" s="171" t="s">
        <v>496</v>
      </c>
      <c r="H116" s="172" t="s">
        <v>110</v>
      </c>
      <c r="I116" s="171" t="s">
        <v>497</v>
      </c>
      <c r="J116" s="172" t="s">
        <v>498</v>
      </c>
      <c r="K116" s="172" t="s">
        <v>80</v>
      </c>
      <c r="L116" s="171" t="s">
        <v>153</v>
      </c>
      <c r="M116" s="171" t="s">
        <v>154</v>
      </c>
      <c r="N116" s="171" t="s">
        <v>80</v>
      </c>
      <c r="O116" s="171" t="s">
        <v>155</v>
      </c>
      <c r="P116" s="123"/>
      <c r="Q116" s="124"/>
      <c r="R116" s="236">
        <f>0</f>
        <v>0</v>
      </c>
      <c r="S116" s="86">
        <f>0</f>
        <v>0</v>
      </c>
      <c r="T116" s="86">
        <f>0</f>
        <v>0</v>
      </c>
      <c r="U116" s="110">
        <v>2</v>
      </c>
      <c r="V116" s="86"/>
      <c r="W116" s="86">
        <f>0</f>
        <v>0</v>
      </c>
      <c r="X116" s="86">
        <f>0</f>
        <v>0</v>
      </c>
      <c r="Y116" s="86">
        <f>0</f>
        <v>0</v>
      </c>
      <c r="Z116" s="86">
        <f>0</f>
        <v>0</v>
      </c>
      <c r="AA116" s="237">
        <f>0</f>
        <v>0</v>
      </c>
      <c r="AB116" s="239">
        <f>0</f>
        <v>0</v>
      </c>
      <c r="AC116" s="86">
        <f>0</f>
        <v>0</v>
      </c>
      <c r="AD116" s="86">
        <f>0</f>
        <v>0</v>
      </c>
      <c r="AE116" s="86"/>
      <c r="AF116" s="86"/>
      <c r="AG116" s="86"/>
      <c r="AH116" s="86"/>
      <c r="AI116" s="86"/>
      <c r="AJ116" s="86"/>
      <c r="AK116" s="237"/>
      <c r="AL116" s="263">
        <f t="shared" si="6"/>
        <v>2</v>
      </c>
      <c r="AM116" s="111">
        <f>0</f>
        <v>0</v>
      </c>
      <c r="AN116" s="265">
        <f t="shared" si="7"/>
        <v>2</v>
      </c>
      <c r="AO116" s="246">
        <v>45064</v>
      </c>
      <c r="AP116" s="126" t="s">
        <v>273</v>
      </c>
      <c r="AQ116" s="117" t="s">
        <v>579</v>
      </c>
      <c r="AR116" s="129" t="s">
        <v>148</v>
      </c>
      <c r="AS116" s="118"/>
      <c r="AT116" s="125"/>
      <c r="AU116" s="125"/>
      <c r="AV116" s="126"/>
      <c r="AW116" s="125"/>
      <c r="AX116" s="127"/>
      <c r="AY116" s="127"/>
      <c r="AZ116" s="128"/>
      <c r="BA116" s="91"/>
      <c r="BB116" s="91"/>
      <c r="BC116" s="91"/>
    </row>
    <row r="117" spans="1:55" ht="28" customHeight="1">
      <c r="A117" s="283">
        <v>112</v>
      </c>
      <c r="B117" s="284">
        <v>45063</v>
      </c>
      <c r="C117" s="285" t="s">
        <v>134</v>
      </c>
      <c r="D117" s="285" t="s">
        <v>135</v>
      </c>
      <c r="E117" s="285" t="s">
        <v>136</v>
      </c>
      <c r="F117" s="286" t="s">
        <v>210</v>
      </c>
      <c r="G117" s="287" t="s">
        <v>1295</v>
      </c>
      <c r="H117" s="288" t="s">
        <v>110</v>
      </c>
      <c r="I117" s="287" t="s">
        <v>572</v>
      </c>
      <c r="J117" s="288" t="s">
        <v>499</v>
      </c>
      <c r="K117" s="288"/>
      <c r="L117" s="287" t="s">
        <v>471</v>
      </c>
      <c r="M117" s="287" t="s">
        <v>154</v>
      </c>
      <c r="N117" s="287" t="s">
        <v>573</v>
      </c>
      <c r="O117" s="287" t="s">
        <v>149</v>
      </c>
      <c r="P117" s="289"/>
      <c r="Q117" s="290"/>
      <c r="R117" s="236">
        <f>0</f>
        <v>0</v>
      </c>
      <c r="S117" s="86">
        <f>0</f>
        <v>0</v>
      </c>
      <c r="T117" s="86">
        <f>0</f>
        <v>0</v>
      </c>
      <c r="U117" s="110">
        <v>1</v>
      </c>
      <c r="V117" s="86"/>
      <c r="W117" s="86">
        <f>0</f>
        <v>0</v>
      </c>
      <c r="X117" s="86">
        <f>0</f>
        <v>0</v>
      </c>
      <c r="Y117" s="86">
        <f>0</f>
        <v>0</v>
      </c>
      <c r="Z117" s="86">
        <f>0</f>
        <v>0</v>
      </c>
      <c r="AA117" s="237">
        <f>0</f>
        <v>0</v>
      </c>
      <c r="AB117" s="239">
        <f>0</f>
        <v>0</v>
      </c>
      <c r="AC117" s="86">
        <f>0</f>
        <v>0</v>
      </c>
      <c r="AD117" s="86">
        <f>0</f>
        <v>0</v>
      </c>
      <c r="AE117" s="86"/>
      <c r="AF117" s="86"/>
      <c r="AG117" s="86"/>
      <c r="AH117" s="86"/>
      <c r="AI117" s="86"/>
      <c r="AJ117" s="86"/>
      <c r="AK117" s="237"/>
      <c r="AL117" s="291">
        <f t="shared" si="6"/>
        <v>1</v>
      </c>
      <c r="AM117" s="292">
        <f>0</f>
        <v>0</v>
      </c>
      <c r="AN117" s="293">
        <f t="shared" si="7"/>
        <v>1</v>
      </c>
      <c r="AO117" s="294">
        <v>45082</v>
      </c>
      <c r="AP117" s="295" t="s">
        <v>273</v>
      </c>
      <c r="AQ117" s="296"/>
      <c r="AR117" s="297" t="s">
        <v>1289</v>
      </c>
      <c r="AS117" s="298"/>
      <c r="AT117" s="299"/>
      <c r="AU117" s="299"/>
      <c r="AV117" s="300"/>
      <c r="AW117" s="299"/>
      <c r="AX117" s="301"/>
      <c r="AY117" s="301"/>
      <c r="AZ117" s="302"/>
      <c r="BA117" s="91"/>
      <c r="BB117" s="91"/>
      <c r="BC117" s="91"/>
    </row>
    <row r="118" spans="1:55" ht="28" customHeight="1">
      <c r="A118" s="283">
        <v>113</v>
      </c>
      <c r="B118" s="284">
        <v>45063</v>
      </c>
      <c r="C118" s="285" t="s">
        <v>134</v>
      </c>
      <c r="D118" s="285" t="s">
        <v>135</v>
      </c>
      <c r="E118" s="285" t="s">
        <v>136</v>
      </c>
      <c r="F118" s="286" t="s">
        <v>210</v>
      </c>
      <c r="G118" s="287" t="s">
        <v>1296</v>
      </c>
      <c r="H118" s="288" t="s">
        <v>287</v>
      </c>
      <c r="I118" s="287" t="s">
        <v>500</v>
      </c>
      <c r="J118" s="288" t="s">
        <v>1221</v>
      </c>
      <c r="K118" s="288" t="s">
        <v>80</v>
      </c>
      <c r="L118" s="287" t="s">
        <v>471</v>
      </c>
      <c r="M118" s="287" t="s">
        <v>154</v>
      </c>
      <c r="N118" s="287" t="s">
        <v>573</v>
      </c>
      <c r="O118" s="287" t="s">
        <v>149</v>
      </c>
      <c r="P118" s="289"/>
      <c r="Q118" s="290"/>
      <c r="R118" s="236">
        <f>0</f>
        <v>0</v>
      </c>
      <c r="S118" s="86">
        <f>0</f>
        <v>0</v>
      </c>
      <c r="T118" s="86">
        <f>0</f>
        <v>0</v>
      </c>
      <c r="U118" s="110">
        <v>1</v>
      </c>
      <c r="V118" s="86"/>
      <c r="W118" s="86">
        <f>0</f>
        <v>0</v>
      </c>
      <c r="X118" s="86">
        <f>0</f>
        <v>0</v>
      </c>
      <c r="Y118" s="86">
        <f>0</f>
        <v>0</v>
      </c>
      <c r="Z118" s="86">
        <f>0</f>
        <v>0</v>
      </c>
      <c r="AA118" s="237">
        <f>0</f>
        <v>0</v>
      </c>
      <c r="AB118" s="239">
        <f>0</f>
        <v>0</v>
      </c>
      <c r="AC118" s="86">
        <f>0</f>
        <v>0</v>
      </c>
      <c r="AD118" s="86">
        <f>0</f>
        <v>0</v>
      </c>
      <c r="AE118" s="86"/>
      <c r="AF118" s="86"/>
      <c r="AG118" s="86"/>
      <c r="AH118" s="86"/>
      <c r="AI118" s="86"/>
      <c r="AJ118" s="86"/>
      <c r="AK118" s="237"/>
      <c r="AL118" s="291">
        <f>SUM(R118:AK118)</f>
        <v>1</v>
      </c>
      <c r="AM118" s="292">
        <f>0</f>
        <v>0</v>
      </c>
      <c r="AN118" s="293">
        <f>AL118-AM118</f>
        <v>1</v>
      </c>
      <c r="AO118" s="294">
        <v>45082</v>
      </c>
      <c r="AP118" s="295" t="s">
        <v>273</v>
      </c>
      <c r="AQ118" s="296"/>
      <c r="AR118" s="297" t="s">
        <v>1289</v>
      </c>
      <c r="AS118" s="298"/>
      <c r="AT118" s="303"/>
      <c r="AU118" s="303"/>
      <c r="AV118" s="300"/>
      <c r="AW118" s="303"/>
      <c r="AX118" s="304"/>
      <c r="AY118" s="304"/>
      <c r="AZ118" s="302"/>
      <c r="BA118" s="91"/>
      <c r="BB118" s="91"/>
      <c r="BC118" s="91"/>
    </row>
    <row r="119" spans="1:55" ht="28" customHeight="1">
      <c r="A119" s="283">
        <v>114</v>
      </c>
      <c r="B119" s="284">
        <v>45063</v>
      </c>
      <c r="C119" s="285" t="s">
        <v>134</v>
      </c>
      <c r="D119" s="285" t="s">
        <v>135</v>
      </c>
      <c r="E119" s="285" t="s">
        <v>136</v>
      </c>
      <c r="F119" s="286" t="s">
        <v>210</v>
      </c>
      <c r="G119" s="287" t="s">
        <v>1297</v>
      </c>
      <c r="H119" s="288" t="s">
        <v>110</v>
      </c>
      <c r="I119" s="287" t="s">
        <v>574</v>
      </c>
      <c r="J119" s="288" t="s">
        <v>501</v>
      </c>
      <c r="K119" s="288" t="s">
        <v>80</v>
      </c>
      <c r="L119" s="287" t="s">
        <v>471</v>
      </c>
      <c r="M119" s="287" t="s">
        <v>154</v>
      </c>
      <c r="N119" s="287" t="s">
        <v>573</v>
      </c>
      <c r="O119" s="287" t="s">
        <v>149</v>
      </c>
      <c r="P119" s="289"/>
      <c r="Q119" s="290"/>
      <c r="R119" s="236">
        <f>0</f>
        <v>0</v>
      </c>
      <c r="S119" s="86">
        <f>0</f>
        <v>0</v>
      </c>
      <c r="T119" s="86">
        <f>0</f>
        <v>0</v>
      </c>
      <c r="U119" s="110">
        <v>1</v>
      </c>
      <c r="V119" s="86"/>
      <c r="W119" s="86">
        <f>0</f>
        <v>0</v>
      </c>
      <c r="X119" s="86">
        <f>0</f>
        <v>0</v>
      </c>
      <c r="Y119" s="86">
        <f>0</f>
        <v>0</v>
      </c>
      <c r="Z119" s="86">
        <f>0</f>
        <v>0</v>
      </c>
      <c r="AA119" s="237">
        <f>0</f>
        <v>0</v>
      </c>
      <c r="AB119" s="239">
        <f>0</f>
        <v>0</v>
      </c>
      <c r="AC119" s="86">
        <f>0</f>
        <v>0</v>
      </c>
      <c r="AD119" s="86">
        <f>0</f>
        <v>0</v>
      </c>
      <c r="AE119" s="86"/>
      <c r="AF119" s="86"/>
      <c r="AG119" s="86"/>
      <c r="AH119" s="86"/>
      <c r="AI119" s="86"/>
      <c r="AJ119" s="86"/>
      <c r="AK119" s="237"/>
      <c r="AL119" s="291">
        <f>SUM(R119:AK119)</f>
        <v>1</v>
      </c>
      <c r="AM119" s="292">
        <f>0</f>
        <v>0</v>
      </c>
      <c r="AN119" s="293">
        <f>AL119-AM119</f>
        <v>1</v>
      </c>
      <c r="AO119" s="294">
        <v>45082</v>
      </c>
      <c r="AP119" s="295" t="s">
        <v>273</v>
      </c>
      <c r="AQ119" s="296"/>
      <c r="AR119" s="297" t="s">
        <v>1289</v>
      </c>
      <c r="AS119" s="298"/>
      <c r="AT119" s="303"/>
      <c r="AU119" s="303"/>
      <c r="AV119" s="300"/>
      <c r="AW119" s="303"/>
      <c r="AX119" s="304"/>
      <c r="AY119" s="304"/>
      <c r="AZ119" s="302"/>
      <c r="BA119" s="91"/>
      <c r="BB119" s="91"/>
      <c r="BC119" s="91"/>
    </row>
    <row r="120" spans="1:55" ht="28" customHeight="1">
      <c r="A120" s="283">
        <v>115</v>
      </c>
      <c r="B120" s="284">
        <v>45063</v>
      </c>
      <c r="C120" s="285" t="s">
        <v>134</v>
      </c>
      <c r="D120" s="285" t="s">
        <v>135</v>
      </c>
      <c r="E120" s="285" t="s">
        <v>136</v>
      </c>
      <c r="F120" s="286" t="s">
        <v>210</v>
      </c>
      <c r="G120" s="287" t="s">
        <v>1298</v>
      </c>
      <c r="H120" s="288" t="s">
        <v>110</v>
      </c>
      <c r="I120" s="287" t="s">
        <v>502</v>
      </c>
      <c r="J120" s="288" t="s">
        <v>503</v>
      </c>
      <c r="K120" s="288" t="s">
        <v>80</v>
      </c>
      <c r="L120" s="287" t="s">
        <v>471</v>
      </c>
      <c r="M120" s="287" t="s">
        <v>154</v>
      </c>
      <c r="N120" s="287" t="s">
        <v>573</v>
      </c>
      <c r="O120" s="287" t="s">
        <v>149</v>
      </c>
      <c r="P120" s="289"/>
      <c r="Q120" s="290"/>
      <c r="R120" s="236">
        <f>0</f>
        <v>0</v>
      </c>
      <c r="S120" s="86">
        <f>0</f>
        <v>0</v>
      </c>
      <c r="T120" s="86">
        <f>0</f>
        <v>0</v>
      </c>
      <c r="U120" s="110">
        <v>1</v>
      </c>
      <c r="V120" s="86"/>
      <c r="W120" s="86">
        <f>0</f>
        <v>0</v>
      </c>
      <c r="X120" s="86">
        <f>0</f>
        <v>0</v>
      </c>
      <c r="Y120" s="86">
        <f>0</f>
        <v>0</v>
      </c>
      <c r="Z120" s="86">
        <f>0</f>
        <v>0</v>
      </c>
      <c r="AA120" s="237">
        <f>0</f>
        <v>0</v>
      </c>
      <c r="AB120" s="239">
        <f>0</f>
        <v>0</v>
      </c>
      <c r="AC120" s="86">
        <f>0</f>
        <v>0</v>
      </c>
      <c r="AD120" s="86">
        <f>0</f>
        <v>0</v>
      </c>
      <c r="AE120" s="86"/>
      <c r="AF120" s="86"/>
      <c r="AG120" s="86"/>
      <c r="AH120" s="86"/>
      <c r="AI120" s="86"/>
      <c r="AJ120" s="86"/>
      <c r="AK120" s="237"/>
      <c r="AL120" s="291">
        <f>SUM(R120:AK120)</f>
        <v>1</v>
      </c>
      <c r="AM120" s="292">
        <f>0</f>
        <v>0</v>
      </c>
      <c r="AN120" s="293">
        <f>AL120-AM120</f>
        <v>1</v>
      </c>
      <c r="AO120" s="294">
        <v>45082</v>
      </c>
      <c r="AP120" s="295" t="s">
        <v>273</v>
      </c>
      <c r="AQ120" s="296"/>
      <c r="AR120" s="297" t="s">
        <v>1289</v>
      </c>
      <c r="AS120" s="298"/>
      <c r="AT120" s="303"/>
      <c r="AU120" s="303"/>
      <c r="AV120" s="300"/>
      <c r="AW120" s="303"/>
      <c r="AX120" s="304"/>
      <c r="AY120" s="304"/>
      <c r="AZ120" s="302"/>
      <c r="BA120" s="91"/>
      <c r="BB120" s="91"/>
      <c r="BC120" s="91"/>
    </row>
    <row r="121" spans="1:55" ht="28" hidden="1" customHeight="1">
      <c r="A121" s="156">
        <v>116</v>
      </c>
      <c r="B121" s="167">
        <v>45063</v>
      </c>
      <c r="C121" s="87" t="s">
        <v>134</v>
      </c>
      <c r="D121" s="87" t="s">
        <v>135</v>
      </c>
      <c r="E121" s="87" t="s">
        <v>136</v>
      </c>
      <c r="F121" s="168" t="s">
        <v>210</v>
      </c>
      <c r="G121" s="171" t="s">
        <v>504</v>
      </c>
      <c r="H121" s="172" t="s">
        <v>110</v>
      </c>
      <c r="I121" s="171" t="s">
        <v>494</v>
      </c>
      <c r="J121" s="172" t="s">
        <v>505</v>
      </c>
      <c r="K121" s="172"/>
      <c r="L121" s="171" t="s">
        <v>168</v>
      </c>
      <c r="M121" s="171" t="s">
        <v>154</v>
      </c>
      <c r="N121" s="171"/>
      <c r="O121" s="171" t="s">
        <v>149</v>
      </c>
      <c r="P121" s="123"/>
      <c r="Q121" s="124"/>
      <c r="R121" s="236">
        <f>0</f>
        <v>0</v>
      </c>
      <c r="S121" s="86">
        <f>0</f>
        <v>0</v>
      </c>
      <c r="T121" s="86">
        <f>0</f>
        <v>0</v>
      </c>
      <c r="U121" s="110">
        <v>1</v>
      </c>
      <c r="V121" s="86"/>
      <c r="W121" s="86">
        <f>0</f>
        <v>0</v>
      </c>
      <c r="X121" s="86">
        <f>0</f>
        <v>0</v>
      </c>
      <c r="Y121" s="86">
        <f>0</f>
        <v>0</v>
      </c>
      <c r="Z121" s="86">
        <f>0</f>
        <v>0</v>
      </c>
      <c r="AA121" s="237">
        <f>0</f>
        <v>0</v>
      </c>
      <c r="AB121" s="239">
        <f>0</f>
        <v>0</v>
      </c>
      <c r="AC121" s="86">
        <f>0</f>
        <v>0</v>
      </c>
      <c r="AD121" s="86">
        <f>0</f>
        <v>0</v>
      </c>
      <c r="AE121" s="86"/>
      <c r="AF121" s="86"/>
      <c r="AG121" s="86"/>
      <c r="AH121" s="86"/>
      <c r="AI121" s="86"/>
      <c r="AJ121" s="86"/>
      <c r="AK121" s="237"/>
      <c r="AL121" s="263">
        <f>SUM(R121:AK121)</f>
        <v>1</v>
      </c>
      <c r="AM121" s="111">
        <f>0</f>
        <v>0</v>
      </c>
      <c r="AN121" s="265">
        <f>AL121-AM121</f>
        <v>1</v>
      </c>
      <c r="AO121" s="246">
        <v>45064</v>
      </c>
      <c r="AP121" s="126" t="s">
        <v>273</v>
      </c>
      <c r="AQ121" s="117" t="s">
        <v>579</v>
      </c>
      <c r="AR121" s="129" t="s">
        <v>148</v>
      </c>
      <c r="AS121" s="118"/>
      <c r="AT121" s="119"/>
      <c r="AU121" s="119"/>
      <c r="AV121" s="126"/>
      <c r="AW121" s="119"/>
      <c r="AX121" s="120"/>
      <c r="AY121" s="120"/>
      <c r="AZ121" s="128"/>
      <c r="BA121" s="91"/>
      <c r="BB121" s="91"/>
      <c r="BC121" s="91"/>
    </row>
    <row r="122" spans="1:55" ht="28" customHeight="1">
      <c r="A122" s="283">
        <v>117</v>
      </c>
      <c r="B122" s="284">
        <v>45063</v>
      </c>
      <c r="C122" s="285" t="s">
        <v>134</v>
      </c>
      <c r="D122" s="285" t="s">
        <v>135</v>
      </c>
      <c r="E122" s="285" t="s">
        <v>136</v>
      </c>
      <c r="F122" s="286" t="s">
        <v>210</v>
      </c>
      <c r="G122" s="287" t="s">
        <v>1299</v>
      </c>
      <c r="H122" s="288" t="s">
        <v>110</v>
      </c>
      <c r="I122" s="287" t="s">
        <v>575</v>
      </c>
      <c r="J122" s="288" t="s">
        <v>506</v>
      </c>
      <c r="K122" s="288"/>
      <c r="L122" s="287" t="s">
        <v>507</v>
      </c>
      <c r="M122" s="287" t="s">
        <v>154</v>
      </c>
      <c r="N122" s="287" t="s">
        <v>212</v>
      </c>
      <c r="O122" s="287" t="s">
        <v>149</v>
      </c>
      <c r="P122" s="289"/>
      <c r="Q122" s="290"/>
      <c r="R122" s="236">
        <f>0</f>
        <v>0</v>
      </c>
      <c r="S122" s="86">
        <f>0</f>
        <v>0</v>
      </c>
      <c r="T122" s="86">
        <f>0</f>
        <v>0</v>
      </c>
      <c r="U122" s="110">
        <v>1</v>
      </c>
      <c r="V122" s="86"/>
      <c r="W122" s="86">
        <f>0</f>
        <v>0</v>
      </c>
      <c r="X122" s="86">
        <f>0</f>
        <v>0</v>
      </c>
      <c r="Y122" s="86">
        <f>0</f>
        <v>0</v>
      </c>
      <c r="Z122" s="86">
        <f>0</f>
        <v>0</v>
      </c>
      <c r="AA122" s="237">
        <f>0</f>
        <v>0</v>
      </c>
      <c r="AB122" s="239">
        <f>0</f>
        <v>0</v>
      </c>
      <c r="AC122" s="86">
        <f>0</f>
        <v>0</v>
      </c>
      <c r="AD122" s="86">
        <f>0</f>
        <v>0</v>
      </c>
      <c r="AE122" s="86"/>
      <c r="AF122" s="86"/>
      <c r="AG122" s="86"/>
      <c r="AH122" s="86"/>
      <c r="AI122" s="86"/>
      <c r="AJ122" s="86"/>
      <c r="AK122" s="237"/>
      <c r="AL122" s="291">
        <f>SUM(R122:AK122)</f>
        <v>1</v>
      </c>
      <c r="AM122" s="292">
        <f>0</f>
        <v>0</v>
      </c>
      <c r="AN122" s="293">
        <f>AL122-AM122</f>
        <v>1</v>
      </c>
      <c r="AO122" s="294">
        <v>45082</v>
      </c>
      <c r="AP122" s="295" t="s">
        <v>273</v>
      </c>
      <c r="AQ122" s="296" t="s">
        <v>899</v>
      </c>
      <c r="AR122" s="297" t="s">
        <v>1289</v>
      </c>
      <c r="AS122" s="298"/>
      <c r="AT122" s="303"/>
      <c r="AU122" s="303"/>
      <c r="AV122" s="300"/>
      <c r="AW122" s="303"/>
      <c r="AX122" s="304"/>
      <c r="AY122" s="304"/>
      <c r="AZ122" s="302"/>
      <c r="BA122" s="91"/>
      <c r="BB122" s="91"/>
      <c r="BC122" s="91"/>
    </row>
    <row r="123" spans="1:55" ht="28" customHeight="1">
      <c r="A123" s="283">
        <v>118</v>
      </c>
      <c r="B123" s="284">
        <v>45063</v>
      </c>
      <c r="C123" s="285" t="s">
        <v>134</v>
      </c>
      <c r="D123" s="285" t="s">
        <v>135</v>
      </c>
      <c r="E123" s="285" t="s">
        <v>136</v>
      </c>
      <c r="F123" s="286" t="s">
        <v>210</v>
      </c>
      <c r="G123" s="287" t="s">
        <v>1300</v>
      </c>
      <c r="H123" s="288" t="s">
        <v>110</v>
      </c>
      <c r="I123" s="287" t="s">
        <v>576</v>
      </c>
      <c r="J123" s="288" t="s">
        <v>508</v>
      </c>
      <c r="K123" s="288" t="s">
        <v>80</v>
      </c>
      <c r="L123" s="287" t="s">
        <v>507</v>
      </c>
      <c r="M123" s="287" t="s">
        <v>154</v>
      </c>
      <c r="N123" s="287" t="s">
        <v>212</v>
      </c>
      <c r="O123" s="287" t="s">
        <v>149</v>
      </c>
      <c r="P123" s="289"/>
      <c r="Q123" s="290"/>
      <c r="R123" s="236">
        <f>0</f>
        <v>0</v>
      </c>
      <c r="S123" s="86">
        <f>0</f>
        <v>0</v>
      </c>
      <c r="T123" s="86">
        <f>0</f>
        <v>0</v>
      </c>
      <c r="U123" s="110">
        <v>1</v>
      </c>
      <c r="V123" s="86"/>
      <c r="W123" s="86">
        <f>0</f>
        <v>0</v>
      </c>
      <c r="X123" s="86">
        <f>0</f>
        <v>0</v>
      </c>
      <c r="Y123" s="86">
        <f>0</f>
        <v>0</v>
      </c>
      <c r="Z123" s="86">
        <f>0</f>
        <v>0</v>
      </c>
      <c r="AA123" s="237">
        <f>0</f>
        <v>0</v>
      </c>
      <c r="AB123" s="239">
        <f>0</f>
        <v>0</v>
      </c>
      <c r="AC123" s="86">
        <f>0</f>
        <v>0</v>
      </c>
      <c r="AD123" s="86">
        <f>0</f>
        <v>0</v>
      </c>
      <c r="AE123" s="86"/>
      <c r="AF123" s="86"/>
      <c r="AG123" s="86"/>
      <c r="AH123" s="86"/>
      <c r="AI123" s="86"/>
      <c r="AJ123" s="86"/>
      <c r="AK123" s="237"/>
      <c r="AL123" s="291">
        <f t="shared" ref="AL123:AL166" si="8">SUM(R123:AK123)</f>
        <v>1</v>
      </c>
      <c r="AM123" s="292">
        <f>0</f>
        <v>0</v>
      </c>
      <c r="AN123" s="293">
        <f t="shared" ref="AN123:AN166" si="9">AL123-AM123</f>
        <v>1</v>
      </c>
      <c r="AO123" s="294">
        <v>45082</v>
      </c>
      <c r="AP123" s="295" t="s">
        <v>273</v>
      </c>
      <c r="AQ123" s="296" t="s">
        <v>899</v>
      </c>
      <c r="AR123" s="297" t="s">
        <v>1289</v>
      </c>
      <c r="AS123" s="298"/>
      <c r="AT123" s="303"/>
      <c r="AU123" s="303"/>
      <c r="AV123" s="300"/>
      <c r="AW123" s="303"/>
      <c r="AX123" s="304"/>
      <c r="AY123" s="304"/>
      <c r="AZ123" s="302"/>
      <c r="BA123" s="91"/>
      <c r="BB123" s="91"/>
      <c r="BC123" s="91"/>
    </row>
    <row r="124" spans="1:55" ht="28" customHeight="1">
      <c r="A124" s="283">
        <v>119</v>
      </c>
      <c r="B124" s="284">
        <v>45063</v>
      </c>
      <c r="C124" s="285"/>
      <c r="D124" s="285"/>
      <c r="E124" s="285"/>
      <c r="F124" s="286" t="s">
        <v>210</v>
      </c>
      <c r="G124" s="287" t="s">
        <v>1301</v>
      </c>
      <c r="H124" s="288" t="s">
        <v>110</v>
      </c>
      <c r="I124" s="287" t="s">
        <v>509</v>
      </c>
      <c r="J124" s="288" t="s">
        <v>510</v>
      </c>
      <c r="K124" s="288" t="s">
        <v>80</v>
      </c>
      <c r="L124" s="287" t="s">
        <v>507</v>
      </c>
      <c r="M124" s="287" t="s">
        <v>154</v>
      </c>
      <c r="N124" s="287" t="s">
        <v>212</v>
      </c>
      <c r="O124" s="287" t="s">
        <v>149</v>
      </c>
      <c r="P124" s="289"/>
      <c r="Q124" s="290"/>
      <c r="R124" s="236">
        <f>0</f>
        <v>0</v>
      </c>
      <c r="S124" s="86">
        <f>0</f>
        <v>0</v>
      </c>
      <c r="T124" s="86">
        <f>0</f>
        <v>0</v>
      </c>
      <c r="U124" s="110">
        <v>1</v>
      </c>
      <c r="V124" s="86"/>
      <c r="W124" s="86">
        <f>0</f>
        <v>0</v>
      </c>
      <c r="X124" s="86">
        <f>0</f>
        <v>0</v>
      </c>
      <c r="Y124" s="86">
        <f>0</f>
        <v>0</v>
      </c>
      <c r="Z124" s="86">
        <f>0</f>
        <v>0</v>
      </c>
      <c r="AA124" s="237">
        <f>0</f>
        <v>0</v>
      </c>
      <c r="AB124" s="239">
        <f>0</f>
        <v>0</v>
      </c>
      <c r="AC124" s="86">
        <f>0</f>
        <v>0</v>
      </c>
      <c r="AD124" s="86">
        <f>0</f>
        <v>0</v>
      </c>
      <c r="AE124" s="86"/>
      <c r="AF124" s="86"/>
      <c r="AG124" s="86"/>
      <c r="AH124" s="86"/>
      <c r="AI124" s="86"/>
      <c r="AJ124" s="86"/>
      <c r="AK124" s="237"/>
      <c r="AL124" s="291">
        <f t="shared" si="8"/>
        <v>1</v>
      </c>
      <c r="AM124" s="292">
        <f>0</f>
        <v>0</v>
      </c>
      <c r="AN124" s="293">
        <f t="shared" si="9"/>
        <v>1</v>
      </c>
      <c r="AO124" s="294">
        <v>45082</v>
      </c>
      <c r="AP124" s="295" t="s">
        <v>273</v>
      </c>
      <c r="AQ124" s="296" t="s">
        <v>899</v>
      </c>
      <c r="AR124" s="297" t="s">
        <v>1289</v>
      </c>
      <c r="AS124" s="298"/>
      <c r="AT124" s="303"/>
      <c r="AU124" s="303"/>
      <c r="AV124" s="300"/>
      <c r="AW124" s="303"/>
      <c r="AX124" s="304"/>
      <c r="AY124" s="304"/>
      <c r="AZ124" s="302"/>
      <c r="BA124" s="91"/>
      <c r="BB124" s="91"/>
      <c r="BC124" s="91"/>
    </row>
    <row r="125" spans="1:55" ht="28" hidden="1" customHeight="1">
      <c r="A125" s="156">
        <v>120</v>
      </c>
      <c r="B125" s="167">
        <v>45063</v>
      </c>
      <c r="C125" s="87" t="s">
        <v>134</v>
      </c>
      <c r="D125" s="87" t="s">
        <v>135</v>
      </c>
      <c r="E125" s="87" t="s">
        <v>136</v>
      </c>
      <c r="F125" s="168" t="s">
        <v>210</v>
      </c>
      <c r="G125" s="171" t="s">
        <v>511</v>
      </c>
      <c r="H125" s="172" t="s">
        <v>110</v>
      </c>
      <c r="I125" s="171" t="s">
        <v>512</v>
      </c>
      <c r="J125" s="172" t="s">
        <v>513</v>
      </c>
      <c r="K125" s="172" t="s">
        <v>80</v>
      </c>
      <c r="L125" s="171" t="s">
        <v>193</v>
      </c>
      <c r="M125" s="171" t="s">
        <v>154</v>
      </c>
      <c r="N125" s="171" t="s">
        <v>212</v>
      </c>
      <c r="O125" s="171" t="s">
        <v>149</v>
      </c>
      <c r="P125" s="123"/>
      <c r="Q125" s="124"/>
      <c r="R125" s="236">
        <f>0</f>
        <v>0</v>
      </c>
      <c r="S125" s="86">
        <f>0</f>
        <v>0</v>
      </c>
      <c r="T125" s="86">
        <f>0</f>
        <v>0</v>
      </c>
      <c r="U125" s="110">
        <v>2</v>
      </c>
      <c r="V125" s="86"/>
      <c r="W125" s="86">
        <f>0</f>
        <v>0</v>
      </c>
      <c r="X125" s="86">
        <f>0</f>
        <v>0</v>
      </c>
      <c r="Y125" s="86">
        <f>0</f>
        <v>0</v>
      </c>
      <c r="Z125" s="86">
        <f>0</f>
        <v>0</v>
      </c>
      <c r="AA125" s="237">
        <f>0</f>
        <v>0</v>
      </c>
      <c r="AB125" s="239">
        <f>0</f>
        <v>0</v>
      </c>
      <c r="AC125" s="86">
        <f>0</f>
        <v>0</v>
      </c>
      <c r="AD125" s="86">
        <f>0</f>
        <v>0</v>
      </c>
      <c r="AE125" s="86"/>
      <c r="AF125" s="86"/>
      <c r="AG125" s="86"/>
      <c r="AH125" s="86"/>
      <c r="AI125" s="86"/>
      <c r="AJ125" s="86"/>
      <c r="AK125" s="237"/>
      <c r="AL125" s="263">
        <f t="shared" si="8"/>
        <v>2</v>
      </c>
      <c r="AM125" s="111">
        <f>0</f>
        <v>0</v>
      </c>
      <c r="AN125" s="265">
        <f t="shared" si="9"/>
        <v>2</v>
      </c>
      <c r="AO125" s="246">
        <v>45064</v>
      </c>
      <c r="AP125" s="126" t="s">
        <v>273</v>
      </c>
      <c r="AQ125" s="117" t="s">
        <v>579</v>
      </c>
      <c r="AR125" s="129" t="s">
        <v>148</v>
      </c>
      <c r="AS125" s="118"/>
      <c r="AT125" s="119"/>
      <c r="AU125" s="119"/>
      <c r="AV125" s="126"/>
      <c r="AW125" s="119"/>
      <c r="AX125" s="120"/>
      <c r="AY125" s="120"/>
      <c r="AZ125" s="128"/>
      <c r="BA125" s="91"/>
      <c r="BB125" s="91"/>
      <c r="BC125" s="91"/>
    </row>
    <row r="126" spans="1:55" ht="28" hidden="1" customHeight="1">
      <c r="A126" s="156">
        <v>121</v>
      </c>
      <c r="B126" s="167">
        <v>45063</v>
      </c>
      <c r="C126" s="87" t="s">
        <v>134</v>
      </c>
      <c r="D126" s="87" t="s">
        <v>135</v>
      </c>
      <c r="E126" s="87" t="s">
        <v>136</v>
      </c>
      <c r="F126" s="168" t="s">
        <v>210</v>
      </c>
      <c r="G126" s="171" t="s">
        <v>514</v>
      </c>
      <c r="H126" s="172" t="s">
        <v>110</v>
      </c>
      <c r="I126" s="171" t="s">
        <v>515</v>
      </c>
      <c r="J126" s="172" t="s">
        <v>516</v>
      </c>
      <c r="K126" s="172"/>
      <c r="L126" s="171" t="s">
        <v>193</v>
      </c>
      <c r="M126" s="171" t="s">
        <v>154</v>
      </c>
      <c r="N126" s="171" t="s">
        <v>214</v>
      </c>
      <c r="O126" s="171" t="s">
        <v>149</v>
      </c>
      <c r="P126" s="123"/>
      <c r="Q126" s="124"/>
      <c r="R126" s="236">
        <f>0</f>
        <v>0</v>
      </c>
      <c r="S126" s="86">
        <f>0</f>
        <v>0</v>
      </c>
      <c r="T126" s="86">
        <f>0</f>
        <v>0</v>
      </c>
      <c r="U126" s="110">
        <v>1</v>
      </c>
      <c r="V126" s="86"/>
      <c r="W126" s="86">
        <f>0</f>
        <v>0</v>
      </c>
      <c r="X126" s="86">
        <f>0</f>
        <v>0</v>
      </c>
      <c r="Y126" s="86">
        <f>0</f>
        <v>0</v>
      </c>
      <c r="Z126" s="86">
        <f>0</f>
        <v>0</v>
      </c>
      <c r="AA126" s="237">
        <f>0</f>
        <v>0</v>
      </c>
      <c r="AB126" s="239">
        <f>0</f>
        <v>0</v>
      </c>
      <c r="AC126" s="86">
        <f>0</f>
        <v>0</v>
      </c>
      <c r="AD126" s="86">
        <f>0</f>
        <v>0</v>
      </c>
      <c r="AE126" s="86"/>
      <c r="AF126" s="86"/>
      <c r="AG126" s="86"/>
      <c r="AH126" s="86"/>
      <c r="AI126" s="86"/>
      <c r="AJ126" s="86"/>
      <c r="AK126" s="237"/>
      <c r="AL126" s="263">
        <f t="shared" si="8"/>
        <v>1</v>
      </c>
      <c r="AM126" s="111">
        <f>0</f>
        <v>0</v>
      </c>
      <c r="AN126" s="265">
        <f t="shared" si="9"/>
        <v>1</v>
      </c>
      <c r="AO126" s="246">
        <v>45064</v>
      </c>
      <c r="AP126" s="126" t="s">
        <v>273</v>
      </c>
      <c r="AQ126" s="117" t="s">
        <v>579</v>
      </c>
      <c r="AR126" s="129" t="s">
        <v>148</v>
      </c>
      <c r="AS126" s="118"/>
      <c r="AT126" s="119"/>
      <c r="AU126" s="119"/>
      <c r="AV126" s="126"/>
      <c r="AW126" s="119"/>
      <c r="AX126" s="120"/>
      <c r="AY126" s="120"/>
      <c r="AZ126" s="128"/>
      <c r="BA126" s="91"/>
      <c r="BB126" s="91"/>
      <c r="BC126" s="91"/>
    </row>
    <row r="127" spans="1:55" ht="28" hidden="1" customHeight="1">
      <c r="A127" s="156">
        <v>122</v>
      </c>
      <c r="B127" s="167">
        <v>45063</v>
      </c>
      <c r="C127" s="87" t="s">
        <v>134</v>
      </c>
      <c r="D127" s="87" t="s">
        <v>135</v>
      </c>
      <c r="E127" s="87" t="s">
        <v>136</v>
      </c>
      <c r="F127" s="168" t="s">
        <v>210</v>
      </c>
      <c r="G127" s="171" t="s">
        <v>517</v>
      </c>
      <c r="H127" s="172" t="s">
        <v>110</v>
      </c>
      <c r="I127" s="171" t="s">
        <v>518</v>
      </c>
      <c r="J127" s="172" t="s">
        <v>519</v>
      </c>
      <c r="K127" s="172" t="s">
        <v>80</v>
      </c>
      <c r="L127" s="171" t="s">
        <v>193</v>
      </c>
      <c r="M127" s="171" t="s">
        <v>154</v>
      </c>
      <c r="N127" s="171" t="s">
        <v>214</v>
      </c>
      <c r="O127" s="171" t="s">
        <v>149</v>
      </c>
      <c r="P127" s="123"/>
      <c r="Q127" s="124"/>
      <c r="R127" s="236">
        <f>0</f>
        <v>0</v>
      </c>
      <c r="S127" s="86">
        <f>0</f>
        <v>0</v>
      </c>
      <c r="T127" s="86">
        <f>0</f>
        <v>0</v>
      </c>
      <c r="U127" s="110">
        <v>2</v>
      </c>
      <c r="V127" s="86"/>
      <c r="W127" s="86">
        <f>0</f>
        <v>0</v>
      </c>
      <c r="X127" s="86">
        <f>0</f>
        <v>0</v>
      </c>
      <c r="Y127" s="86">
        <f>0</f>
        <v>0</v>
      </c>
      <c r="Z127" s="86">
        <f>0</f>
        <v>0</v>
      </c>
      <c r="AA127" s="237">
        <f>0</f>
        <v>0</v>
      </c>
      <c r="AB127" s="239">
        <f>0</f>
        <v>0</v>
      </c>
      <c r="AC127" s="86">
        <f>0</f>
        <v>0</v>
      </c>
      <c r="AD127" s="86">
        <f>0</f>
        <v>0</v>
      </c>
      <c r="AE127" s="86"/>
      <c r="AF127" s="86"/>
      <c r="AG127" s="86"/>
      <c r="AH127" s="86"/>
      <c r="AI127" s="86"/>
      <c r="AJ127" s="86"/>
      <c r="AK127" s="237"/>
      <c r="AL127" s="263">
        <f t="shared" si="8"/>
        <v>2</v>
      </c>
      <c r="AM127" s="111">
        <f>0</f>
        <v>0</v>
      </c>
      <c r="AN127" s="265">
        <f t="shared" si="9"/>
        <v>2</v>
      </c>
      <c r="AO127" s="246">
        <v>45064</v>
      </c>
      <c r="AP127" s="126" t="s">
        <v>273</v>
      </c>
      <c r="AQ127" s="117" t="s">
        <v>579</v>
      </c>
      <c r="AR127" s="129" t="s">
        <v>148</v>
      </c>
      <c r="AS127" s="118"/>
      <c r="AT127" s="119"/>
      <c r="AU127" s="119"/>
      <c r="AV127" s="126"/>
      <c r="AW127" s="119"/>
      <c r="AX127" s="120"/>
      <c r="AY127" s="120"/>
      <c r="AZ127" s="128"/>
      <c r="BA127" s="91"/>
      <c r="BB127" s="91"/>
      <c r="BC127" s="91"/>
    </row>
    <row r="128" spans="1:55" ht="28" hidden="1" customHeight="1">
      <c r="A128" s="156">
        <v>123</v>
      </c>
      <c r="B128" s="167">
        <v>45063</v>
      </c>
      <c r="C128" s="87" t="s">
        <v>134</v>
      </c>
      <c r="D128" s="87" t="s">
        <v>135</v>
      </c>
      <c r="E128" s="87" t="s">
        <v>136</v>
      </c>
      <c r="F128" s="168" t="s">
        <v>210</v>
      </c>
      <c r="G128" s="171" t="s">
        <v>520</v>
      </c>
      <c r="H128" s="172" t="s">
        <v>110</v>
      </c>
      <c r="I128" s="171" t="s">
        <v>521</v>
      </c>
      <c r="J128" s="172" t="s">
        <v>522</v>
      </c>
      <c r="K128" s="172" t="s">
        <v>80</v>
      </c>
      <c r="L128" s="171" t="s">
        <v>193</v>
      </c>
      <c r="M128" s="171" t="s">
        <v>154</v>
      </c>
      <c r="N128" s="171" t="s">
        <v>214</v>
      </c>
      <c r="O128" s="171" t="s">
        <v>149</v>
      </c>
      <c r="P128" s="123"/>
      <c r="Q128" s="124"/>
      <c r="R128" s="236">
        <f>0</f>
        <v>0</v>
      </c>
      <c r="S128" s="86">
        <f>0</f>
        <v>0</v>
      </c>
      <c r="T128" s="86">
        <f>0</f>
        <v>0</v>
      </c>
      <c r="U128" s="110">
        <v>1</v>
      </c>
      <c r="V128" s="86"/>
      <c r="W128" s="86">
        <f>0</f>
        <v>0</v>
      </c>
      <c r="X128" s="86">
        <f>0</f>
        <v>0</v>
      </c>
      <c r="Y128" s="86">
        <f>0</f>
        <v>0</v>
      </c>
      <c r="Z128" s="86">
        <f>0</f>
        <v>0</v>
      </c>
      <c r="AA128" s="237">
        <f>0</f>
        <v>0</v>
      </c>
      <c r="AB128" s="239">
        <f>0</f>
        <v>0</v>
      </c>
      <c r="AC128" s="86">
        <f>0</f>
        <v>0</v>
      </c>
      <c r="AD128" s="86">
        <f>0</f>
        <v>0</v>
      </c>
      <c r="AE128" s="86"/>
      <c r="AF128" s="86"/>
      <c r="AG128" s="86"/>
      <c r="AH128" s="86"/>
      <c r="AI128" s="86"/>
      <c r="AJ128" s="86"/>
      <c r="AK128" s="237"/>
      <c r="AL128" s="263">
        <f t="shared" si="8"/>
        <v>1</v>
      </c>
      <c r="AM128" s="111">
        <f>0</f>
        <v>0</v>
      </c>
      <c r="AN128" s="265">
        <f t="shared" si="9"/>
        <v>1</v>
      </c>
      <c r="AO128" s="247">
        <v>45075</v>
      </c>
      <c r="AP128" s="186" t="s">
        <v>273</v>
      </c>
      <c r="AQ128" s="117" t="s">
        <v>897</v>
      </c>
      <c r="AR128" s="129" t="s">
        <v>664</v>
      </c>
      <c r="AS128" s="118"/>
      <c r="AT128" s="119"/>
      <c r="AU128" s="119"/>
      <c r="AV128" s="126"/>
      <c r="AW128" s="119"/>
      <c r="AX128" s="120"/>
      <c r="AY128" s="120"/>
      <c r="AZ128" s="128"/>
      <c r="BA128" s="91"/>
      <c r="BB128" s="91"/>
      <c r="BC128" s="91"/>
    </row>
    <row r="129" spans="1:55" ht="28" hidden="1" customHeight="1">
      <c r="A129" s="156">
        <v>124</v>
      </c>
      <c r="B129" s="167">
        <v>45063</v>
      </c>
      <c r="C129" s="87" t="s">
        <v>134</v>
      </c>
      <c r="D129" s="87" t="s">
        <v>135</v>
      </c>
      <c r="E129" s="87" t="s">
        <v>136</v>
      </c>
      <c r="F129" s="168" t="s">
        <v>210</v>
      </c>
      <c r="G129" s="171" t="s">
        <v>523</v>
      </c>
      <c r="H129" s="172" t="s">
        <v>110</v>
      </c>
      <c r="I129" s="171" t="s">
        <v>524</v>
      </c>
      <c r="J129" s="172" t="s">
        <v>525</v>
      </c>
      <c r="K129" s="172" t="s">
        <v>80</v>
      </c>
      <c r="L129" s="171" t="s">
        <v>193</v>
      </c>
      <c r="M129" s="171" t="s">
        <v>154</v>
      </c>
      <c r="N129" s="171" t="s">
        <v>573</v>
      </c>
      <c r="O129" s="171" t="s">
        <v>149</v>
      </c>
      <c r="P129" s="123"/>
      <c r="Q129" s="124"/>
      <c r="R129" s="236">
        <f>0</f>
        <v>0</v>
      </c>
      <c r="S129" s="86">
        <f>0</f>
        <v>0</v>
      </c>
      <c r="T129" s="86">
        <f>0</f>
        <v>0</v>
      </c>
      <c r="U129" s="110">
        <v>1</v>
      </c>
      <c r="V129" s="86"/>
      <c r="W129" s="86">
        <f>0</f>
        <v>0</v>
      </c>
      <c r="X129" s="86">
        <f>0</f>
        <v>0</v>
      </c>
      <c r="Y129" s="86">
        <f>0</f>
        <v>0</v>
      </c>
      <c r="Z129" s="86">
        <f>0</f>
        <v>0</v>
      </c>
      <c r="AA129" s="237">
        <f>0</f>
        <v>0</v>
      </c>
      <c r="AB129" s="239">
        <f>0</f>
        <v>0</v>
      </c>
      <c r="AC129" s="86">
        <f>0</f>
        <v>0</v>
      </c>
      <c r="AD129" s="86">
        <f>0</f>
        <v>0</v>
      </c>
      <c r="AE129" s="86"/>
      <c r="AF129" s="86"/>
      <c r="AG129" s="86"/>
      <c r="AH129" s="86"/>
      <c r="AI129" s="86"/>
      <c r="AJ129" s="86"/>
      <c r="AK129" s="237"/>
      <c r="AL129" s="263">
        <f t="shared" si="8"/>
        <v>1</v>
      </c>
      <c r="AM129" s="111">
        <f>0</f>
        <v>0</v>
      </c>
      <c r="AN129" s="265">
        <f t="shared" si="9"/>
        <v>1</v>
      </c>
      <c r="AO129" s="247">
        <v>45075</v>
      </c>
      <c r="AP129" s="186" t="s">
        <v>273</v>
      </c>
      <c r="AQ129" s="117" t="s">
        <v>897</v>
      </c>
      <c r="AR129" s="129" t="s">
        <v>664</v>
      </c>
      <c r="AS129" s="118"/>
      <c r="AT129" s="119"/>
      <c r="AU129" s="119"/>
      <c r="AV129" s="126"/>
      <c r="AW129" s="119"/>
      <c r="AX129" s="120"/>
      <c r="AY129" s="120"/>
      <c r="AZ129" s="128"/>
      <c r="BA129" s="91"/>
      <c r="BB129" s="91"/>
      <c r="BC129" s="91"/>
    </row>
    <row r="130" spans="1:55" ht="28" hidden="1" customHeight="1">
      <c r="A130" s="156">
        <v>125</v>
      </c>
      <c r="B130" s="167">
        <v>45063</v>
      </c>
      <c r="C130" s="87" t="s">
        <v>134</v>
      </c>
      <c r="D130" s="87" t="s">
        <v>135</v>
      </c>
      <c r="E130" s="87" t="s">
        <v>136</v>
      </c>
      <c r="F130" s="168" t="s">
        <v>210</v>
      </c>
      <c r="G130" s="171" t="s">
        <v>526</v>
      </c>
      <c r="H130" s="172" t="s">
        <v>110</v>
      </c>
      <c r="I130" s="171" t="s">
        <v>527</v>
      </c>
      <c r="J130" s="172" t="s">
        <v>528</v>
      </c>
      <c r="K130" s="172" t="s">
        <v>80</v>
      </c>
      <c r="L130" s="171" t="s">
        <v>193</v>
      </c>
      <c r="M130" s="171" t="s">
        <v>154</v>
      </c>
      <c r="N130" s="171" t="s">
        <v>214</v>
      </c>
      <c r="O130" s="171" t="s">
        <v>149</v>
      </c>
      <c r="P130" s="123"/>
      <c r="Q130" s="124"/>
      <c r="R130" s="236">
        <f>0</f>
        <v>0</v>
      </c>
      <c r="S130" s="86">
        <f>0</f>
        <v>0</v>
      </c>
      <c r="T130" s="86">
        <f>0</f>
        <v>0</v>
      </c>
      <c r="U130" s="110">
        <v>1</v>
      </c>
      <c r="V130" s="86"/>
      <c r="W130" s="86">
        <f>0</f>
        <v>0</v>
      </c>
      <c r="X130" s="86">
        <f>0</f>
        <v>0</v>
      </c>
      <c r="Y130" s="86">
        <f>0</f>
        <v>0</v>
      </c>
      <c r="Z130" s="86">
        <f>0</f>
        <v>0</v>
      </c>
      <c r="AA130" s="237">
        <f>0</f>
        <v>0</v>
      </c>
      <c r="AB130" s="239">
        <f>0</f>
        <v>0</v>
      </c>
      <c r="AC130" s="86">
        <f>0</f>
        <v>0</v>
      </c>
      <c r="AD130" s="86">
        <f>0</f>
        <v>0</v>
      </c>
      <c r="AE130" s="86"/>
      <c r="AF130" s="86"/>
      <c r="AG130" s="86"/>
      <c r="AH130" s="86"/>
      <c r="AI130" s="86"/>
      <c r="AJ130" s="86"/>
      <c r="AK130" s="237"/>
      <c r="AL130" s="263">
        <f t="shared" si="8"/>
        <v>1</v>
      </c>
      <c r="AM130" s="111">
        <f>0</f>
        <v>0</v>
      </c>
      <c r="AN130" s="265">
        <f t="shared" si="9"/>
        <v>1</v>
      </c>
      <c r="AO130" s="246">
        <v>45064</v>
      </c>
      <c r="AP130" s="126" t="s">
        <v>273</v>
      </c>
      <c r="AQ130" s="117" t="s">
        <v>579</v>
      </c>
      <c r="AR130" s="129" t="s">
        <v>148</v>
      </c>
      <c r="AS130" s="118"/>
      <c r="AT130" s="119"/>
      <c r="AU130" s="119"/>
      <c r="AV130" s="126"/>
      <c r="AW130" s="119"/>
      <c r="AX130" s="120"/>
      <c r="AY130" s="120"/>
      <c r="AZ130" s="128"/>
      <c r="BA130" s="91"/>
      <c r="BB130" s="91"/>
      <c r="BC130" s="91"/>
    </row>
    <row r="131" spans="1:55" ht="28" hidden="1" customHeight="1">
      <c r="A131" s="156">
        <v>126</v>
      </c>
      <c r="B131" s="167">
        <v>45063</v>
      </c>
      <c r="C131" s="87" t="s">
        <v>134</v>
      </c>
      <c r="D131" s="87" t="s">
        <v>135</v>
      </c>
      <c r="E131" s="87" t="s">
        <v>136</v>
      </c>
      <c r="F131" s="168" t="s">
        <v>210</v>
      </c>
      <c r="G131" s="171" t="s">
        <v>529</v>
      </c>
      <c r="H131" s="172" t="s">
        <v>110</v>
      </c>
      <c r="I131" s="171" t="s">
        <v>530</v>
      </c>
      <c r="J131" s="172" t="s">
        <v>531</v>
      </c>
      <c r="K131" s="172" t="s">
        <v>80</v>
      </c>
      <c r="L131" s="171" t="s">
        <v>193</v>
      </c>
      <c r="M131" s="171" t="s">
        <v>154</v>
      </c>
      <c r="N131" s="171" t="s">
        <v>214</v>
      </c>
      <c r="O131" s="171" t="s">
        <v>149</v>
      </c>
      <c r="P131" s="123"/>
      <c r="Q131" s="124"/>
      <c r="R131" s="236">
        <f>0</f>
        <v>0</v>
      </c>
      <c r="S131" s="86">
        <f>0</f>
        <v>0</v>
      </c>
      <c r="T131" s="86">
        <f>0</f>
        <v>0</v>
      </c>
      <c r="U131" s="110">
        <v>1</v>
      </c>
      <c r="V131" s="86"/>
      <c r="W131" s="86">
        <f>0</f>
        <v>0</v>
      </c>
      <c r="X131" s="86">
        <f>0</f>
        <v>0</v>
      </c>
      <c r="Y131" s="86">
        <f>0</f>
        <v>0</v>
      </c>
      <c r="Z131" s="86">
        <f>0</f>
        <v>0</v>
      </c>
      <c r="AA131" s="237">
        <f>0</f>
        <v>0</v>
      </c>
      <c r="AB131" s="239">
        <f>0</f>
        <v>0</v>
      </c>
      <c r="AC131" s="86">
        <f>0</f>
        <v>0</v>
      </c>
      <c r="AD131" s="86">
        <f>0</f>
        <v>0</v>
      </c>
      <c r="AE131" s="86"/>
      <c r="AF131" s="86"/>
      <c r="AG131" s="86"/>
      <c r="AH131" s="86"/>
      <c r="AI131" s="86"/>
      <c r="AJ131" s="86"/>
      <c r="AK131" s="237"/>
      <c r="AL131" s="263">
        <f t="shared" si="8"/>
        <v>1</v>
      </c>
      <c r="AM131" s="111">
        <f>0</f>
        <v>0</v>
      </c>
      <c r="AN131" s="265">
        <f t="shared" si="9"/>
        <v>1</v>
      </c>
      <c r="AO131" s="247">
        <v>45075</v>
      </c>
      <c r="AP131" s="186" t="s">
        <v>273</v>
      </c>
      <c r="AQ131" s="117" t="s">
        <v>897</v>
      </c>
      <c r="AR131" s="129" t="s">
        <v>664</v>
      </c>
      <c r="AS131" s="118"/>
      <c r="AT131" s="119"/>
      <c r="AU131" s="119"/>
      <c r="AV131" s="126"/>
      <c r="AW131" s="119"/>
      <c r="AX131" s="120"/>
      <c r="AY131" s="120"/>
      <c r="AZ131" s="128"/>
      <c r="BA131" s="91"/>
      <c r="BB131" s="91"/>
      <c r="BC131" s="91"/>
    </row>
    <row r="132" spans="1:55" ht="28" hidden="1" customHeight="1">
      <c r="A132" s="156">
        <v>127</v>
      </c>
      <c r="B132" s="167">
        <v>45063</v>
      </c>
      <c r="C132" s="87" t="s">
        <v>134</v>
      </c>
      <c r="D132" s="87" t="s">
        <v>135</v>
      </c>
      <c r="E132" s="87" t="s">
        <v>136</v>
      </c>
      <c r="F132" s="168" t="s">
        <v>210</v>
      </c>
      <c r="G132" s="171" t="s">
        <v>532</v>
      </c>
      <c r="H132" s="172" t="s">
        <v>110</v>
      </c>
      <c r="I132" s="171" t="s">
        <v>533</v>
      </c>
      <c r="J132" s="172" t="s">
        <v>534</v>
      </c>
      <c r="K132" s="172" t="s">
        <v>80</v>
      </c>
      <c r="L132" s="171" t="s">
        <v>193</v>
      </c>
      <c r="M132" s="171" t="s">
        <v>154</v>
      </c>
      <c r="N132" s="171" t="s">
        <v>212</v>
      </c>
      <c r="O132" s="171" t="s">
        <v>149</v>
      </c>
      <c r="P132" s="123"/>
      <c r="Q132" s="124"/>
      <c r="R132" s="236">
        <f>0</f>
        <v>0</v>
      </c>
      <c r="S132" s="86">
        <f>0</f>
        <v>0</v>
      </c>
      <c r="T132" s="86">
        <f>0</f>
        <v>0</v>
      </c>
      <c r="U132" s="110">
        <v>1</v>
      </c>
      <c r="V132" s="86"/>
      <c r="W132" s="86">
        <f>0</f>
        <v>0</v>
      </c>
      <c r="X132" s="86">
        <f>0</f>
        <v>0</v>
      </c>
      <c r="Y132" s="86">
        <f>0</f>
        <v>0</v>
      </c>
      <c r="Z132" s="86">
        <f>0</f>
        <v>0</v>
      </c>
      <c r="AA132" s="237">
        <f>0</f>
        <v>0</v>
      </c>
      <c r="AB132" s="239">
        <f>0</f>
        <v>0</v>
      </c>
      <c r="AC132" s="86">
        <f>0</f>
        <v>0</v>
      </c>
      <c r="AD132" s="86">
        <f>0</f>
        <v>0</v>
      </c>
      <c r="AE132" s="86"/>
      <c r="AF132" s="86"/>
      <c r="AG132" s="86"/>
      <c r="AH132" s="86"/>
      <c r="AI132" s="86"/>
      <c r="AJ132" s="86"/>
      <c r="AK132" s="237"/>
      <c r="AL132" s="263">
        <f t="shared" si="8"/>
        <v>1</v>
      </c>
      <c r="AM132" s="111">
        <f>0</f>
        <v>0</v>
      </c>
      <c r="AN132" s="265">
        <f t="shared" si="9"/>
        <v>1</v>
      </c>
      <c r="AO132" s="247">
        <v>45075</v>
      </c>
      <c r="AP132" s="186" t="s">
        <v>273</v>
      </c>
      <c r="AQ132" s="117" t="s">
        <v>897</v>
      </c>
      <c r="AR132" s="129" t="s">
        <v>664</v>
      </c>
      <c r="AS132" s="118"/>
      <c r="AT132" s="119"/>
      <c r="AU132" s="119"/>
      <c r="AV132" s="126"/>
      <c r="AW132" s="119"/>
      <c r="AX132" s="120"/>
      <c r="AY132" s="120"/>
      <c r="AZ132" s="128"/>
      <c r="BA132" s="91"/>
      <c r="BB132" s="91"/>
      <c r="BC132" s="91"/>
    </row>
    <row r="133" spans="1:55" ht="28" hidden="1" customHeight="1">
      <c r="A133" s="156">
        <v>128</v>
      </c>
      <c r="B133" s="167">
        <v>45063</v>
      </c>
      <c r="C133" s="87" t="s">
        <v>134</v>
      </c>
      <c r="D133" s="87" t="s">
        <v>135</v>
      </c>
      <c r="E133" s="87" t="s">
        <v>136</v>
      </c>
      <c r="F133" s="168" t="s">
        <v>210</v>
      </c>
      <c r="G133" s="171" t="s">
        <v>535</v>
      </c>
      <c r="H133" s="172" t="s">
        <v>110</v>
      </c>
      <c r="I133" s="171" t="s">
        <v>536</v>
      </c>
      <c r="J133" s="172" t="s">
        <v>537</v>
      </c>
      <c r="K133" s="172" t="s">
        <v>80</v>
      </c>
      <c r="L133" s="171" t="s">
        <v>389</v>
      </c>
      <c r="M133" s="171" t="s">
        <v>481</v>
      </c>
      <c r="N133" s="171" t="s">
        <v>214</v>
      </c>
      <c r="O133" s="171" t="s">
        <v>80</v>
      </c>
      <c r="P133" s="123"/>
      <c r="Q133" s="124"/>
      <c r="R133" s="236">
        <f>0</f>
        <v>0</v>
      </c>
      <c r="S133" s="86">
        <f>0</f>
        <v>0</v>
      </c>
      <c r="T133" s="86">
        <f>0</f>
        <v>0</v>
      </c>
      <c r="U133" s="110">
        <v>1</v>
      </c>
      <c r="V133" s="86"/>
      <c r="W133" s="86">
        <f>0</f>
        <v>0</v>
      </c>
      <c r="X133" s="86">
        <f>0</f>
        <v>0</v>
      </c>
      <c r="Y133" s="86">
        <f>0</f>
        <v>0</v>
      </c>
      <c r="Z133" s="86">
        <f>0</f>
        <v>0</v>
      </c>
      <c r="AA133" s="237">
        <f>0</f>
        <v>0</v>
      </c>
      <c r="AB133" s="239">
        <f>0</f>
        <v>0</v>
      </c>
      <c r="AC133" s="86">
        <f>0</f>
        <v>0</v>
      </c>
      <c r="AD133" s="86">
        <f>0</f>
        <v>0</v>
      </c>
      <c r="AE133" s="86"/>
      <c r="AF133" s="86"/>
      <c r="AG133" s="86"/>
      <c r="AH133" s="86"/>
      <c r="AI133" s="86"/>
      <c r="AJ133" s="86"/>
      <c r="AK133" s="237"/>
      <c r="AL133" s="263">
        <f t="shared" si="8"/>
        <v>1</v>
      </c>
      <c r="AM133" s="111">
        <f>0</f>
        <v>0</v>
      </c>
      <c r="AN133" s="265">
        <f t="shared" si="9"/>
        <v>1</v>
      </c>
      <c r="AO133" s="246">
        <v>45064</v>
      </c>
      <c r="AP133" s="126" t="s">
        <v>273</v>
      </c>
      <c r="AQ133" s="117" t="s">
        <v>579</v>
      </c>
      <c r="AR133" s="129" t="s">
        <v>148</v>
      </c>
      <c r="AS133" s="118"/>
      <c r="AT133" s="119"/>
      <c r="AU133" s="119"/>
      <c r="AV133" s="126"/>
      <c r="AW133" s="119"/>
      <c r="AX133" s="120"/>
      <c r="AY133" s="120"/>
      <c r="AZ133" s="128"/>
      <c r="BA133" s="91"/>
      <c r="BB133" s="91"/>
      <c r="BC133" s="91"/>
    </row>
    <row r="134" spans="1:55" ht="28" hidden="1" customHeight="1">
      <c r="A134" s="156">
        <v>129</v>
      </c>
      <c r="B134" s="167">
        <v>45063</v>
      </c>
      <c r="C134" s="87" t="s">
        <v>134</v>
      </c>
      <c r="D134" s="87" t="s">
        <v>135</v>
      </c>
      <c r="E134" s="87" t="s">
        <v>136</v>
      </c>
      <c r="F134" s="168" t="s">
        <v>210</v>
      </c>
      <c r="G134" s="171" t="s">
        <v>538</v>
      </c>
      <c r="H134" s="172" t="s">
        <v>110</v>
      </c>
      <c r="I134" s="171" t="s">
        <v>539</v>
      </c>
      <c r="J134" s="172" t="s">
        <v>540</v>
      </c>
      <c r="K134" s="172" t="s">
        <v>80</v>
      </c>
      <c r="L134" s="171" t="s">
        <v>389</v>
      </c>
      <c r="M134" s="171" t="s">
        <v>481</v>
      </c>
      <c r="N134" s="171" t="s">
        <v>214</v>
      </c>
      <c r="O134" s="171" t="s">
        <v>80</v>
      </c>
      <c r="P134" s="123"/>
      <c r="Q134" s="124"/>
      <c r="R134" s="236">
        <f>0</f>
        <v>0</v>
      </c>
      <c r="S134" s="86">
        <f>0</f>
        <v>0</v>
      </c>
      <c r="T134" s="86">
        <f>0</f>
        <v>0</v>
      </c>
      <c r="U134" s="110">
        <v>1</v>
      </c>
      <c r="V134" s="86"/>
      <c r="W134" s="86">
        <f>0</f>
        <v>0</v>
      </c>
      <c r="X134" s="86">
        <f>0</f>
        <v>0</v>
      </c>
      <c r="Y134" s="86">
        <f>0</f>
        <v>0</v>
      </c>
      <c r="Z134" s="86">
        <f>0</f>
        <v>0</v>
      </c>
      <c r="AA134" s="237">
        <f>0</f>
        <v>0</v>
      </c>
      <c r="AB134" s="239">
        <f>0</f>
        <v>0</v>
      </c>
      <c r="AC134" s="86">
        <f>0</f>
        <v>0</v>
      </c>
      <c r="AD134" s="86">
        <f>0</f>
        <v>0</v>
      </c>
      <c r="AE134" s="86"/>
      <c r="AF134" s="86"/>
      <c r="AG134" s="86"/>
      <c r="AH134" s="86"/>
      <c r="AI134" s="86"/>
      <c r="AJ134" s="86"/>
      <c r="AK134" s="237"/>
      <c r="AL134" s="263">
        <f t="shared" si="8"/>
        <v>1</v>
      </c>
      <c r="AM134" s="111">
        <f>0</f>
        <v>0</v>
      </c>
      <c r="AN134" s="265">
        <f t="shared" si="9"/>
        <v>1</v>
      </c>
      <c r="AO134" s="246">
        <v>45064</v>
      </c>
      <c r="AP134" s="126" t="s">
        <v>273</v>
      </c>
      <c r="AQ134" s="117" t="s">
        <v>579</v>
      </c>
      <c r="AR134" s="129" t="s">
        <v>148</v>
      </c>
      <c r="AS134" s="118"/>
      <c r="AT134" s="119"/>
      <c r="AU134" s="119"/>
      <c r="AV134" s="126"/>
      <c r="AW134" s="119"/>
      <c r="AX134" s="120"/>
      <c r="AY134" s="120"/>
      <c r="AZ134" s="128"/>
      <c r="BA134" s="91"/>
      <c r="BB134" s="91"/>
      <c r="BC134" s="91"/>
    </row>
    <row r="135" spans="1:55" ht="28" customHeight="1">
      <c r="A135" s="283">
        <v>130</v>
      </c>
      <c r="B135" s="284">
        <v>45063</v>
      </c>
      <c r="C135" s="285" t="s">
        <v>134</v>
      </c>
      <c r="D135" s="285" t="s">
        <v>135</v>
      </c>
      <c r="E135" s="285" t="s">
        <v>136</v>
      </c>
      <c r="F135" s="286" t="s">
        <v>210</v>
      </c>
      <c r="G135" s="287" t="s">
        <v>541</v>
      </c>
      <c r="H135" s="288" t="s">
        <v>110</v>
      </c>
      <c r="I135" s="287" t="s">
        <v>577</v>
      </c>
      <c r="J135" s="288" t="s">
        <v>542</v>
      </c>
      <c r="K135" s="288" t="s">
        <v>80</v>
      </c>
      <c r="L135" s="287" t="s">
        <v>389</v>
      </c>
      <c r="M135" s="287" t="s">
        <v>481</v>
      </c>
      <c r="N135" s="287" t="s">
        <v>212</v>
      </c>
      <c r="O135" s="287" t="s">
        <v>80</v>
      </c>
      <c r="P135" s="289"/>
      <c r="Q135" s="290"/>
      <c r="R135" s="236">
        <f>0</f>
        <v>0</v>
      </c>
      <c r="S135" s="86">
        <f>0</f>
        <v>0</v>
      </c>
      <c r="T135" s="86">
        <f>0</f>
        <v>0</v>
      </c>
      <c r="U135" s="110">
        <v>1</v>
      </c>
      <c r="V135" s="86"/>
      <c r="W135" s="86">
        <f>0</f>
        <v>0</v>
      </c>
      <c r="X135" s="86">
        <f>0</f>
        <v>0</v>
      </c>
      <c r="Y135" s="86">
        <f>0</f>
        <v>0</v>
      </c>
      <c r="Z135" s="86">
        <f>0</f>
        <v>0</v>
      </c>
      <c r="AA135" s="237">
        <f>0</f>
        <v>0</v>
      </c>
      <c r="AB135" s="239">
        <f>0</f>
        <v>0</v>
      </c>
      <c r="AC135" s="86">
        <f>0</f>
        <v>0</v>
      </c>
      <c r="AD135" s="86">
        <f>0</f>
        <v>0</v>
      </c>
      <c r="AE135" s="86"/>
      <c r="AF135" s="86"/>
      <c r="AG135" s="86"/>
      <c r="AH135" s="86"/>
      <c r="AI135" s="86"/>
      <c r="AJ135" s="86"/>
      <c r="AK135" s="237"/>
      <c r="AL135" s="291">
        <f t="shared" si="8"/>
        <v>1</v>
      </c>
      <c r="AM135" s="292">
        <f>0</f>
        <v>0</v>
      </c>
      <c r="AN135" s="293">
        <f t="shared" si="9"/>
        <v>1</v>
      </c>
      <c r="AO135" s="294">
        <v>45082</v>
      </c>
      <c r="AP135" s="295" t="s">
        <v>273</v>
      </c>
      <c r="AQ135" s="296" t="s">
        <v>899</v>
      </c>
      <c r="AR135" s="297" t="s">
        <v>1289</v>
      </c>
      <c r="AS135" s="298"/>
      <c r="AT135" s="303"/>
      <c r="AU135" s="303"/>
      <c r="AV135" s="300"/>
      <c r="AW135" s="303"/>
      <c r="AX135" s="304"/>
      <c r="AY135" s="304"/>
      <c r="AZ135" s="302"/>
      <c r="BA135" s="91"/>
      <c r="BB135" s="91"/>
      <c r="BC135" s="91"/>
    </row>
    <row r="136" spans="1:55" ht="28" customHeight="1">
      <c r="A136" s="283">
        <v>131</v>
      </c>
      <c r="B136" s="284">
        <v>45063</v>
      </c>
      <c r="C136" s="285" t="s">
        <v>134</v>
      </c>
      <c r="D136" s="285" t="s">
        <v>135</v>
      </c>
      <c r="E136" s="285" t="s">
        <v>136</v>
      </c>
      <c r="F136" s="286" t="s">
        <v>210</v>
      </c>
      <c r="G136" s="287" t="s">
        <v>543</v>
      </c>
      <c r="H136" s="288" t="s">
        <v>110</v>
      </c>
      <c r="I136" s="287" t="s">
        <v>578</v>
      </c>
      <c r="J136" s="288" t="s">
        <v>544</v>
      </c>
      <c r="K136" s="288" t="s">
        <v>80</v>
      </c>
      <c r="L136" s="287" t="s">
        <v>389</v>
      </c>
      <c r="M136" s="287" t="s">
        <v>481</v>
      </c>
      <c r="N136" s="287" t="s">
        <v>212</v>
      </c>
      <c r="O136" s="287" t="s">
        <v>80</v>
      </c>
      <c r="P136" s="289"/>
      <c r="Q136" s="290"/>
      <c r="R136" s="236">
        <f>0</f>
        <v>0</v>
      </c>
      <c r="S136" s="86">
        <f>0</f>
        <v>0</v>
      </c>
      <c r="T136" s="86">
        <f>0</f>
        <v>0</v>
      </c>
      <c r="U136" s="110">
        <v>1</v>
      </c>
      <c r="V136" s="86"/>
      <c r="W136" s="86">
        <f>0</f>
        <v>0</v>
      </c>
      <c r="X136" s="86">
        <f>0</f>
        <v>0</v>
      </c>
      <c r="Y136" s="86">
        <f>0</f>
        <v>0</v>
      </c>
      <c r="Z136" s="86">
        <f>0</f>
        <v>0</v>
      </c>
      <c r="AA136" s="237">
        <f>0</f>
        <v>0</v>
      </c>
      <c r="AB136" s="239">
        <f>0</f>
        <v>0</v>
      </c>
      <c r="AC136" s="86">
        <f>0</f>
        <v>0</v>
      </c>
      <c r="AD136" s="86">
        <f>0</f>
        <v>0</v>
      </c>
      <c r="AE136" s="86"/>
      <c r="AF136" s="86"/>
      <c r="AG136" s="86"/>
      <c r="AH136" s="86"/>
      <c r="AI136" s="86"/>
      <c r="AJ136" s="86"/>
      <c r="AK136" s="237"/>
      <c r="AL136" s="291">
        <f t="shared" si="8"/>
        <v>1</v>
      </c>
      <c r="AM136" s="292">
        <f>0</f>
        <v>0</v>
      </c>
      <c r="AN136" s="293">
        <f t="shared" si="9"/>
        <v>1</v>
      </c>
      <c r="AO136" s="294">
        <v>45082</v>
      </c>
      <c r="AP136" s="295" t="s">
        <v>273</v>
      </c>
      <c r="AQ136" s="296" t="s">
        <v>899</v>
      </c>
      <c r="AR136" s="297" t="s">
        <v>1289</v>
      </c>
      <c r="AS136" s="298"/>
      <c r="AT136" s="303"/>
      <c r="AU136" s="303"/>
      <c r="AV136" s="300"/>
      <c r="AW136" s="303"/>
      <c r="AX136" s="304"/>
      <c r="AY136" s="304"/>
      <c r="AZ136" s="302"/>
      <c r="BA136" s="91"/>
      <c r="BB136" s="91"/>
      <c r="BC136" s="91"/>
    </row>
    <row r="137" spans="1:55" ht="28" hidden="1" customHeight="1">
      <c r="A137" s="156">
        <v>132</v>
      </c>
      <c r="B137" s="167">
        <v>45063</v>
      </c>
      <c r="C137" s="87" t="s">
        <v>134</v>
      </c>
      <c r="D137" s="87" t="s">
        <v>135</v>
      </c>
      <c r="E137" s="87" t="s">
        <v>136</v>
      </c>
      <c r="F137" s="168" t="s">
        <v>210</v>
      </c>
      <c r="G137" s="171" t="s">
        <v>545</v>
      </c>
      <c r="H137" s="172" t="s">
        <v>110</v>
      </c>
      <c r="I137" s="171" t="s">
        <v>546</v>
      </c>
      <c r="J137" s="172" t="s">
        <v>547</v>
      </c>
      <c r="K137" s="172" t="s">
        <v>80</v>
      </c>
      <c r="L137" s="171" t="s">
        <v>389</v>
      </c>
      <c r="M137" s="171" t="s">
        <v>481</v>
      </c>
      <c r="N137" s="171" t="s">
        <v>212</v>
      </c>
      <c r="O137" s="171" t="s">
        <v>80</v>
      </c>
      <c r="P137" s="123"/>
      <c r="Q137" s="124"/>
      <c r="R137" s="236">
        <f>0</f>
        <v>0</v>
      </c>
      <c r="S137" s="86">
        <f>0</f>
        <v>0</v>
      </c>
      <c r="T137" s="86">
        <f>0</f>
        <v>0</v>
      </c>
      <c r="U137" s="110">
        <v>1</v>
      </c>
      <c r="V137" s="86"/>
      <c r="W137" s="86">
        <f>0</f>
        <v>0</v>
      </c>
      <c r="X137" s="86">
        <f>0</f>
        <v>0</v>
      </c>
      <c r="Y137" s="86">
        <f>0</f>
        <v>0</v>
      </c>
      <c r="Z137" s="86">
        <f>0</f>
        <v>0</v>
      </c>
      <c r="AA137" s="237">
        <f>0</f>
        <v>0</v>
      </c>
      <c r="AB137" s="239">
        <f>0</f>
        <v>0</v>
      </c>
      <c r="AC137" s="86">
        <f>0</f>
        <v>0</v>
      </c>
      <c r="AD137" s="86">
        <f>0</f>
        <v>0</v>
      </c>
      <c r="AE137" s="86"/>
      <c r="AF137" s="86"/>
      <c r="AG137" s="86"/>
      <c r="AH137" s="86"/>
      <c r="AI137" s="86"/>
      <c r="AJ137" s="86"/>
      <c r="AK137" s="237"/>
      <c r="AL137" s="263">
        <f t="shared" si="8"/>
        <v>1</v>
      </c>
      <c r="AM137" s="111">
        <f>0</f>
        <v>0</v>
      </c>
      <c r="AN137" s="265">
        <f t="shared" si="9"/>
        <v>1</v>
      </c>
      <c r="AO137" s="247">
        <v>45075</v>
      </c>
      <c r="AP137" s="186" t="s">
        <v>273</v>
      </c>
      <c r="AQ137" s="117" t="s">
        <v>897</v>
      </c>
      <c r="AR137" s="129" t="s">
        <v>664</v>
      </c>
      <c r="AS137" s="118"/>
      <c r="AT137" s="119"/>
      <c r="AU137" s="119"/>
      <c r="AV137" s="126"/>
      <c r="AW137" s="119"/>
      <c r="AX137" s="120"/>
      <c r="AY137" s="120"/>
      <c r="AZ137" s="128"/>
      <c r="BA137" s="91"/>
      <c r="BB137" s="91"/>
      <c r="BC137" s="91"/>
    </row>
    <row r="138" spans="1:55" ht="28" hidden="1" customHeight="1">
      <c r="A138" s="156">
        <v>133</v>
      </c>
      <c r="B138" s="167">
        <v>45063</v>
      </c>
      <c r="C138" s="87" t="s">
        <v>134</v>
      </c>
      <c r="D138" s="87" t="s">
        <v>135</v>
      </c>
      <c r="E138" s="87" t="s">
        <v>136</v>
      </c>
      <c r="F138" s="168" t="s">
        <v>210</v>
      </c>
      <c r="G138" s="171" t="s">
        <v>548</v>
      </c>
      <c r="H138" s="172" t="s">
        <v>110</v>
      </c>
      <c r="I138" s="171" t="s">
        <v>549</v>
      </c>
      <c r="J138" s="172" t="s">
        <v>550</v>
      </c>
      <c r="K138" s="172" t="s">
        <v>80</v>
      </c>
      <c r="L138" s="171" t="s">
        <v>389</v>
      </c>
      <c r="M138" s="171" t="s">
        <v>481</v>
      </c>
      <c r="N138" s="171" t="s">
        <v>214</v>
      </c>
      <c r="O138" s="171" t="s">
        <v>80</v>
      </c>
      <c r="P138" s="123"/>
      <c r="Q138" s="124"/>
      <c r="R138" s="236">
        <f>0</f>
        <v>0</v>
      </c>
      <c r="S138" s="86">
        <f>0</f>
        <v>0</v>
      </c>
      <c r="T138" s="86">
        <f>0</f>
        <v>0</v>
      </c>
      <c r="U138" s="110">
        <v>1</v>
      </c>
      <c r="V138" s="86"/>
      <c r="W138" s="86">
        <f>0</f>
        <v>0</v>
      </c>
      <c r="X138" s="86">
        <f>0</f>
        <v>0</v>
      </c>
      <c r="Y138" s="86">
        <f>0</f>
        <v>0</v>
      </c>
      <c r="Z138" s="86">
        <f>0</f>
        <v>0</v>
      </c>
      <c r="AA138" s="237">
        <f>0</f>
        <v>0</v>
      </c>
      <c r="AB138" s="239">
        <f>0</f>
        <v>0</v>
      </c>
      <c r="AC138" s="86">
        <f>0</f>
        <v>0</v>
      </c>
      <c r="AD138" s="86">
        <f>0</f>
        <v>0</v>
      </c>
      <c r="AE138" s="86"/>
      <c r="AF138" s="86"/>
      <c r="AG138" s="86"/>
      <c r="AH138" s="86"/>
      <c r="AI138" s="86"/>
      <c r="AJ138" s="86"/>
      <c r="AK138" s="237"/>
      <c r="AL138" s="263">
        <f t="shared" si="8"/>
        <v>1</v>
      </c>
      <c r="AM138" s="111">
        <f>0</f>
        <v>0</v>
      </c>
      <c r="AN138" s="265">
        <f t="shared" si="9"/>
        <v>1</v>
      </c>
      <c r="AO138" s="246">
        <v>45064</v>
      </c>
      <c r="AP138" s="126" t="s">
        <v>273</v>
      </c>
      <c r="AQ138" s="117" t="s">
        <v>579</v>
      </c>
      <c r="AR138" s="129" t="s">
        <v>148</v>
      </c>
      <c r="AS138" s="118"/>
      <c r="AT138" s="119"/>
      <c r="AU138" s="119"/>
      <c r="AV138" s="126"/>
      <c r="AW138" s="119"/>
      <c r="AX138" s="120"/>
      <c r="AY138" s="120"/>
      <c r="AZ138" s="128"/>
      <c r="BA138" s="91"/>
      <c r="BB138" s="91"/>
      <c r="BC138" s="91"/>
    </row>
    <row r="139" spans="1:55" ht="28" hidden="1" customHeight="1">
      <c r="A139" s="156">
        <v>134</v>
      </c>
      <c r="B139" s="167">
        <v>45063</v>
      </c>
      <c r="C139" s="87" t="s">
        <v>134</v>
      </c>
      <c r="D139" s="87" t="s">
        <v>135</v>
      </c>
      <c r="E139" s="87" t="s">
        <v>136</v>
      </c>
      <c r="F139" s="168" t="s">
        <v>210</v>
      </c>
      <c r="G139" s="171" t="s">
        <v>551</v>
      </c>
      <c r="H139" s="172" t="s">
        <v>110</v>
      </c>
      <c r="I139" s="171" t="s">
        <v>552</v>
      </c>
      <c r="J139" s="172" t="s">
        <v>553</v>
      </c>
      <c r="K139" s="172" t="s">
        <v>80</v>
      </c>
      <c r="L139" s="171" t="s">
        <v>389</v>
      </c>
      <c r="M139" s="171" t="s">
        <v>481</v>
      </c>
      <c r="N139" s="171" t="s">
        <v>214</v>
      </c>
      <c r="O139" s="171" t="s">
        <v>80</v>
      </c>
      <c r="P139" s="123"/>
      <c r="Q139" s="124"/>
      <c r="R139" s="236">
        <f>0</f>
        <v>0</v>
      </c>
      <c r="S139" s="86">
        <f>0</f>
        <v>0</v>
      </c>
      <c r="T139" s="86">
        <f>0</f>
        <v>0</v>
      </c>
      <c r="U139" s="110">
        <v>1</v>
      </c>
      <c r="V139" s="86"/>
      <c r="W139" s="86">
        <f>0</f>
        <v>0</v>
      </c>
      <c r="X139" s="86">
        <f>0</f>
        <v>0</v>
      </c>
      <c r="Y139" s="86">
        <f>0</f>
        <v>0</v>
      </c>
      <c r="Z139" s="86">
        <f>0</f>
        <v>0</v>
      </c>
      <c r="AA139" s="237">
        <f>0</f>
        <v>0</v>
      </c>
      <c r="AB139" s="239">
        <f>0</f>
        <v>0</v>
      </c>
      <c r="AC139" s="86">
        <f>0</f>
        <v>0</v>
      </c>
      <c r="AD139" s="86">
        <f>0</f>
        <v>0</v>
      </c>
      <c r="AE139" s="86"/>
      <c r="AF139" s="86"/>
      <c r="AG139" s="86"/>
      <c r="AH139" s="86"/>
      <c r="AI139" s="86"/>
      <c r="AJ139" s="86"/>
      <c r="AK139" s="237"/>
      <c r="AL139" s="263">
        <f t="shared" si="8"/>
        <v>1</v>
      </c>
      <c r="AM139" s="111">
        <f>0</f>
        <v>0</v>
      </c>
      <c r="AN139" s="265">
        <f t="shared" si="9"/>
        <v>1</v>
      </c>
      <c r="AO139" s="246">
        <v>45064</v>
      </c>
      <c r="AP139" s="126" t="s">
        <v>273</v>
      </c>
      <c r="AQ139" s="117" t="s">
        <v>579</v>
      </c>
      <c r="AR139" s="129" t="s">
        <v>148</v>
      </c>
      <c r="AS139" s="118"/>
      <c r="AT139" s="119"/>
      <c r="AU139" s="119"/>
      <c r="AV139" s="126"/>
      <c r="AW139" s="119"/>
      <c r="AX139" s="120"/>
      <c r="AY139" s="120"/>
      <c r="AZ139" s="128"/>
      <c r="BA139" s="91"/>
      <c r="BB139" s="91"/>
      <c r="BC139" s="91"/>
    </row>
    <row r="140" spans="1:55" ht="28" hidden="1" customHeight="1">
      <c r="A140" s="156">
        <v>135</v>
      </c>
      <c r="B140" s="167">
        <v>45063</v>
      </c>
      <c r="C140" s="87" t="s">
        <v>134</v>
      </c>
      <c r="D140" s="87" t="s">
        <v>135</v>
      </c>
      <c r="E140" s="87" t="s">
        <v>136</v>
      </c>
      <c r="F140" s="168" t="s">
        <v>210</v>
      </c>
      <c r="G140" s="171" t="s">
        <v>554</v>
      </c>
      <c r="H140" s="172" t="s">
        <v>110</v>
      </c>
      <c r="I140" s="171" t="s">
        <v>555</v>
      </c>
      <c r="J140" s="172" t="s">
        <v>556</v>
      </c>
      <c r="K140" s="172" t="s">
        <v>80</v>
      </c>
      <c r="L140" s="171" t="s">
        <v>389</v>
      </c>
      <c r="M140" s="171" t="s">
        <v>481</v>
      </c>
      <c r="N140" s="171" t="s">
        <v>214</v>
      </c>
      <c r="O140" s="171" t="s">
        <v>80</v>
      </c>
      <c r="P140" s="123"/>
      <c r="Q140" s="124"/>
      <c r="R140" s="236">
        <f>0</f>
        <v>0</v>
      </c>
      <c r="S140" s="86">
        <f>0</f>
        <v>0</v>
      </c>
      <c r="T140" s="86">
        <f>0</f>
        <v>0</v>
      </c>
      <c r="U140" s="110">
        <v>1</v>
      </c>
      <c r="V140" s="86"/>
      <c r="W140" s="86">
        <f>0</f>
        <v>0</v>
      </c>
      <c r="X140" s="86">
        <f>0</f>
        <v>0</v>
      </c>
      <c r="Y140" s="86">
        <f>0</f>
        <v>0</v>
      </c>
      <c r="Z140" s="86">
        <f>0</f>
        <v>0</v>
      </c>
      <c r="AA140" s="237">
        <f>0</f>
        <v>0</v>
      </c>
      <c r="AB140" s="239">
        <f>0</f>
        <v>0</v>
      </c>
      <c r="AC140" s="86">
        <f>0</f>
        <v>0</v>
      </c>
      <c r="AD140" s="86">
        <f>0</f>
        <v>0</v>
      </c>
      <c r="AE140" s="86"/>
      <c r="AF140" s="86"/>
      <c r="AG140" s="86"/>
      <c r="AH140" s="86"/>
      <c r="AI140" s="86"/>
      <c r="AJ140" s="86"/>
      <c r="AK140" s="237"/>
      <c r="AL140" s="263">
        <f t="shared" si="8"/>
        <v>1</v>
      </c>
      <c r="AM140" s="111">
        <f>0</f>
        <v>0</v>
      </c>
      <c r="AN140" s="265">
        <f t="shared" si="9"/>
        <v>1</v>
      </c>
      <c r="AO140" s="246">
        <v>45064</v>
      </c>
      <c r="AP140" s="126" t="s">
        <v>273</v>
      </c>
      <c r="AQ140" s="117" t="s">
        <v>579</v>
      </c>
      <c r="AR140" s="129" t="s">
        <v>148</v>
      </c>
      <c r="AS140" s="118"/>
      <c r="AT140" s="119"/>
      <c r="AU140" s="119"/>
      <c r="AV140" s="126"/>
      <c r="AW140" s="119"/>
      <c r="AX140" s="120"/>
      <c r="AY140" s="120"/>
      <c r="AZ140" s="128"/>
      <c r="BA140" s="91"/>
      <c r="BB140" s="91"/>
      <c r="BC140" s="91"/>
    </row>
    <row r="141" spans="1:55" ht="28" customHeight="1">
      <c r="A141" s="283">
        <v>136</v>
      </c>
      <c r="B141" s="284">
        <v>45063</v>
      </c>
      <c r="C141" s="285" t="s">
        <v>134</v>
      </c>
      <c r="D141" s="285" t="s">
        <v>135</v>
      </c>
      <c r="E141" s="285" t="s">
        <v>136</v>
      </c>
      <c r="F141" s="286" t="s">
        <v>210</v>
      </c>
      <c r="G141" s="287" t="s">
        <v>557</v>
      </c>
      <c r="H141" s="288" t="s">
        <v>110</v>
      </c>
      <c r="I141" s="287" t="s">
        <v>558</v>
      </c>
      <c r="J141" s="288" t="s">
        <v>559</v>
      </c>
      <c r="K141" s="288" t="s">
        <v>80</v>
      </c>
      <c r="L141" s="287" t="s">
        <v>389</v>
      </c>
      <c r="M141" s="287" t="s">
        <v>481</v>
      </c>
      <c r="N141" s="287" t="s">
        <v>214</v>
      </c>
      <c r="O141" s="287" t="s">
        <v>80</v>
      </c>
      <c r="P141" s="289"/>
      <c r="Q141" s="290"/>
      <c r="R141" s="236">
        <f>0</f>
        <v>0</v>
      </c>
      <c r="S141" s="86">
        <f>0</f>
        <v>0</v>
      </c>
      <c r="T141" s="86">
        <f>0</f>
        <v>0</v>
      </c>
      <c r="U141" s="110">
        <v>1</v>
      </c>
      <c r="V141" s="86"/>
      <c r="W141" s="86">
        <f>0</f>
        <v>0</v>
      </c>
      <c r="X141" s="86">
        <f>0</f>
        <v>0</v>
      </c>
      <c r="Y141" s="86">
        <f>0</f>
        <v>0</v>
      </c>
      <c r="Z141" s="86">
        <f>0</f>
        <v>0</v>
      </c>
      <c r="AA141" s="237">
        <f>0</f>
        <v>0</v>
      </c>
      <c r="AB141" s="239">
        <f>0</f>
        <v>0</v>
      </c>
      <c r="AC141" s="86">
        <f>0</f>
        <v>0</v>
      </c>
      <c r="AD141" s="86">
        <f>0</f>
        <v>0</v>
      </c>
      <c r="AE141" s="86"/>
      <c r="AF141" s="86"/>
      <c r="AG141" s="86"/>
      <c r="AH141" s="86"/>
      <c r="AI141" s="86"/>
      <c r="AJ141" s="86"/>
      <c r="AK141" s="237"/>
      <c r="AL141" s="291">
        <f t="shared" si="8"/>
        <v>1</v>
      </c>
      <c r="AM141" s="292">
        <f>0</f>
        <v>0</v>
      </c>
      <c r="AN141" s="293">
        <f t="shared" si="9"/>
        <v>1</v>
      </c>
      <c r="AO141" s="294">
        <v>45082</v>
      </c>
      <c r="AP141" s="295" t="s">
        <v>273</v>
      </c>
      <c r="AQ141" s="296" t="s">
        <v>899</v>
      </c>
      <c r="AR141" s="297" t="s">
        <v>1289</v>
      </c>
      <c r="AS141" s="298"/>
      <c r="AT141" s="303"/>
      <c r="AU141" s="303"/>
      <c r="AV141" s="300"/>
      <c r="AW141" s="303"/>
      <c r="AX141" s="304"/>
      <c r="AY141" s="304"/>
      <c r="AZ141" s="302"/>
      <c r="BA141" s="91"/>
      <c r="BB141" s="91"/>
      <c r="BC141" s="91"/>
    </row>
    <row r="142" spans="1:55" ht="28" hidden="1" customHeight="1">
      <c r="A142" s="156">
        <v>137</v>
      </c>
      <c r="B142" s="167">
        <v>45063</v>
      </c>
      <c r="C142" s="87" t="s">
        <v>134</v>
      </c>
      <c r="D142" s="87" t="s">
        <v>135</v>
      </c>
      <c r="E142" s="87" t="s">
        <v>136</v>
      </c>
      <c r="F142" s="168" t="s">
        <v>210</v>
      </c>
      <c r="G142" s="171" t="s">
        <v>560</v>
      </c>
      <c r="H142" s="172" t="s">
        <v>110</v>
      </c>
      <c r="I142" s="171" t="s">
        <v>561</v>
      </c>
      <c r="J142" s="172" t="s">
        <v>562</v>
      </c>
      <c r="K142" s="172" t="s">
        <v>80</v>
      </c>
      <c r="L142" s="171" t="s">
        <v>389</v>
      </c>
      <c r="M142" s="171" t="s">
        <v>481</v>
      </c>
      <c r="N142" s="171" t="s">
        <v>214</v>
      </c>
      <c r="O142" s="171" t="s">
        <v>80</v>
      </c>
      <c r="P142" s="123"/>
      <c r="Q142" s="124"/>
      <c r="R142" s="236">
        <f>0</f>
        <v>0</v>
      </c>
      <c r="S142" s="86">
        <f>0</f>
        <v>0</v>
      </c>
      <c r="T142" s="86">
        <f>0</f>
        <v>0</v>
      </c>
      <c r="U142" s="110">
        <v>1</v>
      </c>
      <c r="V142" s="86"/>
      <c r="W142" s="86">
        <f>0</f>
        <v>0</v>
      </c>
      <c r="X142" s="86">
        <f>0</f>
        <v>0</v>
      </c>
      <c r="Y142" s="86">
        <f>0</f>
        <v>0</v>
      </c>
      <c r="Z142" s="86">
        <f>0</f>
        <v>0</v>
      </c>
      <c r="AA142" s="237">
        <f>0</f>
        <v>0</v>
      </c>
      <c r="AB142" s="239">
        <f>0</f>
        <v>0</v>
      </c>
      <c r="AC142" s="86">
        <f>0</f>
        <v>0</v>
      </c>
      <c r="AD142" s="86">
        <f>0</f>
        <v>0</v>
      </c>
      <c r="AE142" s="86"/>
      <c r="AF142" s="86"/>
      <c r="AG142" s="86"/>
      <c r="AH142" s="86"/>
      <c r="AI142" s="86"/>
      <c r="AJ142" s="86"/>
      <c r="AK142" s="237"/>
      <c r="AL142" s="263">
        <f t="shared" si="8"/>
        <v>1</v>
      </c>
      <c r="AM142" s="111">
        <f>0</f>
        <v>0</v>
      </c>
      <c r="AN142" s="265">
        <f t="shared" si="9"/>
        <v>1</v>
      </c>
      <c r="AO142" s="246">
        <v>45064</v>
      </c>
      <c r="AP142" s="126" t="s">
        <v>273</v>
      </c>
      <c r="AQ142" s="117" t="s">
        <v>579</v>
      </c>
      <c r="AR142" s="129" t="s">
        <v>148</v>
      </c>
      <c r="AS142" s="118"/>
      <c r="AT142" s="119"/>
      <c r="AU142" s="119"/>
      <c r="AV142" s="126"/>
      <c r="AW142" s="119"/>
      <c r="AX142" s="120"/>
      <c r="AY142" s="120"/>
      <c r="AZ142" s="128"/>
      <c r="BA142" s="91"/>
      <c r="BB142" s="91"/>
      <c r="BC142" s="91"/>
    </row>
    <row r="143" spans="1:55" ht="28" hidden="1" customHeight="1">
      <c r="A143" s="156">
        <v>138</v>
      </c>
      <c r="B143" s="167">
        <v>45063</v>
      </c>
      <c r="C143" s="87" t="s">
        <v>134</v>
      </c>
      <c r="D143" s="87" t="s">
        <v>135</v>
      </c>
      <c r="E143" s="87" t="s">
        <v>136</v>
      </c>
      <c r="F143" s="168" t="s">
        <v>210</v>
      </c>
      <c r="G143" s="171" t="s">
        <v>563</v>
      </c>
      <c r="H143" s="172" t="s">
        <v>110</v>
      </c>
      <c r="I143" s="171" t="s">
        <v>564</v>
      </c>
      <c r="J143" s="172" t="s">
        <v>565</v>
      </c>
      <c r="K143" s="172" t="s">
        <v>80</v>
      </c>
      <c r="L143" s="171" t="s">
        <v>389</v>
      </c>
      <c r="M143" s="171" t="s">
        <v>481</v>
      </c>
      <c r="N143" s="171" t="s">
        <v>214</v>
      </c>
      <c r="O143" s="171" t="s">
        <v>80</v>
      </c>
      <c r="P143" s="123"/>
      <c r="Q143" s="124"/>
      <c r="R143" s="236">
        <f>0</f>
        <v>0</v>
      </c>
      <c r="S143" s="86">
        <f>0</f>
        <v>0</v>
      </c>
      <c r="T143" s="86">
        <f>0</f>
        <v>0</v>
      </c>
      <c r="U143" s="110">
        <v>1</v>
      </c>
      <c r="V143" s="86"/>
      <c r="W143" s="86">
        <f>0</f>
        <v>0</v>
      </c>
      <c r="X143" s="86">
        <f>0</f>
        <v>0</v>
      </c>
      <c r="Y143" s="86">
        <f>0</f>
        <v>0</v>
      </c>
      <c r="Z143" s="86">
        <f>0</f>
        <v>0</v>
      </c>
      <c r="AA143" s="237">
        <f>0</f>
        <v>0</v>
      </c>
      <c r="AB143" s="239">
        <f>0</f>
        <v>0</v>
      </c>
      <c r="AC143" s="86">
        <f>0</f>
        <v>0</v>
      </c>
      <c r="AD143" s="86">
        <f>0</f>
        <v>0</v>
      </c>
      <c r="AE143" s="86"/>
      <c r="AF143" s="86"/>
      <c r="AG143" s="86"/>
      <c r="AH143" s="86"/>
      <c r="AI143" s="86"/>
      <c r="AJ143" s="86"/>
      <c r="AK143" s="237"/>
      <c r="AL143" s="263">
        <f t="shared" si="8"/>
        <v>1</v>
      </c>
      <c r="AM143" s="111">
        <f>0</f>
        <v>0</v>
      </c>
      <c r="AN143" s="265">
        <f t="shared" si="9"/>
        <v>1</v>
      </c>
      <c r="AO143" s="246">
        <v>45064</v>
      </c>
      <c r="AP143" s="126" t="s">
        <v>273</v>
      </c>
      <c r="AQ143" s="117" t="s">
        <v>579</v>
      </c>
      <c r="AR143" s="129" t="s">
        <v>148</v>
      </c>
      <c r="AS143" s="118"/>
      <c r="AT143" s="119"/>
      <c r="AU143" s="119"/>
      <c r="AV143" s="126"/>
      <c r="AW143" s="119"/>
      <c r="AX143" s="120"/>
      <c r="AY143" s="120"/>
      <c r="AZ143" s="128"/>
      <c r="BA143" s="91"/>
      <c r="BB143" s="91"/>
      <c r="BC143" s="91"/>
    </row>
    <row r="144" spans="1:55" ht="28" hidden="1" customHeight="1">
      <c r="A144" s="156">
        <v>139</v>
      </c>
      <c r="B144" s="167">
        <v>45063</v>
      </c>
      <c r="C144" s="87" t="s">
        <v>134</v>
      </c>
      <c r="D144" s="87" t="s">
        <v>135</v>
      </c>
      <c r="E144" s="87" t="s">
        <v>136</v>
      </c>
      <c r="F144" s="168" t="s">
        <v>210</v>
      </c>
      <c r="G144" s="171" t="s">
        <v>566</v>
      </c>
      <c r="H144" s="172" t="s">
        <v>110</v>
      </c>
      <c r="I144" s="171" t="s">
        <v>567</v>
      </c>
      <c r="J144" s="172" t="s">
        <v>568</v>
      </c>
      <c r="K144" s="172" t="s">
        <v>80</v>
      </c>
      <c r="L144" s="171" t="s">
        <v>389</v>
      </c>
      <c r="M144" s="171" t="s">
        <v>481</v>
      </c>
      <c r="N144" s="171" t="s">
        <v>214</v>
      </c>
      <c r="O144" s="171" t="s">
        <v>80</v>
      </c>
      <c r="P144" s="123"/>
      <c r="Q144" s="124"/>
      <c r="R144" s="236">
        <f>0</f>
        <v>0</v>
      </c>
      <c r="S144" s="86">
        <f>0</f>
        <v>0</v>
      </c>
      <c r="T144" s="86">
        <f>0</f>
        <v>0</v>
      </c>
      <c r="U144" s="110">
        <v>1</v>
      </c>
      <c r="V144" s="86"/>
      <c r="W144" s="86">
        <f>0</f>
        <v>0</v>
      </c>
      <c r="X144" s="86">
        <f>0</f>
        <v>0</v>
      </c>
      <c r="Y144" s="86">
        <f>0</f>
        <v>0</v>
      </c>
      <c r="Z144" s="86">
        <f>0</f>
        <v>0</v>
      </c>
      <c r="AA144" s="237">
        <f>0</f>
        <v>0</v>
      </c>
      <c r="AB144" s="239">
        <f>0</f>
        <v>0</v>
      </c>
      <c r="AC144" s="86">
        <f>0</f>
        <v>0</v>
      </c>
      <c r="AD144" s="86">
        <f>0</f>
        <v>0</v>
      </c>
      <c r="AE144" s="86"/>
      <c r="AF144" s="86"/>
      <c r="AG144" s="86"/>
      <c r="AH144" s="86"/>
      <c r="AI144" s="86"/>
      <c r="AJ144" s="86"/>
      <c r="AK144" s="237"/>
      <c r="AL144" s="263">
        <f t="shared" si="8"/>
        <v>1</v>
      </c>
      <c r="AM144" s="111">
        <f>0</f>
        <v>0</v>
      </c>
      <c r="AN144" s="265">
        <f t="shared" si="9"/>
        <v>1</v>
      </c>
      <c r="AO144" s="246">
        <v>45064</v>
      </c>
      <c r="AP144" s="126" t="s">
        <v>273</v>
      </c>
      <c r="AQ144" s="117" t="s">
        <v>579</v>
      </c>
      <c r="AR144" s="129" t="s">
        <v>148</v>
      </c>
      <c r="AS144" s="118"/>
      <c r="AT144" s="119"/>
      <c r="AU144" s="119"/>
      <c r="AV144" s="126"/>
      <c r="AW144" s="119"/>
      <c r="AX144" s="120"/>
      <c r="AY144" s="120"/>
      <c r="AZ144" s="128"/>
      <c r="BA144" s="91"/>
      <c r="BB144" s="91"/>
      <c r="BC144" s="91"/>
    </row>
    <row r="145" spans="1:55" ht="28" hidden="1" customHeight="1">
      <c r="A145" s="156">
        <v>140</v>
      </c>
      <c r="B145" s="167">
        <v>45063</v>
      </c>
      <c r="C145" s="87" t="s">
        <v>134</v>
      </c>
      <c r="D145" s="87" t="s">
        <v>135</v>
      </c>
      <c r="E145" s="87" t="s">
        <v>136</v>
      </c>
      <c r="F145" s="168" t="s">
        <v>210</v>
      </c>
      <c r="G145" s="171" t="s">
        <v>569</v>
      </c>
      <c r="H145" s="172" t="s">
        <v>110</v>
      </c>
      <c r="I145" s="171" t="s">
        <v>570</v>
      </c>
      <c r="J145" s="172" t="s">
        <v>571</v>
      </c>
      <c r="K145" s="172" t="s">
        <v>80</v>
      </c>
      <c r="L145" s="171" t="s">
        <v>389</v>
      </c>
      <c r="M145" s="171" t="s">
        <v>481</v>
      </c>
      <c r="N145" s="171" t="s">
        <v>214</v>
      </c>
      <c r="O145" s="171" t="s">
        <v>80</v>
      </c>
      <c r="P145" s="123"/>
      <c r="Q145" s="124"/>
      <c r="R145" s="236">
        <f>0</f>
        <v>0</v>
      </c>
      <c r="S145" s="86">
        <f>0</f>
        <v>0</v>
      </c>
      <c r="T145" s="86">
        <f>0</f>
        <v>0</v>
      </c>
      <c r="U145" s="110">
        <v>1</v>
      </c>
      <c r="V145" s="86"/>
      <c r="W145" s="86">
        <f>0</f>
        <v>0</v>
      </c>
      <c r="X145" s="86">
        <f>0</f>
        <v>0</v>
      </c>
      <c r="Y145" s="86">
        <f>0</f>
        <v>0</v>
      </c>
      <c r="Z145" s="86">
        <f>0</f>
        <v>0</v>
      </c>
      <c r="AA145" s="237">
        <f>0</f>
        <v>0</v>
      </c>
      <c r="AB145" s="239">
        <f>0</f>
        <v>0</v>
      </c>
      <c r="AC145" s="86">
        <f>0</f>
        <v>0</v>
      </c>
      <c r="AD145" s="86">
        <f>0</f>
        <v>0</v>
      </c>
      <c r="AE145" s="86"/>
      <c r="AF145" s="86"/>
      <c r="AG145" s="86"/>
      <c r="AH145" s="86"/>
      <c r="AI145" s="86"/>
      <c r="AJ145" s="86"/>
      <c r="AK145" s="237"/>
      <c r="AL145" s="263">
        <f t="shared" si="8"/>
        <v>1</v>
      </c>
      <c r="AM145" s="111">
        <f>0</f>
        <v>0</v>
      </c>
      <c r="AN145" s="265">
        <f t="shared" si="9"/>
        <v>1</v>
      </c>
      <c r="AO145" s="246">
        <v>45064</v>
      </c>
      <c r="AP145" s="126" t="s">
        <v>273</v>
      </c>
      <c r="AQ145" s="117" t="s">
        <v>579</v>
      </c>
      <c r="AR145" s="129" t="s">
        <v>148</v>
      </c>
      <c r="AS145" s="118"/>
      <c r="AT145" s="119"/>
      <c r="AU145" s="119"/>
      <c r="AV145" s="126"/>
      <c r="AW145" s="119"/>
      <c r="AX145" s="120"/>
      <c r="AY145" s="120"/>
      <c r="AZ145" s="128"/>
      <c r="BA145" s="91"/>
      <c r="BB145" s="91"/>
      <c r="BC145" s="91"/>
    </row>
    <row r="146" spans="1:55" ht="28" hidden="1" customHeight="1">
      <c r="A146" s="156">
        <v>141</v>
      </c>
      <c r="B146" s="182">
        <v>45068</v>
      </c>
      <c r="C146" s="87" t="s">
        <v>134</v>
      </c>
      <c r="D146" s="87" t="s">
        <v>135</v>
      </c>
      <c r="E146" s="87" t="s">
        <v>136</v>
      </c>
      <c r="F146" s="211" t="s">
        <v>265</v>
      </c>
      <c r="G146" s="212" t="s">
        <v>581</v>
      </c>
      <c r="H146" s="213" t="s">
        <v>110</v>
      </c>
      <c r="I146" s="212" t="s">
        <v>582</v>
      </c>
      <c r="J146" s="213" t="s">
        <v>583</v>
      </c>
      <c r="K146" s="213" t="s">
        <v>80</v>
      </c>
      <c r="L146" s="212" t="s">
        <v>119</v>
      </c>
      <c r="M146" s="212" t="s">
        <v>154</v>
      </c>
      <c r="N146" s="212" t="s">
        <v>80</v>
      </c>
      <c r="O146" s="212" t="s">
        <v>149</v>
      </c>
      <c r="P146" s="214"/>
      <c r="Q146" s="214"/>
      <c r="R146" s="236">
        <f>0</f>
        <v>0</v>
      </c>
      <c r="S146" s="102"/>
      <c r="T146" s="102"/>
      <c r="U146" s="102"/>
      <c r="V146" s="103">
        <v>1</v>
      </c>
      <c r="W146" s="102"/>
      <c r="X146" s="102"/>
      <c r="Y146" s="102"/>
      <c r="Z146" s="102"/>
      <c r="AA146" s="238"/>
      <c r="AB146" s="240"/>
      <c r="AC146" s="102"/>
      <c r="AD146" s="102"/>
      <c r="AE146" s="102"/>
      <c r="AF146" s="102"/>
      <c r="AG146" s="102"/>
      <c r="AH146" s="102"/>
      <c r="AI146" s="102"/>
      <c r="AJ146" s="102"/>
      <c r="AK146" s="238"/>
      <c r="AL146" s="263">
        <f t="shared" si="8"/>
        <v>1</v>
      </c>
      <c r="AM146" s="111">
        <f>0</f>
        <v>0</v>
      </c>
      <c r="AN146" s="264">
        <f t="shared" si="9"/>
        <v>1</v>
      </c>
      <c r="AO146" s="249"/>
      <c r="AP146" s="215" t="s">
        <v>273</v>
      </c>
      <c r="AQ146" s="214" t="s">
        <v>898</v>
      </c>
      <c r="AR146" s="214" t="s">
        <v>276</v>
      </c>
      <c r="AS146" s="194"/>
      <c r="AT146" s="188"/>
      <c r="AU146" s="189"/>
      <c r="AV146" s="189"/>
      <c r="AW146" s="189"/>
      <c r="AX146" s="190"/>
      <c r="AY146" s="191"/>
      <c r="AZ146" s="192"/>
      <c r="BA146" s="91"/>
      <c r="BB146" s="91"/>
      <c r="BC146" s="91"/>
    </row>
    <row r="147" spans="1:55" ht="28" hidden="1" customHeight="1">
      <c r="A147" s="156">
        <v>142</v>
      </c>
      <c r="B147" s="182">
        <v>45068</v>
      </c>
      <c r="C147" s="87" t="s">
        <v>134</v>
      </c>
      <c r="D147" s="87" t="s">
        <v>135</v>
      </c>
      <c r="E147" s="87" t="s">
        <v>136</v>
      </c>
      <c r="F147" s="183" t="s">
        <v>265</v>
      </c>
      <c r="G147" s="184" t="s">
        <v>584</v>
      </c>
      <c r="H147" s="185" t="s">
        <v>110</v>
      </c>
      <c r="I147" s="184" t="s">
        <v>585</v>
      </c>
      <c r="J147" s="185" t="s">
        <v>586</v>
      </c>
      <c r="K147" s="185" t="s">
        <v>80</v>
      </c>
      <c r="L147" s="184" t="s">
        <v>119</v>
      </c>
      <c r="M147" s="184" t="s">
        <v>154</v>
      </c>
      <c r="N147" s="184" t="s">
        <v>80</v>
      </c>
      <c r="O147" s="184" t="s">
        <v>149</v>
      </c>
      <c r="P147" s="193"/>
      <c r="Q147" s="193"/>
      <c r="R147" s="236">
        <f>0</f>
        <v>0</v>
      </c>
      <c r="S147" s="102"/>
      <c r="T147" s="102"/>
      <c r="U147" s="102"/>
      <c r="V147" s="103">
        <v>1</v>
      </c>
      <c r="W147" s="102"/>
      <c r="X147" s="102"/>
      <c r="Y147" s="102"/>
      <c r="Z147" s="102"/>
      <c r="AA147" s="238"/>
      <c r="AB147" s="240"/>
      <c r="AC147" s="102"/>
      <c r="AD147" s="102"/>
      <c r="AE147" s="102"/>
      <c r="AF147" s="102"/>
      <c r="AG147" s="102"/>
      <c r="AH147" s="102"/>
      <c r="AI147" s="102"/>
      <c r="AJ147" s="102"/>
      <c r="AK147" s="238"/>
      <c r="AL147" s="263">
        <f t="shared" si="8"/>
        <v>1</v>
      </c>
      <c r="AM147" s="111">
        <f>0</f>
        <v>0</v>
      </c>
      <c r="AN147" s="265">
        <f t="shared" si="9"/>
        <v>1</v>
      </c>
      <c r="AO147" s="247">
        <v>45075</v>
      </c>
      <c r="AP147" s="186" t="s">
        <v>273</v>
      </c>
      <c r="AQ147" s="187" t="s">
        <v>663</v>
      </c>
      <c r="AR147" s="187" t="s">
        <v>148</v>
      </c>
      <c r="AS147" s="194"/>
      <c r="AT147" s="188"/>
      <c r="AU147" s="189"/>
      <c r="AV147" s="189"/>
      <c r="AW147" s="189"/>
      <c r="AX147" s="190"/>
      <c r="AY147" s="191"/>
      <c r="AZ147" s="192"/>
      <c r="BA147" s="91"/>
      <c r="BB147" s="91"/>
      <c r="BC147" s="91"/>
    </row>
    <row r="148" spans="1:55" ht="28" hidden="1" customHeight="1">
      <c r="A148" s="156">
        <v>143</v>
      </c>
      <c r="B148" s="182">
        <v>45068</v>
      </c>
      <c r="C148" s="87" t="s">
        <v>134</v>
      </c>
      <c r="D148" s="87" t="s">
        <v>135</v>
      </c>
      <c r="E148" s="87" t="s">
        <v>136</v>
      </c>
      <c r="F148" s="183" t="s">
        <v>265</v>
      </c>
      <c r="G148" s="184" t="s">
        <v>587</v>
      </c>
      <c r="H148" s="185" t="s">
        <v>287</v>
      </c>
      <c r="I148" s="184" t="s">
        <v>588</v>
      </c>
      <c r="J148" s="185" t="s">
        <v>661</v>
      </c>
      <c r="K148" s="185" t="s">
        <v>80</v>
      </c>
      <c r="L148" s="184" t="s">
        <v>320</v>
      </c>
      <c r="M148" s="184" t="s">
        <v>154</v>
      </c>
      <c r="N148" s="184" t="s">
        <v>80</v>
      </c>
      <c r="O148" s="184" t="s">
        <v>155</v>
      </c>
      <c r="P148" s="193"/>
      <c r="Q148" s="193"/>
      <c r="R148" s="236">
        <f>0</f>
        <v>0</v>
      </c>
      <c r="S148" s="102"/>
      <c r="T148" s="102"/>
      <c r="U148" s="102"/>
      <c r="V148" s="103">
        <v>1</v>
      </c>
      <c r="W148" s="102"/>
      <c r="X148" s="102"/>
      <c r="Y148" s="102"/>
      <c r="Z148" s="102"/>
      <c r="AA148" s="238"/>
      <c r="AB148" s="240"/>
      <c r="AC148" s="102"/>
      <c r="AD148" s="102"/>
      <c r="AE148" s="102"/>
      <c r="AF148" s="102"/>
      <c r="AG148" s="102"/>
      <c r="AH148" s="102"/>
      <c r="AI148" s="102"/>
      <c r="AJ148" s="102"/>
      <c r="AK148" s="238"/>
      <c r="AL148" s="263">
        <f t="shared" si="8"/>
        <v>1</v>
      </c>
      <c r="AM148" s="111">
        <f>0</f>
        <v>0</v>
      </c>
      <c r="AN148" s="265">
        <f t="shared" si="9"/>
        <v>1</v>
      </c>
      <c r="AO148" s="247">
        <v>45075</v>
      </c>
      <c r="AP148" s="186" t="s">
        <v>273</v>
      </c>
      <c r="AQ148" s="187" t="s">
        <v>663</v>
      </c>
      <c r="AR148" s="187" t="s">
        <v>148</v>
      </c>
      <c r="AS148" s="194"/>
      <c r="AT148" s="188"/>
      <c r="AU148" s="189"/>
      <c r="AV148" s="189"/>
      <c r="AW148" s="189"/>
      <c r="AX148" s="190"/>
      <c r="AY148" s="191"/>
      <c r="AZ148" s="192"/>
      <c r="BA148" s="91"/>
      <c r="BB148" s="91"/>
      <c r="BC148" s="91"/>
    </row>
    <row r="149" spans="1:55" ht="28" hidden="1" customHeight="1">
      <c r="A149" s="156">
        <v>144</v>
      </c>
      <c r="B149" s="182">
        <v>45068</v>
      </c>
      <c r="C149" s="87" t="s">
        <v>134</v>
      </c>
      <c r="D149" s="87" t="s">
        <v>135</v>
      </c>
      <c r="E149" s="87" t="s">
        <v>136</v>
      </c>
      <c r="F149" s="183" t="s">
        <v>265</v>
      </c>
      <c r="G149" s="184" t="s">
        <v>589</v>
      </c>
      <c r="H149" s="185" t="s">
        <v>110</v>
      </c>
      <c r="I149" s="184" t="s">
        <v>267</v>
      </c>
      <c r="J149" s="185" t="s">
        <v>590</v>
      </c>
      <c r="K149" s="185" t="s">
        <v>80</v>
      </c>
      <c r="L149" s="184" t="s">
        <v>153</v>
      </c>
      <c r="M149" s="184" t="s">
        <v>154</v>
      </c>
      <c r="N149" s="184" t="s">
        <v>80</v>
      </c>
      <c r="O149" s="184" t="s">
        <v>155</v>
      </c>
      <c r="P149" s="193"/>
      <c r="Q149" s="193"/>
      <c r="R149" s="236">
        <f>0</f>
        <v>0</v>
      </c>
      <c r="S149" s="102"/>
      <c r="T149" s="102"/>
      <c r="U149" s="102"/>
      <c r="V149" s="103">
        <v>1</v>
      </c>
      <c r="W149" s="102"/>
      <c r="X149" s="102"/>
      <c r="Y149" s="102"/>
      <c r="Z149" s="102"/>
      <c r="AA149" s="238"/>
      <c r="AB149" s="240"/>
      <c r="AC149" s="102"/>
      <c r="AD149" s="102"/>
      <c r="AE149" s="102"/>
      <c r="AF149" s="102"/>
      <c r="AG149" s="102"/>
      <c r="AH149" s="102"/>
      <c r="AI149" s="102"/>
      <c r="AJ149" s="102"/>
      <c r="AK149" s="238"/>
      <c r="AL149" s="263">
        <f t="shared" si="8"/>
        <v>1</v>
      </c>
      <c r="AM149" s="111">
        <f>0</f>
        <v>0</v>
      </c>
      <c r="AN149" s="265">
        <f t="shared" si="9"/>
        <v>1</v>
      </c>
      <c r="AO149" s="247">
        <v>45075</v>
      </c>
      <c r="AP149" s="186" t="s">
        <v>273</v>
      </c>
      <c r="AQ149" s="187" t="s">
        <v>663</v>
      </c>
      <c r="AR149" s="187" t="s">
        <v>148</v>
      </c>
      <c r="AS149" s="194"/>
      <c r="AT149" s="188"/>
      <c r="AU149" s="189"/>
      <c r="AV149" s="189"/>
      <c r="AW149" s="189"/>
      <c r="AX149" s="190"/>
      <c r="AY149" s="191"/>
      <c r="AZ149" s="192"/>
      <c r="BA149" s="91"/>
      <c r="BB149" s="91"/>
      <c r="BC149" s="91"/>
    </row>
    <row r="150" spans="1:55" ht="28" hidden="1" customHeight="1">
      <c r="A150" s="156">
        <v>145</v>
      </c>
      <c r="B150" s="182">
        <v>45068</v>
      </c>
      <c r="C150" s="87" t="s">
        <v>134</v>
      </c>
      <c r="D150" s="87" t="s">
        <v>135</v>
      </c>
      <c r="E150" s="87" t="s">
        <v>136</v>
      </c>
      <c r="F150" s="183" t="s">
        <v>265</v>
      </c>
      <c r="G150" s="184" t="s">
        <v>591</v>
      </c>
      <c r="H150" s="185" t="s">
        <v>110</v>
      </c>
      <c r="I150" s="184" t="s">
        <v>267</v>
      </c>
      <c r="J150" s="185" t="s">
        <v>592</v>
      </c>
      <c r="K150" s="185" t="s">
        <v>80</v>
      </c>
      <c r="L150" s="184" t="s">
        <v>153</v>
      </c>
      <c r="M150" s="184" t="s">
        <v>154</v>
      </c>
      <c r="N150" s="184" t="s">
        <v>80</v>
      </c>
      <c r="O150" s="184" t="s">
        <v>155</v>
      </c>
      <c r="P150" s="193"/>
      <c r="Q150" s="193"/>
      <c r="R150" s="236">
        <f>0</f>
        <v>0</v>
      </c>
      <c r="S150" s="102"/>
      <c r="T150" s="102"/>
      <c r="U150" s="102"/>
      <c r="V150" s="103">
        <v>1</v>
      </c>
      <c r="W150" s="102"/>
      <c r="X150" s="102"/>
      <c r="Y150" s="102"/>
      <c r="Z150" s="102"/>
      <c r="AA150" s="238"/>
      <c r="AB150" s="240"/>
      <c r="AC150" s="102"/>
      <c r="AD150" s="102"/>
      <c r="AE150" s="102"/>
      <c r="AF150" s="102"/>
      <c r="AG150" s="102"/>
      <c r="AH150" s="102"/>
      <c r="AI150" s="102"/>
      <c r="AJ150" s="102"/>
      <c r="AK150" s="238"/>
      <c r="AL150" s="263">
        <f t="shared" si="8"/>
        <v>1</v>
      </c>
      <c r="AM150" s="111">
        <f>0</f>
        <v>0</v>
      </c>
      <c r="AN150" s="265">
        <f t="shared" si="9"/>
        <v>1</v>
      </c>
      <c r="AO150" s="247">
        <v>45075</v>
      </c>
      <c r="AP150" s="186" t="s">
        <v>273</v>
      </c>
      <c r="AQ150" s="187" t="s">
        <v>663</v>
      </c>
      <c r="AR150" s="187" t="s">
        <v>148</v>
      </c>
      <c r="AS150" s="194"/>
      <c r="AT150" s="188"/>
      <c r="AU150" s="189"/>
      <c r="AV150" s="189"/>
      <c r="AW150" s="189"/>
      <c r="AX150" s="190"/>
      <c r="AY150" s="191"/>
      <c r="AZ150" s="192"/>
      <c r="BA150" s="91"/>
      <c r="BB150" s="91"/>
      <c r="BC150" s="91"/>
    </row>
    <row r="151" spans="1:55" ht="28" hidden="1" customHeight="1">
      <c r="A151" s="156">
        <v>146</v>
      </c>
      <c r="B151" s="182">
        <v>45068</v>
      </c>
      <c r="C151" s="87" t="s">
        <v>134</v>
      </c>
      <c r="D151" s="87" t="s">
        <v>135</v>
      </c>
      <c r="E151" s="87" t="s">
        <v>136</v>
      </c>
      <c r="F151" s="183" t="s">
        <v>265</v>
      </c>
      <c r="G151" s="184" t="s">
        <v>593</v>
      </c>
      <c r="H151" s="185" t="s">
        <v>287</v>
      </c>
      <c r="I151" s="184" t="s">
        <v>530</v>
      </c>
      <c r="J151" s="185" t="s">
        <v>660</v>
      </c>
      <c r="K151" s="185" t="s">
        <v>80</v>
      </c>
      <c r="L151" s="184" t="s">
        <v>153</v>
      </c>
      <c r="M151" s="184" t="s">
        <v>154</v>
      </c>
      <c r="N151" s="184" t="s">
        <v>80</v>
      </c>
      <c r="O151" s="184" t="s">
        <v>155</v>
      </c>
      <c r="P151" s="193"/>
      <c r="Q151" s="193"/>
      <c r="R151" s="236">
        <f>0</f>
        <v>0</v>
      </c>
      <c r="S151" s="102"/>
      <c r="T151" s="102"/>
      <c r="U151" s="102"/>
      <c r="V151" s="103">
        <v>1</v>
      </c>
      <c r="W151" s="102"/>
      <c r="X151" s="102"/>
      <c r="Y151" s="102"/>
      <c r="Z151" s="102"/>
      <c r="AA151" s="238"/>
      <c r="AB151" s="240"/>
      <c r="AC151" s="102"/>
      <c r="AD151" s="102"/>
      <c r="AE151" s="102"/>
      <c r="AF151" s="102"/>
      <c r="AG151" s="102"/>
      <c r="AH151" s="102"/>
      <c r="AI151" s="102"/>
      <c r="AJ151" s="102"/>
      <c r="AK151" s="238"/>
      <c r="AL151" s="263">
        <f t="shared" si="8"/>
        <v>1</v>
      </c>
      <c r="AM151" s="111">
        <f>0</f>
        <v>0</v>
      </c>
      <c r="AN151" s="265">
        <f t="shared" si="9"/>
        <v>1</v>
      </c>
      <c r="AO151" s="247">
        <v>45075</v>
      </c>
      <c r="AP151" s="186" t="s">
        <v>273</v>
      </c>
      <c r="AQ151" s="187" t="s">
        <v>663</v>
      </c>
      <c r="AR151" s="187" t="s">
        <v>148</v>
      </c>
      <c r="AS151" s="194"/>
      <c r="AT151" s="188"/>
      <c r="AU151" s="189"/>
      <c r="AV151" s="189"/>
      <c r="AW151" s="189"/>
      <c r="AX151" s="190"/>
      <c r="AY151" s="191"/>
      <c r="AZ151" s="192"/>
      <c r="BA151" s="91"/>
      <c r="BB151" s="91"/>
      <c r="BC151" s="91"/>
    </row>
    <row r="152" spans="1:55" ht="28" hidden="1" customHeight="1">
      <c r="A152" s="156">
        <v>147</v>
      </c>
      <c r="B152" s="182">
        <v>45068</v>
      </c>
      <c r="C152" s="87" t="s">
        <v>134</v>
      </c>
      <c r="D152" s="87" t="s">
        <v>135</v>
      </c>
      <c r="E152" s="87" t="s">
        <v>136</v>
      </c>
      <c r="F152" s="183" t="s">
        <v>265</v>
      </c>
      <c r="G152" s="184" t="s">
        <v>594</v>
      </c>
      <c r="H152" s="185" t="s">
        <v>110</v>
      </c>
      <c r="I152" s="184" t="s">
        <v>657</v>
      </c>
      <c r="J152" s="185" t="s">
        <v>595</v>
      </c>
      <c r="K152" s="185" t="s">
        <v>80</v>
      </c>
      <c r="L152" s="184" t="s">
        <v>153</v>
      </c>
      <c r="M152" s="184" t="s">
        <v>154</v>
      </c>
      <c r="N152" s="184" t="s">
        <v>80</v>
      </c>
      <c r="O152" s="184" t="s">
        <v>155</v>
      </c>
      <c r="P152" s="193"/>
      <c r="Q152" s="193"/>
      <c r="R152" s="236">
        <f>0</f>
        <v>0</v>
      </c>
      <c r="S152" s="102"/>
      <c r="T152" s="102"/>
      <c r="U152" s="102"/>
      <c r="V152" s="103">
        <v>1</v>
      </c>
      <c r="W152" s="102"/>
      <c r="X152" s="102"/>
      <c r="Y152" s="102"/>
      <c r="Z152" s="102"/>
      <c r="AA152" s="238"/>
      <c r="AB152" s="240"/>
      <c r="AC152" s="102"/>
      <c r="AD152" s="102"/>
      <c r="AE152" s="102"/>
      <c r="AF152" s="102"/>
      <c r="AG152" s="102"/>
      <c r="AH152" s="102"/>
      <c r="AI152" s="102"/>
      <c r="AJ152" s="102"/>
      <c r="AK152" s="238"/>
      <c r="AL152" s="263">
        <f t="shared" si="8"/>
        <v>1</v>
      </c>
      <c r="AM152" s="111">
        <f>0</f>
        <v>0</v>
      </c>
      <c r="AN152" s="265">
        <f t="shared" si="9"/>
        <v>1</v>
      </c>
      <c r="AO152" s="247">
        <v>45075</v>
      </c>
      <c r="AP152" s="186" t="s">
        <v>273</v>
      </c>
      <c r="AQ152" s="187" t="s">
        <v>663</v>
      </c>
      <c r="AR152" s="187" t="s">
        <v>148</v>
      </c>
      <c r="AS152" s="194"/>
      <c r="AT152" s="188"/>
      <c r="AU152" s="189"/>
      <c r="AV152" s="189"/>
      <c r="AW152" s="189"/>
      <c r="AX152" s="190"/>
      <c r="AY152" s="191"/>
      <c r="AZ152" s="192"/>
      <c r="BA152" s="91"/>
      <c r="BB152" s="91"/>
      <c r="BC152" s="91"/>
    </row>
    <row r="153" spans="1:55" ht="28" hidden="1" customHeight="1">
      <c r="A153" s="156">
        <v>148</v>
      </c>
      <c r="B153" s="182">
        <v>45068</v>
      </c>
      <c r="C153" s="87" t="s">
        <v>134</v>
      </c>
      <c r="D153" s="87" t="s">
        <v>135</v>
      </c>
      <c r="E153" s="87" t="s">
        <v>136</v>
      </c>
      <c r="F153" s="183" t="s">
        <v>265</v>
      </c>
      <c r="G153" s="184" t="s">
        <v>596</v>
      </c>
      <c r="H153" s="185" t="s">
        <v>110</v>
      </c>
      <c r="I153" s="184" t="s">
        <v>597</v>
      </c>
      <c r="J153" s="185" t="s">
        <v>598</v>
      </c>
      <c r="K153" s="185" t="s">
        <v>80</v>
      </c>
      <c r="L153" s="184" t="s">
        <v>153</v>
      </c>
      <c r="M153" s="184" t="s">
        <v>154</v>
      </c>
      <c r="N153" s="184" t="s">
        <v>80</v>
      </c>
      <c r="O153" s="184" t="s">
        <v>155</v>
      </c>
      <c r="P153" s="193"/>
      <c r="Q153" s="193"/>
      <c r="R153" s="236">
        <f>0</f>
        <v>0</v>
      </c>
      <c r="S153" s="102"/>
      <c r="T153" s="102"/>
      <c r="U153" s="102"/>
      <c r="V153" s="103">
        <v>1</v>
      </c>
      <c r="W153" s="102"/>
      <c r="X153" s="102"/>
      <c r="Y153" s="102"/>
      <c r="Z153" s="102"/>
      <c r="AA153" s="238"/>
      <c r="AB153" s="240"/>
      <c r="AC153" s="102"/>
      <c r="AD153" s="102"/>
      <c r="AE153" s="102"/>
      <c r="AF153" s="102"/>
      <c r="AG153" s="102"/>
      <c r="AH153" s="102"/>
      <c r="AI153" s="102"/>
      <c r="AJ153" s="102"/>
      <c r="AK153" s="238"/>
      <c r="AL153" s="263">
        <f t="shared" si="8"/>
        <v>1</v>
      </c>
      <c r="AM153" s="111">
        <f>0</f>
        <v>0</v>
      </c>
      <c r="AN153" s="265">
        <f t="shared" si="9"/>
        <v>1</v>
      </c>
      <c r="AO153" s="247">
        <v>45075</v>
      </c>
      <c r="AP153" s="186" t="s">
        <v>273</v>
      </c>
      <c r="AQ153" s="187" t="s">
        <v>663</v>
      </c>
      <c r="AR153" s="187" t="s">
        <v>148</v>
      </c>
      <c r="AS153" s="194"/>
      <c r="AT153" s="188"/>
      <c r="AU153" s="189"/>
      <c r="AV153" s="189"/>
      <c r="AW153" s="189"/>
      <c r="AX153" s="190"/>
      <c r="AY153" s="191"/>
      <c r="AZ153" s="192"/>
      <c r="BA153" s="91"/>
      <c r="BB153" s="91"/>
      <c r="BC153" s="91"/>
    </row>
    <row r="154" spans="1:55" ht="28" hidden="1" customHeight="1">
      <c r="A154" s="100">
        <v>149</v>
      </c>
      <c r="B154" s="101">
        <v>45068</v>
      </c>
      <c r="C154" s="87" t="s">
        <v>134</v>
      </c>
      <c r="D154" s="87" t="s">
        <v>135</v>
      </c>
      <c r="E154" s="87" t="s">
        <v>136</v>
      </c>
      <c r="F154" s="175" t="s">
        <v>265</v>
      </c>
      <c r="G154" s="179" t="s">
        <v>599</v>
      </c>
      <c r="H154" s="180" t="s">
        <v>110</v>
      </c>
      <c r="I154" s="179" t="s">
        <v>600</v>
      </c>
      <c r="J154" s="180" t="s">
        <v>601</v>
      </c>
      <c r="K154" s="180" t="s">
        <v>80</v>
      </c>
      <c r="L154" s="179" t="s">
        <v>153</v>
      </c>
      <c r="M154" s="179" t="s">
        <v>602</v>
      </c>
      <c r="N154" s="179" t="s">
        <v>80</v>
      </c>
      <c r="O154" s="181" t="s">
        <v>80</v>
      </c>
      <c r="P154" s="176"/>
      <c r="Q154" s="176"/>
      <c r="R154" s="236">
        <f>0</f>
        <v>0</v>
      </c>
      <c r="S154" s="102"/>
      <c r="T154" s="102"/>
      <c r="U154" s="102"/>
      <c r="V154" s="103">
        <v>1</v>
      </c>
      <c r="W154" s="102"/>
      <c r="X154" s="102"/>
      <c r="Y154" s="102"/>
      <c r="Z154" s="102"/>
      <c r="AA154" s="238"/>
      <c r="AB154" s="240"/>
      <c r="AC154" s="102"/>
      <c r="AD154" s="102"/>
      <c r="AE154" s="102"/>
      <c r="AF154" s="102"/>
      <c r="AG154" s="102"/>
      <c r="AH154" s="102"/>
      <c r="AI154" s="102"/>
      <c r="AJ154" s="102"/>
      <c r="AK154" s="238"/>
      <c r="AL154" s="263">
        <f t="shared" si="8"/>
        <v>1</v>
      </c>
      <c r="AM154" s="111">
        <f>0</f>
        <v>0</v>
      </c>
      <c r="AN154" s="265">
        <f t="shared" si="9"/>
        <v>1</v>
      </c>
      <c r="AO154" s="250">
        <v>45075</v>
      </c>
      <c r="AP154" s="178" t="s">
        <v>273</v>
      </c>
      <c r="AQ154" s="177"/>
      <c r="AR154" s="177" t="s">
        <v>662</v>
      </c>
      <c r="AS154" s="99"/>
      <c r="AT154" s="99"/>
      <c r="AU154" s="98"/>
      <c r="AV154" s="98"/>
      <c r="AW154" s="98"/>
      <c r="AX154" s="105"/>
      <c r="AY154" s="106"/>
      <c r="AZ154" s="107"/>
    </row>
    <row r="155" spans="1:55" ht="28" hidden="1" customHeight="1">
      <c r="A155" s="156">
        <v>150</v>
      </c>
      <c r="B155" s="182">
        <v>45068</v>
      </c>
      <c r="C155" s="87" t="s">
        <v>134</v>
      </c>
      <c r="D155" s="87" t="s">
        <v>135</v>
      </c>
      <c r="E155" s="87" t="s">
        <v>136</v>
      </c>
      <c r="F155" s="183" t="s">
        <v>265</v>
      </c>
      <c r="G155" s="184" t="s">
        <v>603</v>
      </c>
      <c r="H155" s="185" t="s">
        <v>110</v>
      </c>
      <c r="I155" s="184" t="s">
        <v>597</v>
      </c>
      <c r="J155" s="185" t="s">
        <v>604</v>
      </c>
      <c r="K155" s="185" t="s">
        <v>80</v>
      </c>
      <c r="L155" s="184" t="s">
        <v>153</v>
      </c>
      <c r="M155" s="184" t="s">
        <v>154</v>
      </c>
      <c r="N155" s="184" t="s">
        <v>80</v>
      </c>
      <c r="O155" s="184" t="s">
        <v>155</v>
      </c>
      <c r="P155" s="193"/>
      <c r="Q155" s="193"/>
      <c r="R155" s="236">
        <f>0</f>
        <v>0</v>
      </c>
      <c r="S155" s="102"/>
      <c r="T155" s="102"/>
      <c r="U155" s="102"/>
      <c r="V155" s="103">
        <v>1</v>
      </c>
      <c r="W155" s="102"/>
      <c r="X155" s="102"/>
      <c r="Y155" s="102"/>
      <c r="Z155" s="102"/>
      <c r="AA155" s="238"/>
      <c r="AB155" s="240"/>
      <c r="AC155" s="102"/>
      <c r="AD155" s="102"/>
      <c r="AE155" s="102"/>
      <c r="AF155" s="102"/>
      <c r="AG155" s="102"/>
      <c r="AH155" s="102"/>
      <c r="AI155" s="102"/>
      <c r="AJ155" s="102"/>
      <c r="AK155" s="238"/>
      <c r="AL155" s="263">
        <f t="shared" si="8"/>
        <v>1</v>
      </c>
      <c r="AM155" s="111">
        <f>0</f>
        <v>0</v>
      </c>
      <c r="AN155" s="265">
        <f t="shared" si="9"/>
        <v>1</v>
      </c>
      <c r="AO155" s="247">
        <v>45075</v>
      </c>
      <c r="AP155" s="186" t="s">
        <v>273</v>
      </c>
      <c r="AQ155" s="187" t="s">
        <v>663</v>
      </c>
      <c r="AR155" s="187" t="s">
        <v>148</v>
      </c>
      <c r="AS155" s="194"/>
      <c r="AT155" s="188"/>
      <c r="AU155" s="189"/>
      <c r="AV155" s="189"/>
      <c r="AW155" s="189"/>
      <c r="AX155" s="190"/>
      <c r="AY155" s="191"/>
      <c r="AZ155" s="192"/>
      <c r="BA155" s="91"/>
      <c r="BB155" s="91"/>
      <c r="BC155" s="91"/>
    </row>
    <row r="156" spans="1:55" ht="28" hidden="1" customHeight="1">
      <c r="A156" s="156">
        <v>151</v>
      </c>
      <c r="B156" s="182">
        <v>45068</v>
      </c>
      <c r="C156" s="87" t="s">
        <v>134</v>
      </c>
      <c r="D156" s="87" t="s">
        <v>135</v>
      </c>
      <c r="E156" s="87" t="s">
        <v>136</v>
      </c>
      <c r="F156" s="183" t="s">
        <v>265</v>
      </c>
      <c r="G156" s="184" t="s">
        <v>605</v>
      </c>
      <c r="H156" s="185" t="s">
        <v>110</v>
      </c>
      <c r="I156" s="184" t="s">
        <v>606</v>
      </c>
      <c r="J156" s="185" t="s">
        <v>607</v>
      </c>
      <c r="K156" s="185" t="s">
        <v>80</v>
      </c>
      <c r="L156" s="184" t="s">
        <v>153</v>
      </c>
      <c r="M156" s="184" t="s">
        <v>154</v>
      </c>
      <c r="N156" s="184" t="s">
        <v>80</v>
      </c>
      <c r="O156" s="184" t="s">
        <v>155</v>
      </c>
      <c r="P156" s="193"/>
      <c r="Q156" s="193"/>
      <c r="R156" s="236">
        <f>0</f>
        <v>0</v>
      </c>
      <c r="S156" s="102"/>
      <c r="T156" s="102"/>
      <c r="U156" s="102"/>
      <c r="V156" s="103">
        <v>1</v>
      </c>
      <c r="W156" s="102"/>
      <c r="X156" s="102"/>
      <c r="Y156" s="102"/>
      <c r="Z156" s="102"/>
      <c r="AA156" s="238"/>
      <c r="AB156" s="240"/>
      <c r="AC156" s="102"/>
      <c r="AD156" s="102"/>
      <c r="AE156" s="102"/>
      <c r="AF156" s="102"/>
      <c r="AG156" s="102"/>
      <c r="AH156" s="102"/>
      <c r="AI156" s="102"/>
      <c r="AJ156" s="102"/>
      <c r="AK156" s="238"/>
      <c r="AL156" s="263">
        <f t="shared" si="8"/>
        <v>1</v>
      </c>
      <c r="AM156" s="111">
        <f>0</f>
        <v>0</v>
      </c>
      <c r="AN156" s="265">
        <f t="shared" si="9"/>
        <v>1</v>
      </c>
      <c r="AO156" s="247">
        <v>45075</v>
      </c>
      <c r="AP156" s="186" t="s">
        <v>273</v>
      </c>
      <c r="AQ156" s="187" t="s">
        <v>663</v>
      </c>
      <c r="AR156" s="187" t="s">
        <v>148</v>
      </c>
      <c r="AS156" s="194"/>
      <c r="AT156" s="188"/>
      <c r="AU156" s="189"/>
      <c r="AV156" s="189"/>
      <c r="AW156" s="189"/>
      <c r="AX156" s="190"/>
      <c r="AY156" s="191"/>
      <c r="AZ156" s="192"/>
      <c r="BA156" s="91"/>
      <c r="BB156" s="91"/>
      <c r="BC156" s="91"/>
    </row>
    <row r="157" spans="1:55" ht="28" hidden="1" customHeight="1">
      <c r="A157" s="156">
        <v>152</v>
      </c>
      <c r="B157" s="182">
        <v>45068</v>
      </c>
      <c r="C157" s="87" t="s">
        <v>134</v>
      </c>
      <c r="D157" s="87" t="s">
        <v>135</v>
      </c>
      <c r="E157" s="87" t="s">
        <v>136</v>
      </c>
      <c r="F157" s="183" t="s">
        <v>265</v>
      </c>
      <c r="G157" s="184" t="s">
        <v>608</v>
      </c>
      <c r="H157" s="185" t="s">
        <v>110</v>
      </c>
      <c r="I157" s="184" t="s">
        <v>606</v>
      </c>
      <c r="J157" s="185" t="s">
        <v>609</v>
      </c>
      <c r="K157" s="185" t="s">
        <v>80</v>
      </c>
      <c r="L157" s="184" t="s">
        <v>153</v>
      </c>
      <c r="M157" s="184" t="s">
        <v>154</v>
      </c>
      <c r="N157" s="184" t="s">
        <v>80</v>
      </c>
      <c r="O157" s="184" t="s">
        <v>155</v>
      </c>
      <c r="P157" s="193"/>
      <c r="Q157" s="193"/>
      <c r="R157" s="236">
        <f>0</f>
        <v>0</v>
      </c>
      <c r="S157" s="102"/>
      <c r="T157" s="102"/>
      <c r="U157" s="102"/>
      <c r="V157" s="103">
        <v>1</v>
      </c>
      <c r="W157" s="102"/>
      <c r="X157" s="102"/>
      <c r="Y157" s="102"/>
      <c r="Z157" s="102"/>
      <c r="AA157" s="238"/>
      <c r="AB157" s="240"/>
      <c r="AC157" s="102"/>
      <c r="AD157" s="102"/>
      <c r="AE157" s="102"/>
      <c r="AF157" s="102"/>
      <c r="AG157" s="102"/>
      <c r="AH157" s="102"/>
      <c r="AI157" s="102"/>
      <c r="AJ157" s="102"/>
      <c r="AK157" s="238"/>
      <c r="AL157" s="263">
        <f t="shared" si="8"/>
        <v>1</v>
      </c>
      <c r="AM157" s="111">
        <f>0</f>
        <v>0</v>
      </c>
      <c r="AN157" s="265">
        <f t="shared" si="9"/>
        <v>1</v>
      </c>
      <c r="AO157" s="247">
        <v>45075</v>
      </c>
      <c r="AP157" s="186" t="s">
        <v>273</v>
      </c>
      <c r="AQ157" s="187" t="s">
        <v>663</v>
      </c>
      <c r="AR157" s="187" t="s">
        <v>148</v>
      </c>
      <c r="AS157" s="194"/>
      <c r="AT157" s="188"/>
      <c r="AU157" s="189"/>
      <c r="AV157" s="189"/>
      <c r="AW157" s="189"/>
      <c r="AX157" s="190"/>
      <c r="AY157" s="191"/>
      <c r="AZ157" s="192"/>
      <c r="BA157" s="91"/>
      <c r="BB157" s="91"/>
      <c r="BC157" s="91"/>
    </row>
    <row r="158" spans="1:55" ht="28" hidden="1" customHeight="1">
      <c r="A158" s="156">
        <v>153</v>
      </c>
      <c r="B158" s="182">
        <v>45068</v>
      </c>
      <c r="C158" s="87" t="s">
        <v>134</v>
      </c>
      <c r="D158" s="87" t="s">
        <v>135</v>
      </c>
      <c r="E158" s="87" t="s">
        <v>136</v>
      </c>
      <c r="F158" s="183" t="s">
        <v>265</v>
      </c>
      <c r="G158" s="184" t="s">
        <v>610</v>
      </c>
      <c r="H158" s="185" t="s">
        <v>110</v>
      </c>
      <c r="I158" s="184" t="s">
        <v>588</v>
      </c>
      <c r="J158" s="185" t="s">
        <v>611</v>
      </c>
      <c r="K158" s="185" t="s">
        <v>80</v>
      </c>
      <c r="L158" s="184" t="s">
        <v>153</v>
      </c>
      <c r="M158" s="184" t="s">
        <v>154</v>
      </c>
      <c r="N158" s="184" t="s">
        <v>80</v>
      </c>
      <c r="O158" s="184" t="s">
        <v>155</v>
      </c>
      <c r="P158" s="193"/>
      <c r="Q158" s="193"/>
      <c r="R158" s="236">
        <f>0</f>
        <v>0</v>
      </c>
      <c r="S158" s="102"/>
      <c r="T158" s="102"/>
      <c r="U158" s="102"/>
      <c r="V158" s="103">
        <v>1</v>
      </c>
      <c r="W158" s="102"/>
      <c r="X158" s="102"/>
      <c r="Y158" s="102"/>
      <c r="Z158" s="102"/>
      <c r="AA158" s="238"/>
      <c r="AB158" s="240"/>
      <c r="AC158" s="102"/>
      <c r="AD158" s="102"/>
      <c r="AE158" s="102"/>
      <c r="AF158" s="102"/>
      <c r="AG158" s="102"/>
      <c r="AH158" s="102"/>
      <c r="AI158" s="102"/>
      <c r="AJ158" s="102"/>
      <c r="AK158" s="238"/>
      <c r="AL158" s="263">
        <f t="shared" si="8"/>
        <v>1</v>
      </c>
      <c r="AM158" s="111">
        <f>0</f>
        <v>0</v>
      </c>
      <c r="AN158" s="265">
        <f t="shared" si="9"/>
        <v>1</v>
      </c>
      <c r="AO158" s="247">
        <v>45075</v>
      </c>
      <c r="AP158" s="186" t="s">
        <v>273</v>
      </c>
      <c r="AQ158" s="187" t="s">
        <v>663</v>
      </c>
      <c r="AR158" s="187" t="s">
        <v>148</v>
      </c>
      <c r="AS158" s="194"/>
      <c r="AT158" s="188"/>
      <c r="AU158" s="189"/>
      <c r="AV158" s="189"/>
      <c r="AW158" s="189"/>
      <c r="AX158" s="190"/>
      <c r="AY158" s="191"/>
      <c r="AZ158" s="192"/>
      <c r="BA158" s="91"/>
      <c r="BB158" s="91"/>
      <c r="BC158" s="91"/>
    </row>
    <row r="159" spans="1:55" ht="28" hidden="1" customHeight="1">
      <c r="A159" s="156">
        <v>154</v>
      </c>
      <c r="B159" s="182">
        <v>45068</v>
      </c>
      <c r="C159" s="87" t="s">
        <v>134</v>
      </c>
      <c r="D159" s="87" t="s">
        <v>135</v>
      </c>
      <c r="E159" s="87" t="s">
        <v>136</v>
      </c>
      <c r="F159" s="183" t="s">
        <v>265</v>
      </c>
      <c r="G159" s="184" t="s">
        <v>612</v>
      </c>
      <c r="H159" s="185" t="s">
        <v>110</v>
      </c>
      <c r="I159" s="184" t="s">
        <v>588</v>
      </c>
      <c r="J159" s="185" t="s">
        <v>613</v>
      </c>
      <c r="K159" s="185" t="s">
        <v>80</v>
      </c>
      <c r="L159" s="184" t="s">
        <v>153</v>
      </c>
      <c r="M159" s="184" t="s">
        <v>154</v>
      </c>
      <c r="N159" s="184" t="s">
        <v>80</v>
      </c>
      <c r="O159" s="184" t="s">
        <v>155</v>
      </c>
      <c r="P159" s="193"/>
      <c r="Q159" s="193"/>
      <c r="R159" s="236">
        <f>0</f>
        <v>0</v>
      </c>
      <c r="S159" s="102"/>
      <c r="T159" s="102"/>
      <c r="U159" s="102"/>
      <c r="V159" s="103">
        <v>1</v>
      </c>
      <c r="W159" s="102"/>
      <c r="X159" s="102"/>
      <c r="Y159" s="102"/>
      <c r="Z159" s="102"/>
      <c r="AA159" s="238"/>
      <c r="AB159" s="240"/>
      <c r="AC159" s="102"/>
      <c r="AD159" s="102"/>
      <c r="AE159" s="102"/>
      <c r="AF159" s="102"/>
      <c r="AG159" s="102"/>
      <c r="AH159" s="102"/>
      <c r="AI159" s="102"/>
      <c r="AJ159" s="102"/>
      <c r="AK159" s="238"/>
      <c r="AL159" s="263">
        <f t="shared" si="8"/>
        <v>1</v>
      </c>
      <c r="AM159" s="111">
        <f>0</f>
        <v>0</v>
      </c>
      <c r="AN159" s="265">
        <f t="shared" si="9"/>
        <v>1</v>
      </c>
      <c r="AO159" s="247">
        <v>45075</v>
      </c>
      <c r="AP159" s="186" t="s">
        <v>273</v>
      </c>
      <c r="AQ159" s="187" t="s">
        <v>663</v>
      </c>
      <c r="AR159" s="187" t="s">
        <v>148</v>
      </c>
      <c r="AS159" s="194"/>
      <c r="AT159" s="188"/>
      <c r="AU159" s="189"/>
      <c r="AV159" s="189"/>
      <c r="AW159" s="189"/>
      <c r="AX159" s="190"/>
      <c r="AY159" s="191"/>
      <c r="AZ159" s="192"/>
      <c r="BA159" s="91"/>
      <c r="BB159" s="91"/>
      <c r="BC159" s="91"/>
    </row>
    <row r="160" spans="1:55" ht="28" hidden="1" customHeight="1">
      <c r="A160" s="156">
        <v>155</v>
      </c>
      <c r="B160" s="182">
        <v>45068</v>
      </c>
      <c r="C160" s="87" t="s">
        <v>134</v>
      </c>
      <c r="D160" s="87" t="s">
        <v>135</v>
      </c>
      <c r="E160" s="87" t="s">
        <v>136</v>
      </c>
      <c r="F160" s="183" t="s">
        <v>265</v>
      </c>
      <c r="G160" s="184" t="s">
        <v>614</v>
      </c>
      <c r="H160" s="185" t="s">
        <v>110</v>
      </c>
      <c r="I160" s="184" t="s">
        <v>615</v>
      </c>
      <c r="J160" s="185" t="s">
        <v>616</v>
      </c>
      <c r="K160" s="185" t="s">
        <v>80</v>
      </c>
      <c r="L160" s="184" t="s">
        <v>153</v>
      </c>
      <c r="M160" s="184" t="s">
        <v>154</v>
      </c>
      <c r="N160" s="184" t="s">
        <v>80</v>
      </c>
      <c r="O160" s="184" t="s">
        <v>155</v>
      </c>
      <c r="P160" s="193"/>
      <c r="Q160" s="193"/>
      <c r="R160" s="236">
        <f>0</f>
        <v>0</v>
      </c>
      <c r="S160" s="102"/>
      <c r="T160" s="102"/>
      <c r="U160" s="102"/>
      <c r="V160" s="103">
        <v>1</v>
      </c>
      <c r="W160" s="102"/>
      <c r="X160" s="102"/>
      <c r="Y160" s="102"/>
      <c r="Z160" s="102"/>
      <c r="AA160" s="238"/>
      <c r="AB160" s="240"/>
      <c r="AC160" s="102"/>
      <c r="AD160" s="102"/>
      <c r="AE160" s="102"/>
      <c r="AF160" s="102"/>
      <c r="AG160" s="102"/>
      <c r="AH160" s="102"/>
      <c r="AI160" s="102"/>
      <c r="AJ160" s="102"/>
      <c r="AK160" s="238"/>
      <c r="AL160" s="263">
        <f t="shared" si="8"/>
        <v>1</v>
      </c>
      <c r="AM160" s="111">
        <f>0</f>
        <v>0</v>
      </c>
      <c r="AN160" s="265">
        <f t="shared" si="9"/>
        <v>1</v>
      </c>
      <c r="AO160" s="247">
        <v>45075</v>
      </c>
      <c r="AP160" s="186" t="s">
        <v>273</v>
      </c>
      <c r="AQ160" s="187" t="s">
        <v>663</v>
      </c>
      <c r="AR160" s="187" t="s">
        <v>148</v>
      </c>
      <c r="AS160" s="194"/>
      <c r="AT160" s="188"/>
      <c r="AU160" s="189"/>
      <c r="AV160" s="189"/>
      <c r="AW160" s="189"/>
      <c r="AX160" s="190"/>
      <c r="AY160" s="191"/>
      <c r="AZ160" s="192"/>
      <c r="BA160" s="91"/>
      <c r="BB160" s="91"/>
      <c r="BC160" s="91"/>
    </row>
    <row r="161" spans="1:55" ht="28" hidden="1" customHeight="1">
      <c r="A161" s="156">
        <v>156</v>
      </c>
      <c r="B161" s="182">
        <v>45068</v>
      </c>
      <c r="C161" s="87" t="s">
        <v>134</v>
      </c>
      <c r="D161" s="87" t="s">
        <v>135</v>
      </c>
      <c r="E161" s="87" t="s">
        <v>136</v>
      </c>
      <c r="F161" s="183" t="s">
        <v>265</v>
      </c>
      <c r="G161" s="184" t="s">
        <v>617</v>
      </c>
      <c r="H161" s="185" t="s">
        <v>110</v>
      </c>
      <c r="I161" s="184" t="s">
        <v>618</v>
      </c>
      <c r="J161" s="185" t="s">
        <v>619</v>
      </c>
      <c r="K161" s="185" t="s">
        <v>80</v>
      </c>
      <c r="L161" s="184" t="s">
        <v>153</v>
      </c>
      <c r="M161" s="184" t="s">
        <v>80</v>
      </c>
      <c r="N161" s="184" t="s">
        <v>80</v>
      </c>
      <c r="O161" s="184" t="s">
        <v>155</v>
      </c>
      <c r="P161" s="193"/>
      <c r="Q161" s="193"/>
      <c r="R161" s="236">
        <f>0</f>
        <v>0</v>
      </c>
      <c r="S161" s="102"/>
      <c r="T161" s="102"/>
      <c r="U161" s="102"/>
      <c r="V161" s="103">
        <v>1</v>
      </c>
      <c r="W161" s="102"/>
      <c r="X161" s="102"/>
      <c r="Y161" s="102"/>
      <c r="Z161" s="102"/>
      <c r="AA161" s="238"/>
      <c r="AB161" s="240"/>
      <c r="AC161" s="102"/>
      <c r="AD161" s="102"/>
      <c r="AE161" s="102"/>
      <c r="AF161" s="102"/>
      <c r="AG161" s="102"/>
      <c r="AH161" s="102"/>
      <c r="AI161" s="102"/>
      <c r="AJ161" s="102"/>
      <c r="AK161" s="238"/>
      <c r="AL161" s="263">
        <f t="shared" si="8"/>
        <v>1</v>
      </c>
      <c r="AM161" s="111">
        <f>0</f>
        <v>0</v>
      </c>
      <c r="AN161" s="265">
        <f t="shared" si="9"/>
        <v>1</v>
      </c>
      <c r="AO161" s="247">
        <v>45075</v>
      </c>
      <c r="AP161" s="186" t="s">
        <v>273</v>
      </c>
      <c r="AQ161" s="187" t="s">
        <v>663</v>
      </c>
      <c r="AR161" s="187" t="s">
        <v>148</v>
      </c>
      <c r="AS161" s="194"/>
      <c r="AT161" s="188"/>
      <c r="AU161" s="189"/>
      <c r="AV161" s="189"/>
      <c r="AW161" s="189"/>
      <c r="AX161" s="190"/>
      <c r="AY161" s="191"/>
      <c r="AZ161" s="192"/>
      <c r="BA161" s="91"/>
      <c r="BB161" s="91"/>
      <c r="BC161" s="91"/>
    </row>
    <row r="162" spans="1:55" ht="28" hidden="1" customHeight="1">
      <c r="A162" s="156">
        <v>157</v>
      </c>
      <c r="B162" s="182">
        <v>45068</v>
      </c>
      <c r="C162" s="87" t="s">
        <v>134</v>
      </c>
      <c r="D162" s="87" t="s">
        <v>135</v>
      </c>
      <c r="E162" s="87" t="s">
        <v>136</v>
      </c>
      <c r="F162" s="183" t="s">
        <v>265</v>
      </c>
      <c r="G162" s="184" t="s">
        <v>620</v>
      </c>
      <c r="H162" s="185" t="s">
        <v>110</v>
      </c>
      <c r="I162" s="184" t="s">
        <v>588</v>
      </c>
      <c r="J162" s="185" t="s">
        <v>621</v>
      </c>
      <c r="K162" s="185" t="s">
        <v>80</v>
      </c>
      <c r="L162" s="184" t="s">
        <v>153</v>
      </c>
      <c r="M162" s="184" t="s">
        <v>80</v>
      </c>
      <c r="N162" s="184" t="s">
        <v>80</v>
      </c>
      <c r="O162" s="184" t="s">
        <v>155</v>
      </c>
      <c r="P162" s="193"/>
      <c r="Q162" s="193"/>
      <c r="R162" s="236">
        <f>0</f>
        <v>0</v>
      </c>
      <c r="S162" s="102"/>
      <c r="T162" s="102"/>
      <c r="U162" s="102"/>
      <c r="V162" s="103">
        <v>1</v>
      </c>
      <c r="W162" s="102"/>
      <c r="X162" s="102"/>
      <c r="Y162" s="102"/>
      <c r="Z162" s="102"/>
      <c r="AA162" s="238"/>
      <c r="AB162" s="240"/>
      <c r="AC162" s="102"/>
      <c r="AD162" s="102"/>
      <c r="AE162" s="102"/>
      <c r="AF162" s="102"/>
      <c r="AG162" s="102"/>
      <c r="AH162" s="102"/>
      <c r="AI162" s="102"/>
      <c r="AJ162" s="102"/>
      <c r="AK162" s="238"/>
      <c r="AL162" s="263">
        <f t="shared" si="8"/>
        <v>1</v>
      </c>
      <c r="AM162" s="111">
        <f>0</f>
        <v>0</v>
      </c>
      <c r="AN162" s="265">
        <f t="shared" si="9"/>
        <v>1</v>
      </c>
      <c r="AO162" s="247">
        <v>45075</v>
      </c>
      <c r="AP162" s="186" t="s">
        <v>273</v>
      </c>
      <c r="AQ162" s="187" t="s">
        <v>663</v>
      </c>
      <c r="AR162" s="187" t="s">
        <v>148</v>
      </c>
      <c r="AS162" s="194"/>
      <c r="AT162" s="188"/>
      <c r="AU162" s="189"/>
      <c r="AV162" s="189"/>
      <c r="AW162" s="189"/>
      <c r="AX162" s="190"/>
      <c r="AY162" s="191"/>
      <c r="AZ162" s="192"/>
      <c r="BA162" s="91"/>
      <c r="BB162" s="91"/>
      <c r="BC162" s="91"/>
    </row>
    <row r="163" spans="1:55" ht="28" hidden="1" customHeight="1">
      <c r="A163" s="156">
        <v>158</v>
      </c>
      <c r="B163" s="182">
        <v>45068</v>
      </c>
      <c r="C163" s="87" t="s">
        <v>134</v>
      </c>
      <c r="D163" s="87" t="s">
        <v>135</v>
      </c>
      <c r="E163" s="87" t="s">
        <v>136</v>
      </c>
      <c r="F163" s="183" t="s">
        <v>265</v>
      </c>
      <c r="G163" s="184" t="s">
        <v>622</v>
      </c>
      <c r="H163" s="185" t="s">
        <v>110</v>
      </c>
      <c r="I163" s="184" t="s">
        <v>623</v>
      </c>
      <c r="J163" s="185" t="s">
        <v>624</v>
      </c>
      <c r="K163" s="185" t="s">
        <v>80</v>
      </c>
      <c r="L163" s="184" t="s">
        <v>168</v>
      </c>
      <c r="M163" s="184" t="s">
        <v>154</v>
      </c>
      <c r="N163" s="184" t="s">
        <v>80</v>
      </c>
      <c r="O163" s="184" t="s">
        <v>149</v>
      </c>
      <c r="P163" s="193"/>
      <c r="Q163" s="193"/>
      <c r="R163" s="236">
        <f>0</f>
        <v>0</v>
      </c>
      <c r="S163" s="102"/>
      <c r="T163" s="102"/>
      <c r="U163" s="102"/>
      <c r="V163" s="103">
        <v>2</v>
      </c>
      <c r="W163" s="102"/>
      <c r="X163" s="102"/>
      <c r="Y163" s="102"/>
      <c r="Z163" s="102"/>
      <c r="AA163" s="238"/>
      <c r="AB163" s="240"/>
      <c r="AC163" s="102"/>
      <c r="AD163" s="102"/>
      <c r="AE163" s="102"/>
      <c r="AF163" s="102"/>
      <c r="AG163" s="102"/>
      <c r="AH163" s="102"/>
      <c r="AI163" s="102"/>
      <c r="AJ163" s="102"/>
      <c r="AK163" s="238"/>
      <c r="AL163" s="263">
        <f t="shared" si="8"/>
        <v>2</v>
      </c>
      <c r="AM163" s="111">
        <f>0</f>
        <v>0</v>
      </c>
      <c r="AN163" s="265">
        <f t="shared" si="9"/>
        <v>2</v>
      </c>
      <c r="AO163" s="247">
        <v>45075</v>
      </c>
      <c r="AP163" s="186" t="s">
        <v>273</v>
      </c>
      <c r="AQ163" s="187" t="s">
        <v>663</v>
      </c>
      <c r="AR163" s="187" t="s">
        <v>148</v>
      </c>
      <c r="AS163" s="194"/>
      <c r="AT163" s="188"/>
      <c r="AU163" s="189"/>
      <c r="AV163" s="189"/>
      <c r="AW163" s="189"/>
      <c r="AX163" s="190"/>
      <c r="AY163" s="191"/>
      <c r="AZ163" s="192"/>
      <c r="BA163" s="91"/>
      <c r="BB163" s="91"/>
      <c r="BC163" s="91"/>
    </row>
    <row r="164" spans="1:55" ht="28" hidden="1" customHeight="1">
      <c r="A164" s="156">
        <v>159</v>
      </c>
      <c r="B164" s="182">
        <v>45068</v>
      </c>
      <c r="C164" s="87" t="s">
        <v>134</v>
      </c>
      <c r="D164" s="87" t="s">
        <v>135</v>
      </c>
      <c r="E164" s="87" t="s">
        <v>136</v>
      </c>
      <c r="F164" s="183" t="s">
        <v>265</v>
      </c>
      <c r="G164" s="184" t="s">
        <v>625</v>
      </c>
      <c r="H164" s="185" t="s">
        <v>110</v>
      </c>
      <c r="I164" s="184" t="s">
        <v>626</v>
      </c>
      <c r="J164" s="185" t="s">
        <v>627</v>
      </c>
      <c r="K164" s="185" t="s">
        <v>80</v>
      </c>
      <c r="L164" s="184" t="s">
        <v>168</v>
      </c>
      <c r="M164" s="184" t="s">
        <v>154</v>
      </c>
      <c r="N164" s="184" t="s">
        <v>80</v>
      </c>
      <c r="O164" s="184" t="s">
        <v>149</v>
      </c>
      <c r="P164" s="193"/>
      <c r="Q164" s="193"/>
      <c r="R164" s="236">
        <f>0</f>
        <v>0</v>
      </c>
      <c r="S164" s="102"/>
      <c r="T164" s="102"/>
      <c r="U164" s="102"/>
      <c r="V164" s="103">
        <v>4</v>
      </c>
      <c r="W164" s="102"/>
      <c r="X164" s="102"/>
      <c r="Y164" s="102"/>
      <c r="Z164" s="102"/>
      <c r="AA164" s="238"/>
      <c r="AB164" s="240"/>
      <c r="AC164" s="102"/>
      <c r="AD164" s="102"/>
      <c r="AE164" s="102"/>
      <c r="AF164" s="102"/>
      <c r="AG164" s="102"/>
      <c r="AH164" s="102"/>
      <c r="AI164" s="102"/>
      <c r="AJ164" s="102"/>
      <c r="AK164" s="238"/>
      <c r="AL164" s="263">
        <f t="shared" si="8"/>
        <v>4</v>
      </c>
      <c r="AM164" s="111">
        <f>0</f>
        <v>0</v>
      </c>
      <c r="AN164" s="265">
        <f t="shared" si="9"/>
        <v>4</v>
      </c>
      <c r="AO164" s="247">
        <v>45075</v>
      </c>
      <c r="AP164" s="186" t="s">
        <v>273</v>
      </c>
      <c r="AQ164" s="187" t="s">
        <v>663</v>
      </c>
      <c r="AR164" s="187" t="s">
        <v>148</v>
      </c>
      <c r="AS164" s="194"/>
      <c r="AT164" s="188"/>
      <c r="AU164" s="189"/>
      <c r="AV164" s="189"/>
      <c r="AW164" s="189"/>
      <c r="AX164" s="190"/>
      <c r="AY164" s="191"/>
      <c r="AZ164" s="192"/>
      <c r="BA164" s="91"/>
      <c r="BB164" s="91"/>
      <c r="BC164" s="91"/>
    </row>
    <row r="165" spans="1:55" ht="28" hidden="1" customHeight="1">
      <c r="A165" s="156">
        <v>160</v>
      </c>
      <c r="B165" s="182">
        <v>45068</v>
      </c>
      <c r="C165" s="87" t="s">
        <v>134</v>
      </c>
      <c r="D165" s="87" t="s">
        <v>135</v>
      </c>
      <c r="E165" s="87" t="s">
        <v>136</v>
      </c>
      <c r="F165" s="183" t="s">
        <v>265</v>
      </c>
      <c r="G165" s="184" t="s">
        <v>628</v>
      </c>
      <c r="H165" s="185" t="s">
        <v>110</v>
      </c>
      <c r="I165" s="184" t="s">
        <v>629</v>
      </c>
      <c r="J165" s="185" t="s">
        <v>630</v>
      </c>
      <c r="K165" s="185" t="s">
        <v>80</v>
      </c>
      <c r="L165" s="184" t="s">
        <v>168</v>
      </c>
      <c r="M165" s="184" t="s">
        <v>154</v>
      </c>
      <c r="N165" s="184" t="s">
        <v>80</v>
      </c>
      <c r="O165" s="184" t="s">
        <v>149</v>
      </c>
      <c r="P165" s="193"/>
      <c r="Q165" s="193"/>
      <c r="R165" s="236">
        <f>0</f>
        <v>0</v>
      </c>
      <c r="S165" s="102"/>
      <c r="T165" s="102"/>
      <c r="U165" s="102"/>
      <c r="V165" s="103">
        <v>2</v>
      </c>
      <c r="W165" s="102"/>
      <c r="X165" s="102"/>
      <c r="Y165" s="102"/>
      <c r="Z165" s="102"/>
      <c r="AA165" s="238"/>
      <c r="AB165" s="240"/>
      <c r="AC165" s="102"/>
      <c r="AD165" s="102"/>
      <c r="AE165" s="102"/>
      <c r="AF165" s="102"/>
      <c r="AG165" s="102"/>
      <c r="AH165" s="102"/>
      <c r="AI165" s="102"/>
      <c r="AJ165" s="102"/>
      <c r="AK165" s="238"/>
      <c r="AL165" s="263">
        <f t="shared" si="8"/>
        <v>2</v>
      </c>
      <c r="AM165" s="111">
        <f>0</f>
        <v>0</v>
      </c>
      <c r="AN165" s="265">
        <f t="shared" si="9"/>
        <v>2</v>
      </c>
      <c r="AO165" s="247">
        <v>45075</v>
      </c>
      <c r="AP165" s="186" t="s">
        <v>273</v>
      </c>
      <c r="AQ165" s="187" t="s">
        <v>663</v>
      </c>
      <c r="AR165" s="187" t="s">
        <v>148</v>
      </c>
      <c r="AS165" s="194"/>
      <c r="AT165" s="188"/>
      <c r="AU165" s="189"/>
      <c r="AV165" s="189"/>
      <c r="AW165" s="189"/>
      <c r="AX165" s="190"/>
      <c r="AY165" s="191"/>
      <c r="AZ165" s="192"/>
      <c r="BA165" s="91"/>
      <c r="BB165" s="91"/>
      <c r="BC165" s="91"/>
    </row>
    <row r="166" spans="1:55" ht="28" hidden="1" customHeight="1">
      <c r="A166" s="156">
        <v>161</v>
      </c>
      <c r="B166" s="182">
        <v>45068</v>
      </c>
      <c r="C166" s="87" t="s">
        <v>134</v>
      </c>
      <c r="D166" s="87" t="s">
        <v>135</v>
      </c>
      <c r="E166" s="87" t="s">
        <v>136</v>
      </c>
      <c r="F166" s="183" t="s">
        <v>265</v>
      </c>
      <c r="G166" s="184" t="s">
        <v>631</v>
      </c>
      <c r="H166" s="185" t="s">
        <v>110</v>
      </c>
      <c r="I166" s="184" t="s">
        <v>632</v>
      </c>
      <c r="J166" s="185" t="s">
        <v>633</v>
      </c>
      <c r="K166" s="185" t="s">
        <v>80</v>
      </c>
      <c r="L166" s="184" t="s">
        <v>193</v>
      </c>
      <c r="M166" s="184" t="s">
        <v>154</v>
      </c>
      <c r="N166" s="184" t="s">
        <v>80</v>
      </c>
      <c r="O166" s="184" t="s">
        <v>149</v>
      </c>
      <c r="P166" s="193"/>
      <c r="Q166" s="193"/>
      <c r="R166" s="236">
        <f>0</f>
        <v>0</v>
      </c>
      <c r="S166" s="102"/>
      <c r="T166" s="102"/>
      <c r="U166" s="102"/>
      <c r="V166" s="103">
        <v>1</v>
      </c>
      <c r="W166" s="102"/>
      <c r="X166" s="102"/>
      <c r="Y166" s="102"/>
      <c r="Z166" s="102"/>
      <c r="AA166" s="238"/>
      <c r="AB166" s="240"/>
      <c r="AC166" s="102"/>
      <c r="AD166" s="102"/>
      <c r="AE166" s="102"/>
      <c r="AF166" s="102"/>
      <c r="AG166" s="102"/>
      <c r="AH166" s="102"/>
      <c r="AI166" s="102"/>
      <c r="AJ166" s="102"/>
      <c r="AK166" s="238"/>
      <c r="AL166" s="263">
        <f t="shared" si="8"/>
        <v>1</v>
      </c>
      <c r="AM166" s="111">
        <f>0</f>
        <v>0</v>
      </c>
      <c r="AN166" s="265">
        <f t="shared" si="9"/>
        <v>1</v>
      </c>
      <c r="AO166" s="247">
        <v>45075</v>
      </c>
      <c r="AP166" s="186" t="s">
        <v>273</v>
      </c>
      <c r="AQ166" s="187" t="s">
        <v>663</v>
      </c>
      <c r="AR166" s="187" t="s">
        <v>148</v>
      </c>
      <c r="AS166" s="194"/>
      <c r="AT166" s="188"/>
      <c r="AU166" s="189"/>
      <c r="AV166" s="189"/>
      <c r="AW166" s="189"/>
      <c r="AX166" s="190"/>
      <c r="AY166" s="191"/>
      <c r="AZ166" s="192"/>
      <c r="BA166" s="91"/>
      <c r="BB166" s="91"/>
      <c r="BC166" s="91"/>
    </row>
    <row r="167" spans="1:55" ht="28" hidden="1" customHeight="1">
      <c r="A167" s="156">
        <v>162</v>
      </c>
      <c r="B167" s="182">
        <v>45068</v>
      </c>
      <c r="C167" s="87" t="s">
        <v>134</v>
      </c>
      <c r="D167" s="87" t="s">
        <v>135</v>
      </c>
      <c r="E167" s="87" t="s">
        <v>136</v>
      </c>
      <c r="F167" s="211" t="s">
        <v>265</v>
      </c>
      <c r="G167" s="212" t="s">
        <v>634</v>
      </c>
      <c r="H167" s="213" t="s">
        <v>110</v>
      </c>
      <c r="I167" s="212" t="s">
        <v>635</v>
      </c>
      <c r="J167" s="213" t="s">
        <v>636</v>
      </c>
      <c r="K167" s="213" t="s">
        <v>80</v>
      </c>
      <c r="L167" s="212" t="s">
        <v>389</v>
      </c>
      <c r="M167" s="212" t="s">
        <v>154</v>
      </c>
      <c r="N167" s="212" t="s">
        <v>214</v>
      </c>
      <c r="O167" s="212" t="s">
        <v>80</v>
      </c>
      <c r="P167" s="214"/>
      <c r="Q167" s="214"/>
      <c r="R167" s="236">
        <f>0</f>
        <v>0</v>
      </c>
      <c r="S167" s="102"/>
      <c r="T167" s="102"/>
      <c r="U167" s="102"/>
      <c r="V167" s="103">
        <v>1</v>
      </c>
      <c r="W167" s="102"/>
      <c r="X167" s="102"/>
      <c r="Y167" s="102"/>
      <c r="Z167" s="102"/>
      <c r="AA167" s="238"/>
      <c r="AB167" s="240"/>
      <c r="AC167" s="102"/>
      <c r="AD167" s="102"/>
      <c r="AE167" s="102"/>
      <c r="AF167" s="102"/>
      <c r="AG167" s="102"/>
      <c r="AH167" s="102"/>
      <c r="AI167" s="102"/>
      <c r="AJ167" s="102"/>
      <c r="AK167" s="238"/>
      <c r="AL167" s="263">
        <f t="shared" ref="AL167:AL198" si="10">SUM(R167:AK167)</f>
        <v>1</v>
      </c>
      <c r="AM167" s="111">
        <f>0</f>
        <v>0</v>
      </c>
      <c r="AN167" s="264">
        <f t="shared" ref="AN167:AN198" si="11">AL167-AM167</f>
        <v>1</v>
      </c>
      <c r="AO167" s="248">
        <v>45078</v>
      </c>
      <c r="AP167" s="215" t="s">
        <v>273</v>
      </c>
      <c r="AQ167" s="117" t="s">
        <v>867</v>
      </c>
      <c r="AR167" s="129" t="s">
        <v>148</v>
      </c>
      <c r="AS167" s="194"/>
      <c r="AT167" s="188"/>
      <c r="AU167" s="189"/>
      <c r="AV167" s="189"/>
      <c r="AW167" s="189"/>
      <c r="AX167" s="190"/>
      <c r="AY167" s="191"/>
      <c r="AZ167" s="192"/>
      <c r="BA167" s="91"/>
      <c r="BB167" s="91"/>
      <c r="BC167" s="91"/>
    </row>
    <row r="168" spans="1:55" ht="28" hidden="1" customHeight="1">
      <c r="A168" s="156">
        <v>163</v>
      </c>
      <c r="B168" s="182">
        <v>45068</v>
      </c>
      <c r="C168" s="87" t="s">
        <v>134</v>
      </c>
      <c r="D168" s="87" t="s">
        <v>135</v>
      </c>
      <c r="E168" s="87" t="s">
        <v>136</v>
      </c>
      <c r="F168" s="183" t="s">
        <v>265</v>
      </c>
      <c r="G168" s="184" t="s">
        <v>637</v>
      </c>
      <c r="H168" s="185" t="s">
        <v>110</v>
      </c>
      <c r="I168" s="184" t="s">
        <v>635</v>
      </c>
      <c r="J168" s="185" t="s">
        <v>638</v>
      </c>
      <c r="K168" s="185" t="s">
        <v>80</v>
      </c>
      <c r="L168" s="184" t="s">
        <v>389</v>
      </c>
      <c r="M168" s="184" t="s">
        <v>154</v>
      </c>
      <c r="N168" s="184" t="s">
        <v>214</v>
      </c>
      <c r="O168" s="184" t="s">
        <v>80</v>
      </c>
      <c r="P168" s="193"/>
      <c r="Q168" s="193"/>
      <c r="R168" s="236">
        <f>0</f>
        <v>0</v>
      </c>
      <c r="S168" s="102"/>
      <c r="T168" s="102"/>
      <c r="U168" s="102"/>
      <c r="V168" s="103">
        <v>1</v>
      </c>
      <c r="W168" s="102"/>
      <c r="X168" s="102"/>
      <c r="Y168" s="102"/>
      <c r="Z168" s="102"/>
      <c r="AA168" s="238"/>
      <c r="AB168" s="240"/>
      <c r="AC168" s="102"/>
      <c r="AD168" s="102"/>
      <c r="AE168" s="102"/>
      <c r="AF168" s="102"/>
      <c r="AG168" s="102"/>
      <c r="AH168" s="102"/>
      <c r="AI168" s="102"/>
      <c r="AJ168" s="102"/>
      <c r="AK168" s="238"/>
      <c r="AL168" s="263">
        <f t="shared" si="10"/>
        <v>1</v>
      </c>
      <c r="AM168" s="111">
        <f>0</f>
        <v>0</v>
      </c>
      <c r="AN168" s="265">
        <f t="shared" si="11"/>
        <v>1</v>
      </c>
      <c r="AO168" s="247">
        <v>45075</v>
      </c>
      <c r="AP168" s="186" t="s">
        <v>273</v>
      </c>
      <c r="AQ168" s="187" t="s">
        <v>663</v>
      </c>
      <c r="AR168" s="187" t="s">
        <v>148</v>
      </c>
      <c r="AS168" s="194"/>
      <c r="AT168" s="188"/>
      <c r="AU168" s="189"/>
      <c r="AV168" s="189"/>
      <c r="AW168" s="189"/>
      <c r="AX168" s="190"/>
      <c r="AY168" s="191"/>
      <c r="AZ168" s="192"/>
      <c r="BA168" s="91"/>
      <c r="BB168" s="91"/>
      <c r="BC168" s="91"/>
    </row>
    <row r="169" spans="1:55" ht="28" customHeight="1">
      <c r="A169" s="283">
        <v>164</v>
      </c>
      <c r="B169" s="305">
        <v>45068</v>
      </c>
      <c r="C169" s="285" t="s">
        <v>134</v>
      </c>
      <c r="D169" s="285" t="s">
        <v>135</v>
      </c>
      <c r="E169" s="285" t="s">
        <v>136</v>
      </c>
      <c r="F169" s="306" t="s">
        <v>265</v>
      </c>
      <c r="G169" s="307" t="s">
        <v>639</v>
      </c>
      <c r="H169" s="308" t="s">
        <v>110</v>
      </c>
      <c r="I169" s="307" t="s">
        <v>658</v>
      </c>
      <c r="J169" s="308" t="s">
        <v>640</v>
      </c>
      <c r="K169" s="308" t="s">
        <v>80</v>
      </c>
      <c r="L169" s="307" t="s">
        <v>389</v>
      </c>
      <c r="M169" s="307" t="s">
        <v>481</v>
      </c>
      <c r="N169" s="307" t="s">
        <v>80</v>
      </c>
      <c r="O169" s="307" t="s">
        <v>80</v>
      </c>
      <c r="P169" s="309"/>
      <c r="Q169" s="309"/>
      <c r="R169" s="236">
        <f>0</f>
        <v>0</v>
      </c>
      <c r="S169" s="102"/>
      <c r="T169" s="102"/>
      <c r="U169" s="102"/>
      <c r="V169" s="103">
        <v>1</v>
      </c>
      <c r="W169" s="102"/>
      <c r="X169" s="102"/>
      <c r="Y169" s="102"/>
      <c r="Z169" s="102"/>
      <c r="AA169" s="238"/>
      <c r="AB169" s="240"/>
      <c r="AC169" s="102"/>
      <c r="AD169" s="102"/>
      <c r="AE169" s="102"/>
      <c r="AF169" s="102"/>
      <c r="AG169" s="102"/>
      <c r="AH169" s="102"/>
      <c r="AI169" s="102"/>
      <c r="AJ169" s="102"/>
      <c r="AK169" s="238"/>
      <c r="AL169" s="291">
        <f t="shared" si="10"/>
        <v>1</v>
      </c>
      <c r="AM169" s="292">
        <f>0</f>
        <v>0</v>
      </c>
      <c r="AN169" s="293">
        <f t="shared" si="11"/>
        <v>1</v>
      </c>
      <c r="AO169" s="294">
        <v>45082</v>
      </c>
      <c r="AP169" s="295" t="s">
        <v>273</v>
      </c>
      <c r="AQ169" s="296" t="s">
        <v>899</v>
      </c>
      <c r="AR169" s="297" t="s">
        <v>1289</v>
      </c>
      <c r="AS169" s="310"/>
      <c r="AT169" s="311"/>
      <c r="AU169" s="312"/>
      <c r="AV169" s="312"/>
      <c r="AW169" s="312"/>
      <c r="AX169" s="313"/>
      <c r="AY169" s="314"/>
      <c r="AZ169" s="315"/>
      <c r="BA169" s="91"/>
      <c r="BB169" s="91"/>
      <c r="BC169" s="91"/>
    </row>
    <row r="170" spans="1:55" ht="28" hidden="1" customHeight="1">
      <c r="A170" s="156">
        <v>165</v>
      </c>
      <c r="B170" s="182">
        <v>45068</v>
      </c>
      <c r="C170" s="87" t="s">
        <v>134</v>
      </c>
      <c r="D170" s="87" t="s">
        <v>135</v>
      </c>
      <c r="E170" s="87" t="s">
        <v>136</v>
      </c>
      <c r="F170" s="183" t="s">
        <v>265</v>
      </c>
      <c r="G170" s="184" t="s">
        <v>641</v>
      </c>
      <c r="H170" s="185" t="s">
        <v>110</v>
      </c>
      <c r="I170" s="184" t="s">
        <v>642</v>
      </c>
      <c r="J170" s="185" t="s">
        <v>643</v>
      </c>
      <c r="K170" s="185" t="s">
        <v>80</v>
      </c>
      <c r="L170" s="184" t="s">
        <v>209</v>
      </c>
      <c r="M170" s="184" t="s">
        <v>154</v>
      </c>
      <c r="N170" s="184" t="s">
        <v>80</v>
      </c>
      <c r="O170" s="184" t="s">
        <v>80</v>
      </c>
      <c r="P170" s="193"/>
      <c r="Q170" s="193"/>
      <c r="R170" s="236">
        <f>0</f>
        <v>0</v>
      </c>
      <c r="S170" s="102"/>
      <c r="T170" s="102"/>
      <c r="U170" s="102"/>
      <c r="V170" s="103">
        <v>1</v>
      </c>
      <c r="W170" s="102"/>
      <c r="X170" s="102"/>
      <c r="Y170" s="102"/>
      <c r="Z170" s="102"/>
      <c r="AA170" s="238"/>
      <c r="AB170" s="240"/>
      <c r="AC170" s="102"/>
      <c r="AD170" s="102"/>
      <c r="AE170" s="102"/>
      <c r="AF170" s="102"/>
      <c r="AG170" s="102"/>
      <c r="AH170" s="102"/>
      <c r="AI170" s="102"/>
      <c r="AJ170" s="102"/>
      <c r="AK170" s="238"/>
      <c r="AL170" s="263">
        <f t="shared" si="10"/>
        <v>1</v>
      </c>
      <c r="AM170" s="111">
        <f>0</f>
        <v>0</v>
      </c>
      <c r="AN170" s="265">
        <f t="shared" si="11"/>
        <v>1</v>
      </c>
      <c r="AO170" s="247">
        <v>45075</v>
      </c>
      <c r="AP170" s="186" t="s">
        <v>273</v>
      </c>
      <c r="AQ170" s="187" t="s">
        <v>663</v>
      </c>
      <c r="AR170" s="187" t="s">
        <v>148</v>
      </c>
      <c r="AS170" s="194"/>
      <c r="AT170" s="188"/>
      <c r="AU170" s="189"/>
      <c r="AV170" s="189"/>
      <c r="AW170" s="189"/>
      <c r="AX170" s="190"/>
      <c r="AY170" s="191"/>
      <c r="AZ170" s="192"/>
      <c r="BA170" s="91"/>
      <c r="BB170" s="91"/>
      <c r="BC170" s="91"/>
    </row>
    <row r="171" spans="1:55" ht="28" hidden="1" customHeight="1">
      <c r="A171" s="156">
        <v>166</v>
      </c>
      <c r="B171" s="182">
        <v>45068</v>
      </c>
      <c r="C171" s="87" t="s">
        <v>134</v>
      </c>
      <c r="D171" s="87" t="s">
        <v>135</v>
      </c>
      <c r="E171" s="87" t="s">
        <v>136</v>
      </c>
      <c r="F171" s="183" t="s">
        <v>265</v>
      </c>
      <c r="G171" s="184" t="s">
        <v>644</v>
      </c>
      <c r="H171" s="185" t="s">
        <v>110</v>
      </c>
      <c r="I171" s="184" t="s">
        <v>645</v>
      </c>
      <c r="J171" s="185" t="s">
        <v>646</v>
      </c>
      <c r="K171" s="185" t="s">
        <v>80</v>
      </c>
      <c r="L171" s="184" t="s">
        <v>209</v>
      </c>
      <c r="M171" s="184" t="s">
        <v>154</v>
      </c>
      <c r="N171" s="184" t="s">
        <v>80</v>
      </c>
      <c r="O171" s="184" t="s">
        <v>80</v>
      </c>
      <c r="P171" s="193"/>
      <c r="Q171" s="193"/>
      <c r="R171" s="236">
        <f>0</f>
        <v>0</v>
      </c>
      <c r="S171" s="102"/>
      <c r="T171" s="102"/>
      <c r="U171" s="102"/>
      <c r="V171" s="103">
        <v>2</v>
      </c>
      <c r="W171" s="102"/>
      <c r="X171" s="102"/>
      <c r="Y171" s="102"/>
      <c r="Z171" s="102"/>
      <c r="AA171" s="238"/>
      <c r="AB171" s="240"/>
      <c r="AC171" s="102"/>
      <c r="AD171" s="102"/>
      <c r="AE171" s="102"/>
      <c r="AF171" s="102"/>
      <c r="AG171" s="102"/>
      <c r="AH171" s="102"/>
      <c r="AI171" s="102"/>
      <c r="AJ171" s="102"/>
      <c r="AK171" s="238"/>
      <c r="AL171" s="263">
        <f t="shared" si="10"/>
        <v>2</v>
      </c>
      <c r="AM171" s="111">
        <f>0</f>
        <v>0</v>
      </c>
      <c r="AN171" s="265">
        <f t="shared" si="11"/>
        <v>2</v>
      </c>
      <c r="AO171" s="247">
        <v>45075</v>
      </c>
      <c r="AP171" s="186" t="s">
        <v>273</v>
      </c>
      <c r="AQ171" s="214" t="s">
        <v>898</v>
      </c>
      <c r="AR171" s="214" t="s">
        <v>276</v>
      </c>
      <c r="AS171" s="194"/>
      <c r="AT171" s="188"/>
      <c r="AU171" s="189"/>
      <c r="AV171" s="189"/>
      <c r="AW171" s="189"/>
      <c r="AX171" s="190"/>
      <c r="AY171" s="191"/>
      <c r="AZ171" s="192"/>
      <c r="BA171" s="91"/>
      <c r="BB171" s="91"/>
      <c r="BC171" s="91"/>
    </row>
    <row r="172" spans="1:55" ht="28" hidden="1" customHeight="1">
      <c r="A172" s="156">
        <v>167</v>
      </c>
      <c r="B172" s="182">
        <v>45068</v>
      </c>
      <c r="C172" s="87" t="s">
        <v>134</v>
      </c>
      <c r="D172" s="87" t="s">
        <v>135</v>
      </c>
      <c r="E172" s="87" t="s">
        <v>136</v>
      </c>
      <c r="F172" s="183" t="s">
        <v>265</v>
      </c>
      <c r="G172" s="184" t="s">
        <v>647</v>
      </c>
      <c r="H172" s="185" t="s">
        <v>110</v>
      </c>
      <c r="I172" s="184" t="s">
        <v>220</v>
      </c>
      <c r="J172" s="185" t="s">
        <v>648</v>
      </c>
      <c r="K172" s="185" t="s">
        <v>80</v>
      </c>
      <c r="L172" s="184" t="s">
        <v>222</v>
      </c>
      <c r="M172" s="184" t="s">
        <v>154</v>
      </c>
      <c r="N172" s="184" t="s">
        <v>80</v>
      </c>
      <c r="O172" s="184" t="s">
        <v>80</v>
      </c>
      <c r="P172" s="193"/>
      <c r="Q172" s="193"/>
      <c r="R172" s="236">
        <f>0</f>
        <v>0</v>
      </c>
      <c r="S172" s="102"/>
      <c r="T172" s="102"/>
      <c r="U172" s="102"/>
      <c r="V172" s="103">
        <v>4</v>
      </c>
      <c r="W172" s="102"/>
      <c r="X172" s="102"/>
      <c r="Y172" s="102"/>
      <c r="Z172" s="102"/>
      <c r="AA172" s="238"/>
      <c r="AB172" s="240"/>
      <c r="AC172" s="102"/>
      <c r="AD172" s="102"/>
      <c r="AE172" s="102"/>
      <c r="AF172" s="102"/>
      <c r="AG172" s="102"/>
      <c r="AH172" s="102"/>
      <c r="AI172" s="102"/>
      <c r="AJ172" s="102"/>
      <c r="AK172" s="238"/>
      <c r="AL172" s="263">
        <f t="shared" si="10"/>
        <v>4</v>
      </c>
      <c r="AM172" s="111">
        <f>0</f>
        <v>0</v>
      </c>
      <c r="AN172" s="265">
        <f t="shared" si="11"/>
        <v>4</v>
      </c>
      <c r="AO172" s="247">
        <v>45075</v>
      </c>
      <c r="AP172" s="186" t="s">
        <v>273</v>
      </c>
      <c r="AQ172" s="187" t="s">
        <v>663</v>
      </c>
      <c r="AR172" s="187" t="s">
        <v>148</v>
      </c>
      <c r="AS172" s="194"/>
      <c r="AT172" s="188"/>
      <c r="AU172" s="189"/>
      <c r="AV172" s="189"/>
      <c r="AW172" s="189"/>
      <c r="AX172" s="190"/>
      <c r="AY172" s="191"/>
      <c r="AZ172" s="192"/>
      <c r="BA172" s="91"/>
      <c r="BB172" s="91"/>
      <c r="BC172" s="91"/>
    </row>
    <row r="173" spans="1:55" ht="28" hidden="1" customHeight="1">
      <c r="A173" s="156">
        <v>168</v>
      </c>
      <c r="B173" s="182">
        <v>45068</v>
      </c>
      <c r="C173" s="87" t="s">
        <v>134</v>
      </c>
      <c r="D173" s="87" t="s">
        <v>135</v>
      </c>
      <c r="E173" s="87" t="s">
        <v>136</v>
      </c>
      <c r="F173" s="183" t="s">
        <v>265</v>
      </c>
      <c r="G173" s="184" t="s">
        <v>649</v>
      </c>
      <c r="H173" s="185" t="s">
        <v>110</v>
      </c>
      <c r="I173" s="184" t="s">
        <v>635</v>
      </c>
      <c r="J173" s="185" t="s">
        <v>650</v>
      </c>
      <c r="K173" s="185"/>
      <c r="L173" s="184" t="s">
        <v>389</v>
      </c>
      <c r="M173" s="184" t="s">
        <v>154</v>
      </c>
      <c r="N173" s="184" t="s">
        <v>659</v>
      </c>
      <c r="O173" s="184" t="s">
        <v>80</v>
      </c>
      <c r="P173" s="193"/>
      <c r="Q173" s="193"/>
      <c r="R173" s="236">
        <f>0</f>
        <v>0</v>
      </c>
      <c r="S173" s="102"/>
      <c r="T173" s="102"/>
      <c r="U173" s="102"/>
      <c r="V173" s="103">
        <v>1</v>
      </c>
      <c r="W173" s="102"/>
      <c r="X173" s="102"/>
      <c r="Y173" s="102"/>
      <c r="Z173" s="102"/>
      <c r="AA173" s="238"/>
      <c r="AB173" s="240"/>
      <c r="AC173" s="102"/>
      <c r="AD173" s="102"/>
      <c r="AE173" s="102"/>
      <c r="AF173" s="102"/>
      <c r="AG173" s="102"/>
      <c r="AH173" s="102"/>
      <c r="AI173" s="102"/>
      <c r="AJ173" s="102"/>
      <c r="AK173" s="238"/>
      <c r="AL173" s="263">
        <f t="shared" si="10"/>
        <v>1</v>
      </c>
      <c r="AM173" s="111">
        <f>0</f>
        <v>0</v>
      </c>
      <c r="AN173" s="265">
        <f t="shared" si="11"/>
        <v>1</v>
      </c>
      <c r="AO173" s="247">
        <v>45075</v>
      </c>
      <c r="AP173" s="186" t="s">
        <v>273</v>
      </c>
      <c r="AQ173" s="187" t="s">
        <v>663</v>
      </c>
      <c r="AR173" s="187" t="s">
        <v>148</v>
      </c>
      <c r="AS173" s="194"/>
      <c r="AT173" s="188"/>
      <c r="AU173" s="189"/>
      <c r="AV173" s="189"/>
      <c r="AW173" s="189"/>
      <c r="AX173" s="190"/>
      <c r="AY173" s="191"/>
      <c r="AZ173" s="192"/>
      <c r="BA173" s="91"/>
      <c r="BB173" s="91"/>
      <c r="BC173" s="91"/>
    </row>
    <row r="174" spans="1:55" ht="28" hidden="1" customHeight="1">
      <c r="A174" s="156">
        <v>169</v>
      </c>
      <c r="B174" s="182">
        <v>45068</v>
      </c>
      <c r="C174" s="87" t="s">
        <v>134</v>
      </c>
      <c r="D174" s="87" t="s">
        <v>135</v>
      </c>
      <c r="E174" s="87" t="s">
        <v>136</v>
      </c>
      <c r="F174" s="183" t="s">
        <v>265</v>
      </c>
      <c r="G174" s="184" t="s">
        <v>651</v>
      </c>
      <c r="H174" s="185" t="s">
        <v>110</v>
      </c>
      <c r="I174" s="184" t="s">
        <v>635</v>
      </c>
      <c r="J174" s="185" t="s">
        <v>652</v>
      </c>
      <c r="K174" s="185"/>
      <c r="L174" s="184" t="s">
        <v>389</v>
      </c>
      <c r="M174" s="184" t="s">
        <v>154</v>
      </c>
      <c r="N174" s="184" t="s">
        <v>659</v>
      </c>
      <c r="O174" s="184"/>
      <c r="P174" s="193"/>
      <c r="Q174" s="193"/>
      <c r="R174" s="236">
        <f>0</f>
        <v>0</v>
      </c>
      <c r="S174" s="102"/>
      <c r="T174" s="102"/>
      <c r="U174" s="102"/>
      <c r="V174" s="103">
        <v>1</v>
      </c>
      <c r="W174" s="102"/>
      <c r="X174" s="102"/>
      <c r="Y174" s="102"/>
      <c r="Z174" s="102"/>
      <c r="AA174" s="238"/>
      <c r="AB174" s="240"/>
      <c r="AC174" s="102"/>
      <c r="AD174" s="102"/>
      <c r="AE174" s="102"/>
      <c r="AF174" s="102"/>
      <c r="AG174" s="102"/>
      <c r="AH174" s="102"/>
      <c r="AI174" s="102"/>
      <c r="AJ174" s="102"/>
      <c r="AK174" s="238"/>
      <c r="AL174" s="263">
        <f t="shared" si="10"/>
        <v>1</v>
      </c>
      <c r="AM174" s="111">
        <f>0</f>
        <v>0</v>
      </c>
      <c r="AN174" s="265">
        <f t="shared" si="11"/>
        <v>1</v>
      </c>
      <c r="AO174" s="247">
        <v>45075</v>
      </c>
      <c r="AP174" s="186" t="s">
        <v>273</v>
      </c>
      <c r="AQ174" s="187" t="s">
        <v>663</v>
      </c>
      <c r="AR174" s="187" t="s">
        <v>148</v>
      </c>
      <c r="AS174" s="194"/>
      <c r="AT174" s="188"/>
      <c r="AU174" s="189"/>
      <c r="AV174" s="189"/>
      <c r="AW174" s="189"/>
      <c r="AX174" s="190"/>
      <c r="AY174" s="191"/>
      <c r="AZ174" s="192"/>
      <c r="BA174" s="91"/>
      <c r="BB174" s="91"/>
      <c r="BC174" s="91"/>
    </row>
    <row r="175" spans="1:55" ht="28" hidden="1" customHeight="1">
      <c r="A175" s="156">
        <v>170</v>
      </c>
      <c r="B175" s="182">
        <v>45068</v>
      </c>
      <c r="C175" s="87" t="s">
        <v>134</v>
      </c>
      <c r="D175" s="87" t="s">
        <v>135</v>
      </c>
      <c r="E175" s="87" t="s">
        <v>136</v>
      </c>
      <c r="F175" s="183" t="s">
        <v>265</v>
      </c>
      <c r="G175" s="184" t="s">
        <v>653</v>
      </c>
      <c r="H175" s="185" t="s">
        <v>110</v>
      </c>
      <c r="I175" s="184" t="s">
        <v>635</v>
      </c>
      <c r="J175" s="185" t="s">
        <v>654</v>
      </c>
      <c r="K175" s="185"/>
      <c r="L175" s="184" t="s">
        <v>389</v>
      </c>
      <c r="M175" s="184" t="s">
        <v>154</v>
      </c>
      <c r="N175" s="184" t="s">
        <v>659</v>
      </c>
      <c r="O175" s="184"/>
      <c r="P175" s="193"/>
      <c r="Q175" s="193"/>
      <c r="R175" s="236">
        <f>0</f>
        <v>0</v>
      </c>
      <c r="S175" s="102"/>
      <c r="T175" s="102"/>
      <c r="U175" s="102"/>
      <c r="V175" s="103">
        <v>1</v>
      </c>
      <c r="W175" s="102"/>
      <c r="X175" s="102"/>
      <c r="Y175" s="102"/>
      <c r="Z175" s="102"/>
      <c r="AA175" s="238"/>
      <c r="AB175" s="240"/>
      <c r="AC175" s="102"/>
      <c r="AD175" s="102"/>
      <c r="AE175" s="102"/>
      <c r="AF175" s="102"/>
      <c r="AG175" s="102"/>
      <c r="AH175" s="102"/>
      <c r="AI175" s="102"/>
      <c r="AJ175" s="102"/>
      <c r="AK175" s="238"/>
      <c r="AL175" s="263">
        <f t="shared" si="10"/>
        <v>1</v>
      </c>
      <c r="AM175" s="111">
        <f>0</f>
        <v>0</v>
      </c>
      <c r="AN175" s="265">
        <f t="shared" si="11"/>
        <v>1</v>
      </c>
      <c r="AO175" s="247">
        <v>45075</v>
      </c>
      <c r="AP175" s="186" t="s">
        <v>273</v>
      </c>
      <c r="AQ175" s="187" t="s">
        <v>663</v>
      </c>
      <c r="AR175" s="187" t="s">
        <v>148</v>
      </c>
      <c r="AS175" s="194"/>
      <c r="AT175" s="188"/>
      <c r="AU175" s="189"/>
      <c r="AV175" s="189"/>
      <c r="AW175" s="189"/>
      <c r="AX175" s="190"/>
      <c r="AY175" s="191"/>
      <c r="AZ175" s="192"/>
      <c r="BA175" s="91"/>
      <c r="BB175" s="91"/>
      <c r="BC175" s="91"/>
    </row>
    <row r="176" spans="1:55" ht="28" hidden="1" customHeight="1">
      <c r="A176" s="156">
        <v>171</v>
      </c>
      <c r="B176" s="182">
        <v>45068</v>
      </c>
      <c r="C176" s="87" t="s">
        <v>134</v>
      </c>
      <c r="D176" s="87" t="s">
        <v>135</v>
      </c>
      <c r="E176" s="87" t="s">
        <v>136</v>
      </c>
      <c r="F176" s="183" t="s">
        <v>265</v>
      </c>
      <c r="G176" s="184" t="s">
        <v>655</v>
      </c>
      <c r="H176" s="185" t="s">
        <v>110</v>
      </c>
      <c r="I176" s="184" t="s">
        <v>635</v>
      </c>
      <c r="J176" s="185" t="s">
        <v>656</v>
      </c>
      <c r="K176" s="185"/>
      <c r="L176" s="184" t="s">
        <v>389</v>
      </c>
      <c r="M176" s="184" t="s">
        <v>154</v>
      </c>
      <c r="N176" s="184" t="s">
        <v>659</v>
      </c>
      <c r="O176" s="184"/>
      <c r="P176" s="193"/>
      <c r="Q176" s="193"/>
      <c r="R176" s="236">
        <f>0</f>
        <v>0</v>
      </c>
      <c r="S176" s="102"/>
      <c r="T176" s="102"/>
      <c r="U176" s="102"/>
      <c r="V176" s="103">
        <v>1</v>
      </c>
      <c r="W176" s="102"/>
      <c r="X176" s="102"/>
      <c r="Y176" s="102"/>
      <c r="Z176" s="102"/>
      <c r="AA176" s="238"/>
      <c r="AB176" s="240"/>
      <c r="AC176" s="102"/>
      <c r="AD176" s="102"/>
      <c r="AE176" s="102"/>
      <c r="AF176" s="102"/>
      <c r="AG176" s="102"/>
      <c r="AH176" s="102"/>
      <c r="AI176" s="102"/>
      <c r="AJ176" s="102"/>
      <c r="AK176" s="238"/>
      <c r="AL176" s="263">
        <f t="shared" si="10"/>
        <v>1</v>
      </c>
      <c r="AM176" s="111">
        <f>0</f>
        <v>0</v>
      </c>
      <c r="AN176" s="265">
        <f t="shared" si="11"/>
        <v>1</v>
      </c>
      <c r="AO176" s="247">
        <v>45075</v>
      </c>
      <c r="AP176" s="186" t="s">
        <v>273</v>
      </c>
      <c r="AQ176" s="187" t="s">
        <v>663</v>
      </c>
      <c r="AR176" s="187" t="s">
        <v>148</v>
      </c>
      <c r="AS176" s="194"/>
      <c r="AT176" s="188"/>
      <c r="AU176" s="189"/>
      <c r="AV176" s="189"/>
      <c r="AW176" s="189"/>
      <c r="AX176" s="190"/>
      <c r="AY176" s="191"/>
      <c r="AZ176" s="192"/>
      <c r="BA176" s="91"/>
      <c r="BB176" s="91"/>
      <c r="BC176" s="91"/>
    </row>
    <row r="177" spans="1:55" ht="28" hidden="1" customHeight="1">
      <c r="A177" s="219">
        <v>172</v>
      </c>
      <c r="B177" s="182">
        <v>45079</v>
      </c>
      <c r="C177" s="87" t="s">
        <v>134</v>
      </c>
      <c r="D177" s="87" t="s">
        <v>135</v>
      </c>
      <c r="E177" s="87" t="s">
        <v>136</v>
      </c>
      <c r="F177" s="211" t="s">
        <v>668</v>
      </c>
      <c r="G177" s="211" t="s">
        <v>669</v>
      </c>
      <c r="H177" s="211" t="s">
        <v>110</v>
      </c>
      <c r="I177" s="220" t="s">
        <v>670</v>
      </c>
      <c r="J177" s="221" t="s">
        <v>671</v>
      </c>
      <c r="K177" s="211"/>
      <c r="L177" s="211" t="s">
        <v>672</v>
      </c>
      <c r="M177" s="211" t="s">
        <v>154</v>
      </c>
      <c r="N177" s="220"/>
      <c r="O177" s="220" t="s">
        <v>149</v>
      </c>
      <c r="P177" s="214"/>
      <c r="Q177" s="222"/>
      <c r="R177" s="236">
        <f>0</f>
        <v>0</v>
      </c>
      <c r="S177" s="195"/>
      <c r="T177" s="102"/>
      <c r="U177" s="102"/>
      <c r="V177" s="102"/>
      <c r="W177" s="196">
        <v>2</v>
      </c>
      <c r="X177" s="102"/>
      <c r="Y177" s="102"/>
      <c r="Z177" s="102"/>
      <c r="AA177" s="238"/>
      <c r="AB177" s="240"/>
      <c r="AC177" s="102"/>
      <c r="AD177" s="102"/>
      <c r="AE177" s="102"/>
      <c r="AF177" s="102"/>
      <c r="AG177" s="102"/>
      <c r="AH177" s="102"/>
      <c r="AI177" s="102"/>
      <c r="AJ177" s="102"/>
      <c r="AK177" s="238"/>
      <c r="AL177" s="263">
        <f t="shared" si="10"/>
        <v>2</v>
      </c>
      <c r="AM177" s="111">
        <f>0</f>
        <v>0</v>
      </c>
      <c r="AN177" s="264">
        <f t="shared" si="11"/>
        <v>2</v>
      </c>
      <c r="AO177" s="248">
        <v>45082</v>
      </c>
      <c r="AP177" s="215" t="s">
        <v>273</v>
      </c>
      <c r="AQ177" s="214" t="s">
        <v>869</v>
      </c>
      <c r="AR177" s="214" t="s">
        <v>148</v>
      </c>
      <c r="AS177" s="194"/>
      <c r="AT177" s="188"/>
      <c r="AU177" s="189"/>
      <c r="AV177" s="189"/>
      <c r="AW177" s="189"/>
      <c r="AX177" s="190"/>
      <c r="AY177" s="191"/>
      <c r="AZ177" s="192"/>
      <c r="BA177" s="91"/>
      <c r="BB177" s="91"/>
      <c r="BC177" s="91"/>
    </row>
    <row r="178" spans="1:55" ht="28" hidden="1" customHeight="1">
      <c r="A178" s="219">
        <v>173</v>
      </c>
      <c r="B178" s="182">
        <v>45079</v>
      </c>
      <c r="C178" s="87" t="s">
        <v>134</v>
      </c>
      <c r="D178" s="87" t="s">
        <v>135</v>
      </c>
      <c r="E178" s="87" t="s">
        <v>136</v>
      </c>
      <c r="F178" s="211" t="s">
        <v>668</v>
      </c>
      <c r="G178" s="211" t="s">
        <v>673</v>
      </c>
      <c r="H178" s="211" t="s">
        <v>110</v>
      </c>
      <c r="I178" s="220" t="s">
        <v>679</v>
      </c>
      <c r="J178" s="221" t="s">
        <v>674</v>
      </c>
      <c r="K178" s="211"/>
      <c r="L178" s="211" t="s">
        <v>153</v>
      </c>
      <c r="M178" s="211" t="s">
        <v>154</v>
      </c>
      <c r="N178" s="220"/>
      <c r="O178" s="220" t="s">
        <v>155</v>
      </c>
      <c r="P178" s="214"/>
      <c r="Q178" s="214"/>
      <c r="R178" s="236">
        <f>0</f>
        <v>0</v>
      </c>
      <c r="S178" s="102"/>
      <c r="T178" s="102"/>
      <c r="U178" s="102"/>
      <c r="V178" s="102"/>
      <c r="W178" s="196">
        <v>3</v>
      </c>
      <c r="X178" s="102"/>
      <c r="Y178" s="102"/>
      <c r="Z178" s="102"/>
      <c r="AA178" s="238"/>
      <c r="AB178" s="240"/>
      <c r="AC178" s="102"/>
      <c r="AD178" s="102"/>
      <c r="AE178" s="102"/>
      <c r="AF178" s="102"/>
      <c r="AG178" s="102"/>
      <c r="AH178" s="102"/>
      <c r="AI178" s="102"/>
      <c r="AJ178" s="102"/>
      <c r="AK178" s="238"/>
      <c r="AL178" s="263">
        <f t="shared" si="10"/>
        <v>3</v>
      </c>
      <c r="AM178" s="111">
        <f>0</f>
        <v>0</v>
      </c>
      <c r="AN178" s="264">
        <f t="shared" si="11"/>
        <v>3</v>
      </c>
      <c r="AO178" s="248">
        <v>45082</v>
      </c>
      <c r="AP178" s="215" t="s">
        <v>273</v>
      </c>
      <c r="AQ178" s="214" t="s">
        <v>869</v>
      </c>
      <c r="AR178" s="214" t="s">
        <v>148</v>
      </c>
      <c r="AS178" s="194"/>
      <c r="AT178" s="188"/>
      <c r="AU178" s="189"/>
      <c r="AV178" s="189"/>
      <c r="AW178" s="189"/>
      <c r="AX178" s="190"/>
      <c r="AY178" s="191"/>
      <c r="AZ178" s="192"/>
      <c r="BA178" s="91"/>
      <c r="BB178" s="91"/>
      <c r="BC178" s="91"/>
    </row>
    <row r="179" spans="1:55" ht="28" hidden="1" customHeight="1">
      <c r="A179" s="219">
        <v>174</v>
      </c>
      <c r="B179" s="182">
        <v>45079</v>
      </c>
      <c r="C179" s="87" t="s">
        <v>134</v>
      </c>
      <c r="D179" s="87" t="s">
        <v>135</v>
      </c>
      <c r="E179" s="87" t="s">
        <v>136</v>
      </c>
      <c r="F179" s="211" t="s">
        <v>668</v>
      </c>
      <c r="G179" s="211" t="s">
        <v>675</v>
      </c>
      <c r="H179" s="211" t="s">
        <v>110</v>
      </c>
      <c r="I179" s="220" t="s">
        <v>676</v>
      </c>
      <c r="J179" s="221" t="s">
        <v>677</v>
      </c>
      <c r="K179" s="211"/>
      <c r="L179" s="211" t="s">
        <v>153</v>
      </c>
      <c r="M179" s="211" t="s">
        <v>481</v>
      </c>
      <c r="N179" s="220"/>
      <c r="O179" s="220" t="s">
        <v>155</v>
      </c>
      <c r="P179" s="214"/>
      <c r="Q179" s="214"/>
      <c r="R179" s="236">
        <f>0</f>
        <v>0</v>
      </c>
      <c r="S179" s="102"/>
      <c r="T179" s="102"/>
      <c r="U179" s="102"/>
      <c r="V179" s="102"/>
      <c r="W179" s="196">
        <v>1</v>
      </c>
      <c r="X179" s="102"/>
      <c r="Y179" s="102"/>
      <c r="Z179" s="102"/>
      <c r="AA179" s="238"/>
      <c r="AB179" s="240"/>
      <c r="AC179" s="102"/>
      <c r="AD179" s="102"/>
      <c r="AE179" s="102"/>
      <c r="AF179" s="102"/>
      <c r="AG179" s="102"/>
      <c r="AH179" s="102"/>
      <c r="AI179" s="102"/>
      <c r="AJ179" s="102"/>
      <c r="AK179" s="238"/>
      <c r="AL179" s="263">
        <f t="shared" si="10"/>
        <v>1</v>
      </c>
      <c r="AM179" s="111">
        <f>0</f>
        <v>0</v>
      </c>
      <c r="AN179" s="264">
        <f t="shared" si="11"/>
        <v>1</v>
      </c>
      <c r="AO179" s="248">
        <v>45082</v>
      </c>
      <c r="AP179" s="215" t="s">
        <v>273</v>
      </c>
      <c r="AQ179" s="214" t="s">
        <v>869</v>
      </c>
      <c r="AR179" s="214" t="s">
        <v>148</v>
      </c>
      <c r="AS179" s="194"/>
      <c r="AT179" s="188"/>
      <c r="AU179" s="189"/>
      <c r="AV179" s="189"/>
      <c r="AW179" s="189"/>
      <c r="AX179" s="190"/>
      <c r="AY179" s="191"/>
      <c r="AZ179" s="192"/>
      <c r="BA179" s="91"/>
      <c r="BB179" s="91"/>
      <c r="BC179" s="91"/>
    </row>
    <row r="180" spans="1:55" ht="28" hidden="1" customHeight="1">
      <c r="A180" s="219">
        <v>175</v>
      </c>
      <c r="B180" s="182">
        <v>45079</v>
      </c>
      <c r="C180" s="87" t="s">
        <v>134</v>
      </c>
      <c r="D180" s="87" t="s">
        <v>135</v>
      </c>
      <c r="E180" s="87" t="s">
        <v>136</v>
      </c>
      <c r="F180" s="211" t="s">
        <v>668</v>
      </c>
      <c r="G180" s="211" t="s">
        <v>680</v>
      </c>
      <c r="H180" s="211" t="s">
        <v>110</v>
      </c>
      <c r="I180" s="220" t="s">
        <v>681</v>
      </c>
      <c r="J180" s="221" t="s">
        <v>682</v>
      </c>
      <c r="K180" s="211"/>
      <c r="L180" s="211" t="s">
        <v>320</v>
      </c>
      <c r="M180" s="211" t="s">
        <v>154</v>
      </c>
      <c r="N180" s="220"/>
      <c r="O180" s="220" t="s">
        <v>155</v>
      </c>
      <c r="P180" s="214"/>
      <c r="Q180" s="214"/>
      <c r="R180" s="236">
        <f>0</f>
        <v>0</v>
      </c>
      <c r="S180" s="102"/>
      <c r="T180" s="102"/>
      <c r="U180" s="102"/>
      <c r="V180" s="102"/>
      <c r="W180" s="196">
        <v>2</v>
      </c>
      <c r="X180" s="102"/>
      <c r="Y180" s="102"/>
      <c r="Z180" s="102"/>
      <c r="AA180" s="238"/>
      <c r="AB180" s="240"/>
      <c r="AC180" s="102"/>
      <c r="AD180" s="102"/>
      <c r="AE180" s="102"/>
      <c r="AF180" s="102"/>
      <c r="AG180" s="102"/>
      <c r="AH180" s="102"/>
      <c r="AI180" s="102"/>
      <c r="AJ180" s="102"/>
      <c r="AK180" s="238"/>
      <c r="AL180" s="263">
        <f t="shared" si="10"/>
        <v>2</v>
      </c>
      <c r="AM180" s="111">
        <f>0</f>
        <v>0</v>
      </c>
      <c r="AN180" s="264">
        <f t="shared" si="11"/>
        <v>2</v>
      </c>
      <c r="AO180" s="248">
        <v>45082</v>
      </c>
      <c r="AP180" s="215" t="s">
        <v>273</v>
      </c>
      <c r="AQ180" s="214" t="s">
        <v>869</v>
      </c>
      <c r="AR180" s="214" t="s">
        <v>148</v>
      </c>
      <c r="AS180" s="194"/>
      <c r="AT180" s="188"/>
      <c r="AU180" s="189"/>
      <c r="AV180" s="189"/>
      <c r="AW180" s="189"/>
      <c r="AX180" s="190"/>
      <c r="AY180" s="191"/>
      <c r="AZ180" s="192"/>
      <c r="BA180" s="91"/>
      <c r="BB180" s="91"/>
      <c r="BC180" s="91"/>
    </row>
    <row r="181" spans="1:55" ht="28" hidden="1" customHeight="1">
      <c r="A181" s="219">
        <v>176</v>
      </c>
      <c r="B181" s="182">
        <v>45079</v>
      </c>
      <c r="C181" s="87" t="s">
        <v>134</v>
      </c>
      <c r="D181" s="87" t="s">
        <v>135</v>
      </c>
      <c r="E181" s="87" t="s">
        <v>136</v>
      </c>
      <c r="F181" s="211" t="s">
        <v>668</v>
      </c>
      <c r="G181" s="211" t="s">
        <v>683</v>
      </c>
      <c r="H181" s="211" t="s">
        <v>110</v>
      </c>
      <c r="I181" s="220" t="s">
        <v>685</v>
      </c>
      <c r="J181" s="221" t="s">
        <v>684</v>
      </c>
      <c r="K181" s="211"/>
      <c r="L181" s="211" t="s">
        <v>153</v>
      </c>
      <c r="M181" s="211" t="s">
        <v>154</v>
      </c>
      <c r="N181" s="220"/>
      <c r="O181" s="220" t="s">
        <v>155</v>
      </c>
      <c r="P181" s="214"/>
      <c r="Q181" s="214"/>
      <c r="R181" s="236">
        <f>0</f>
        <v>0</v>
      </c>
      <c r="S181" s="102"/>
      <c r="T181" s="102"/>
      <c r="U181" s="102"/>
      <c r="V181" s="102"/>
      <c r="W181" s="196">
        <v>1</v>
      </c>
      <c r="X181" s="102"/>
      <c r="Y181" s="102"/>
      <c r="Z181" s="102"/>
      <c r="AA181" s="238"/>
      <c r="AB181" s="240"/>
      <c r="AC181" s="102"/>
      <c r="AD181" s="102"/>
      <c r="AE181" s="102"/>
      <c r="AF181" s="102"/>
      <c r="AG181" s="102"/>
      <c r="AH181" s="102"/>
      <c r="AI181" s="102"/>
      <c r="AJ181" s="102"/>
      <c r="AK181" s="238"/>
      <c r="AL181" s="263">
        <f t="shared" si="10"/>
        <v>1</v>
      </c>
      <c r="AM181" s="111">
        <f>0</f>
        <v>0</v>
      </c>
      <c r="AN181" s="264">
        <f t="shared" si="11"/>
        <v>1</v>
      </c>
      <c r="AO181" s="248">
        <v>45082</v>
      </c>
      <c r="AP181" s="215" t="s">
        <v>273</v>
      </c>
      <c r="AQ181" s="214" t="s">
        <v>869</v>
      </c>
      <c r="AR181" s="214" t="s">
        <v>148</v>
      </c>
      <c r="AS181" s="194"/>
      <c r="AT181" s="188"/>
      <c r="AU181" s="189"/>
      <c r="AV181" s="189"/>
      <c r="AW181" s="189"/>
      <c r="AX181" s="190"/>
      <c r="AY181" s="191"/>
      <c r="AZ181" s="192"/>
      <c r="BA181" s="91"/>
      <c r="BB181" s="91"/>
      <c r="BC181" s="91"/>
    </row>
    <row r="182" spans="1:55" ht="28" hidden="1" customHeight="1">
      <c r="A182" s="219">
        <v>177</v>
      </c>
      <c r="B182" s="182">
        <v>45079</v>
      </c>
      <c r="C182" s="87" t="s">
        <v>134</v>
      </c>
      <c r="D182" s="87" t="s">
        <v>135</v>
      </c>
      <c r="E182" s="87" t="s">
        <v>136</v>
      </c>
      <c r="F182" s="211" t="s">
        <v>668</v>
      </c>
      <c r="G182" s="211" t="s">
        <v>680</v>
      </c>
      <c r="H182" s="211" t="s">
        <v>110</v>
      </c>
      <c r="I182" s="220" t="s">
        <v>681</v>
      </c>
      <c r="J182" s="221" t="s">
        <v>682</v>
      </c>
      <c r="K182" s="211"/>
      <c r="L182" s="211" t="s">
        <v>320</v>
      </c>
      <c r="M182" s="211" t="s">
        <v>154</v>
      </c>
      <c r="N182" s="220"/>
      <c r="O182" s="220" t="s">
        <v>155</v>
      </c>
      <c r="P182" s="214"/>
      <c r="Q182" s="214"/>
      <c r="R182" s="236">
        <f>0</f>
        <v>0</v>
      </c>
      <c r="S182" s="102"/>
      <c r="T182" s="102"/>
      <c r="U182" s="102"/>
      <c r="V182" s="102"/>
      <c r="W182" s="196">
        <v>1</v>
      </c>
      <c r="X182" s="102"/>
      <c r="Y182" s="102"/>
      <c r="Z182" s="102"/>
      <c r="AA182" s="238"/>
      <c r="AB182" s="240"/>
      <c r="AC182" s="102"/>
      <c r="AD182" s="102"/>
      <c r="AE182" s="102"/>
      <c r="AF182" s="102"/>
      <c r="AG182" s="102"/>
      <c r="AH182" s="102"/>
      <c r="AI182" s="102"/>
      <c r="AJ182" s="102"/>
      <c r="AK182" s="238"/>
      <c r="AL182" s="263">
        <f t="shared" si="10"/>
        <v>1</v>
      </c>
      <c r="AM182" s="111">
        <f>0</f>
        <v>0</v>
      </c>
      <c r="AN182" s="264">
        <f t="shared" si="11"/>
        <v>1</v>
      </c>
      <c r="AO182" s="248">
        <v>45082</v>
      </c>
      <c r="AP182" s="215" t="s">
        <v>273</v>
      </c>
      <c r="AQ182" s="214" t="s">
        <v>869</v>
      </c>
      <c r="AR182" s="214" t="s">
        <v>148</v>
      </c>
      <c r="AS182" s="194"/>
      <c r="AT182" s="188"/>
      <c r="AU182" s="189"/>
      <c r="AV182" s="189"/>
      <c r="AW182" s="189"/>
      <c r="AX182" s="190"/>
      <c r="AY182" s="191"/>
      <c r="AZ182" s="192"/>
      <c r="BA182" s="91"/>
      <c r="BB182" s="91"/>
      <c r="BC182" s="91"/>
    </row>
    <row r="183" spans="1:55" ht="28" hidden="1" customHeight="1">
      <c r="A183" s="219">
        <v>178</v>
      </c>
      <c r="B183" s="182">
        <v>45079</v>
      </c>
      <c r="C183" s="87" t="s">
        <v>134</v>
      </c>
      <c r="D183" s="87" t="s">
        <v>135</v>
      </c>
      <c r="E183" s="87" t="s">
        <v>136</v>
      </c>
      <c r="F183" s="211" t="s">
        <v>668</v>
      </c>
      <c r="G183" s="211" t="s">
        <v>686</v>
      </c>
      <c r="H183" s="211" t="s">
        <v>110</v>
      </c>
      <c r="I183" s="220" t="s">
        <v>687</v>
      </c>
      <c r="J183" s="221" t="s">
        <v>696</v>
      </c>
      <c r="K183" s="211"/>
      <c r="L183" s="211" t="s">
        <v>153</v>
      </c>
      <c r="M183" s="211" t="s">
        <v>481</v>
      </c>
      <c r="N183" s="220"/>
      <c r="O183" s="220" t="s">
        <v>155</v>
      </c>
      <c r="P183" s="214"/>
      <c r="Q183" s="214"/>
      <c r="R183" s="236">
        <f>0</f>
        <v>0</v>
      </c>
      <c r="S183" s="102"/>
      <c r="T183" s="102"/>
      <c r="U183" s="102"/>
      <c r="V183" s="102"/>
      <c r="W183" s="196">
        <v>1</v>
      </c>
      <c r="X183" s="102"/>
      <c r="Y183" s="102"/>
      <c r="Z183" s="102"/>
      <c r="AA183" s="238"/>
      <c r="AB183" s="240"/>
      <c r="AC183" s="102"/>
      <c r="AD183" s="102"/>
      <c r="AE183" s="102"/>
      <c r="AF183" s="102"/>
      <c r="AG183" s="102"/>
      <c r="AH183" s="102"/>
      <c r="AI183" s="102"/>
      <c r="AJ183" s="102"/>
      <c r="AK183" s="238"/>
      <c r="AL183" s="263">
        <f t="shared" si="10"/>
        <v>1</v>
      </c>
      <c r="AM183" s="111">
        <f>0</f>
        <v>0</v>
      </c>
      <c r="AN183" s="264">
        <f t="shared" si="11"/>
        <v>1</v>
      </c>
      <c r="AO183" s="248">
        <v>45082</v>
      </c>
      <c r="AP183" s="215" t="s">
        <v>273</v>
      </c>
      <c r="AQ183" s="214" t="s">
        <v>869</v>
      </c>
      <c r="AR183" s="214" t="s">
        <v>148</v>
      </c>
      <c r="AS183" s="194"/>
      <c r="AT183" s="188"/>
      <c r="AU183" s="189"/>
      <c r="AV183" s="189"/>
      <c r="AW183" s="189"/>
      <c r="AX183" s="190"/>
      <c r="AY183" s="191"/>
      <c r="AZ183" s="192"/>
      <c r="BA183" s="91"/>
      <c r="BB183" s="91"/>
      <c r="BC183" s="91"/>
    </row>
    <row r="184" spans="1:55" ht="28" hidden="1" customHeight="1">
      <c r="A184" s="219">
        <v>179</v>
      </c>
      <c r="B184" s="182">
        <v>45079</v>
      </c>
      <c r="C184" s="87" t="s">
        <v>134</v>
      </c>
      <c r="D184" s="87" t="s">
        <v>135</v>
      </c>
      <c r="E184" s="87" t="s">
        <v>136</v>
      </c>
      <c r="F184" s="211" t="s">
        <v>668</v>
      </c>
      <c r="G184" s="211" t="s">
        <v>688</v>
      </c>
      <c r="H184" s="211" t="s">
        <v>110</v>
      </c>
      <c r="I184" s="220" t="s">
        <v>695</v>
      </c>
      <c r="J184" s="221" t="s">
        <v>689</v>
      </c>
      <c r="K184" s="211"/>
      <c r="L184" s="211" t="s">
        <v>153</v>
      </c>
      <c r="M184" s="211" t="s">
        <v>154</v>
      </c>
      <c r="N184" s="220"/>
      <c r="O184" s="220" t="s">
        <v>155</v>
      </c>
      <c r="P184" s="214"/>
      <c r="Q184" s="214"/>
      <c r="R184" s="236">
        <f>0</f>
        <v>0</v>
      </c>
      <c r="S184" s="102"/>
      <c r="T184" s="102"/>
      <c r="U184" s="102"/>
      <c r="V184" s="102"/>
      <c r="W184" s="196">
        <v>1</v>
      </c>
      <c r="X184" s="102"/>
      <c r="Y184" s="102"/>
      <c r="Z184" s="102"/>
      <c r="AA184" s="238"/>
      <c r="AB184" s="240"/>
      <c r="AC184" s="102"/>
      <c r="AD184" s="102"/>
      <c r="AE184" s="102"/>
      <c r="AF184" s="102"/>
      <c r="AG184" s="102"/>
      <c r="AH184" s="102"/>
      <c r="AI184" s="102"/>
      <c r="AJ184" s="102"/>
      <c r="AK184" s="238"/>
      <c r="AL184" s="263">
        <f t="shared" si="10"/>
        <v>1</v>
      </c>
      <c r="AM184" s="111">
        <f>0</f>
        <v>0</v>
      </c>
      <c r="AN184" s="264">
        <f t="shared" si="11"/>
        <v>1</v>
      </c>
      <c r="AO184" s="248">
        <v>45082</v>
      </c>
      <c r="AP184" s="215" t="s">
        <v>273</v>
      </c>
      <c r="AQ184" s="214" t="s">
        <v>869</v>
      </c>
      <c r="AR184" s="214" t="s">
        <v>148</v>
      </c>
      <c r="AS184" s="194"/>
      <c r="AT184" s="188"/>
      <c r="AU184" s="189"/>
      <c r="AV184" s="189"/>
      <c r="AW184" s="189"/>
      <c r="AX184" s="190"/>
      <c r="AY184" s="191"/>
      <c r="AZ184" s="192"/>
      <c r="BA184" s="91"/>
      <c r="BB184" s="91"/>
      <c r="BC184" s="91"/>
    </row>
    <row r="185" spans="1:55" ht="28" hidden="1" customHeight="1">
      <c r="A185" s="219">
        <v>180</v>
      </c>
      <c r="B185" s="182">
        <v>45079</v>
      </c>
      <c r="C185" s="87" t="s">
        <v>134</v>
      </c>
      <c r="D185" s="87" t="s">
        <v>135</v>
      </c>
      <c r="E185" s="87" t="s">
        <v>136</v>
      </c>
      <c r="F185" s="211" t="s">
        <v>668</v>
      </c>
      <c r="G185" s="211" t="s">
        <v>690</v>
      </c>
      <c r="H185" s="211" t="s">
        <v>110</v>
      </c>
      <c r="I185" s="220" t="s">
        <v>691</v>
      </c>
      <c r="J185" s="221" t="s">
        <v>692</v>
      </c>
      <c r="K185" s="211"/>
      <c r="L185" s="211" t="s">
        <v>153</v>
      </c>
      <c r="M185" s="211" t="s">
        <v>481</v>
      </c>
      <c r="N185" s="220"/>
      <c r="O185" s="220" t="s">
        <v>155</v>
      </c>
      <c r="P185" s="214"/>
      <c r="Q185" s="214"/>
      <c r="R185" s="236">
        <f>0</f>
        <v>0</v>
      </c>
      <c r="S185" s="102"/>
      <c r="T185" s="102"/>
      <c r="U185" s="102"/>
      <c r="V185" s="102"/>
      <c r="W185" s="196">
        <v>1</v>
      </c>
      <c r="X185" s="102"/>
      <c r="Y185" s="102"/>
      <c r="Z185" s="102"/>
      <c r="AA185" s="238"/>
      <c r="AB185" s="240"/>
      <c r="AC185" s="102"/>
      <c r="AD185" s="102"/>
      <c r="AE185" s="102"/>
      <c r="AF185" s="102"/>
      <c r="AG185" s="102"/>
      <c r="AH185" s="102"/>
      <c r="AI185" s="102"/>
      <c r="AJ185" s="102"/>
      <c r="AK185" s="238"/>
      <c r="AL185" s="263">
        <f t="shared" si="10"/>
        <v>1</v>
      </c>
      <c r="AM185" s="111">
        <f>0</f>
        <v>0</v>
      </c>
      <c r="AN185" s="264">
        <f t="shared" si="11"/>
        <v>1</v>
      </c>
      <c r="AO185" s="248">
        <v>45082</v>
      </c>
      <c r="AP185" s="215" t="s">
        <v>273</v>
      </c>
      <c r="AQ185" s="214" t="s">
        <v>869</v>
      </c>
      <c r="AR185" s="214" t="s">
        <v>148</v>
      </c>
      <c r="AS185" s="194"/>
      <c r="AT185" s="188"/>
      <c r="AU185" s="189"/>
      <c r="AV185" s="189"/>
      <c r="AW185" s="189"/>
      <c r="AX185" s="190"/>
      <c r="AY185" s="191"/>
      <c r="AZ185" s="192"/>
      <c r="BA185" s="91"/>
      <c r="BB185" s="91"/>
      <c r="BC185" s="91"/>
    </row>
    <row r="186" spans="1:55" ht="28" hidden="1" customHeight="1">
      <c r="A186" s="219">
        <v>181</v>
      </c>
      <c r="B186" s="182">
        <v>45079</v>
      </c>
      <c r="C186" s="87" t="s">
        <v>134</v>
      </c>
      <c r="D186" s="87" t="s">
        <v>135</v>
      </c>
      <c r="E186" s="87" t="s">
        <v>136</v>
      </c>
      <c r="F186" s="211" t="s">
        <v>668</v>
      </c>
      <c r="G186" s="211" t="s">
        <v>694</v>
      </c>
      <c r="H186" s="211" t="s">
        <v>110</v>
      </c>
      <c r="I186" s="220" t="s">
        <v>693</v>
      </c>
      <c r="J186" s="221" t="s">
        <v>697</v>
      </c>
      <c r="K186" s="211"/>
      <c r="L186" s="211" t="s">
        <v>193</v>
      </c>
      <c r="M186" s="211" t="s">
        <v>154</v>
      </c>
      <c r="N186" s="220"/>
      <c r="O186" s="220" t="s">
        <v>172</v>
      </c>
      <c r="P186" s="214"/>
      <c r="Q186" s="214"/>
      <c r="R186" s="236">
        <f>0</f>
        <v>0</v>
      </c>
      <c r="S186" s="102"/>
      <c r="T186" s="102"/>
      <c r="U186" s="102"/>
      <c r="V186" s="102"/>
      <c r="W186" s="196">
        <v>1</v>
      </c>
      <c r="X186" s="102"/>
      <c r="Y186" s="102"/>
      <c r="Z186" s="102"/>
      <c r="AA186" s="238"/>
      <c r="AB186" s="240"/>
      <c r="AC186" s="102"/>
      <c r="AD186" s="102"/>
      <c r="AE186" s="102"/>
      <c r="AF186" s="102"/>
      <c r="AG186" s="102"/>
      <c r="AH186" s="102"/>
      <c r="AI186" s="102"/>
      <c r="AJ186" s="102"/>
      <c r="AK186" s="238"/>
      <c r="AL186" s="263">
        <f t="shared" si="10"/>
        <v>1</v>
      </c>
      <c r="AM186" s="111">
        <f>0</f>
        <v>0</v>
      </c>
      <c r="AN186" s="264">
        <f t="shared" si="11"/>
        <v>1</v>
      </c>
      <c r="AO186" s="248">
        <v>45082</v>
      </c>
      <c r="AP186" s="215" t="s">
        <v>273</v>
      </c>
      <c r="AQ186" s="214" t="s">
        <v>869</v>
      </c>
      <c r="AR186" s="214" t="s">
        <v>148</v>
      </c>
      <c r="AS186" s="194"/>
      <c r="AT186" s="188"/>
      <c r="AU186" s="189"/>
      <c r="AV186" s="189"/>
      <c r="AW186" s="189"/>
      <c r="AX186" s="190"/>
      <c r="AY186" s="191"/>
      <c r="AZ186" s="192"/>
      <c r="BA186" s="91"/>
      <c r="BB186" s="91"/>
      <c r="BC186" s="91"/>
    </row>
    <row r="187" spans="1:55" ht="28" hidden="1" customHeight="1">
      <c r="A187" s="219">
        <v>182</v>
      </c>
      <c r="B187" s="182">
        <v>45079</v>
      </c>
      <c r="C187" s="87" t="s">
        <v>134</v>
      </c>
      <c r="D187" s="87" t="s">
        <v>135</v>
      </c>
      <c r="E187" s="87" t="s">
        <v>136</v>
      </c>
      <c r="F187" s="211" t="s">
        <v>668</v>
      </c>
      <c r="G187" s="211" t="s">
        <v>700</v>
      </c>
      <c r="H187" s="211" t="s">
        <v>110</v>
      </c>
      <c r="I187" s="221" t="s">
        <v>698</v>
      </c>
      <c r="J187" s="221" t="s">
        <v>699</v>
      </c>
      <c r="K187" s="211"/>
      <c r="L187" s="211" t="s">
        <v>209</v>
      </c>
      <c r="M187" s="211" t="s">
        <v>114</v>
      </c>
      <c r="N187" s="220"/>
      <c r="O187" s="220"/>
      <c r="P187" s="214"/>
      <c r="Q187" s="214"/>
      <c r="R187" s="236">
        <f>0</f>
        <v>0</v>
      </c>
      <c r="S187" s="102"/>
      <c r="T187" s="102"/>
      <c r="U187" s="102"/>
      <c r="V187" s="102"/>
      <c r="W187" s="196">
        <v>1</v>
      </c>
      <c r="X187" s="102"/>
      <c r="Y187" s="102"/>
      <c r="Z187" s="102"/>
      <c r="AA187" s="238"/>
      <c r="AB187" s="240"/>
      <c r="AC187" s="102"/>
      <c r="AD187" s="102"/>
      <c r="AE187" s="102"/>
      <c r="AF187" s="102"/>
      <c r="AG187" s="102"/>
      <c r="AH187" s="102"/>
      <c r="AI187" s="102"/>
      <c r="AJ187" s="102"/>
      <c r="AK187" s="238"/>
      <c r="AL187" s="263">
        <f t="shared" si="10"/>
        <v>1</v>
      </c>
      <c r="AM187" s="111">
        <f>0</f>
        <v>0</v>
      </c>
      <c r="AN187" s="264">
        <f t="shared" si="11"/>
        <v>1</v>
      </c>
      <c r="AO187" s="248">
        <v>45082</v>
      </c>
      <c r="AP187" s="215" t="s">
        <v>273</v>
      </c>
      <c r="AQ187" s="214" t="s">
        <v>898</v>
      </c>
      <c r="AR187" s="214" t="s">
        <v>276</v>
      </c>
      <c r="AS187" s="194"/>
      <c r="AT187" s="188"/>
      <c r="AU187" s="189"/>
      <c r="AV187" s="189"/>
      <c r="AW187" s="189"/>
      <c r="AX187" s="190"/>
      <c r="AY187" s="191"/>
      <c r="AZ187" s="192"/>
      <c r="BA187" s="91"/>
      <c r="BB187" s="91"/>
      <c r="BC187" s="91"/>
    </row>
    <row r="188" spans="1:55" ht="28" hidden="1" customHeight="1">
      <c r="A188" s="219">
        <v>183</v>
      </c>
      <c r="B188" s="182">
        <v>45079</v>
      </c>
      <c r="C188" s="87" t="s">
        <v>134</v>
      </c>
      <c r="D188" s="87" t="s">
        <v>135</v>
      </c>
      <c r="E188" s="87" t="s">
        <v>136</v>
      </c>
      <c r="F188" s="211" t="s">
        <v>668</v>
      </c>
      <c r="G188" s="211" t="s">
        <v>701</v>
      </c>
      <c r="H188" s="211" t="s">
        <v>110</v>
      </c>
      <c r="I188" s="220" t="s">
        <v>702</v>
      </c>
      <c r="J188" s="221" t="s">
        <v>703</v>
      </c>
      <c r="K188" s="211" t="s">
        <v>80</v>
      </c>
      <c r="L188" s="211" t="s">
        <v>304</v>
      </c>
      <c r="M188" s="211" t="s">
        <v>481</v>
      </c>
      <c r="N188" s="220" t="s">
        <v>80</v>
      </c>
      <c r="O188" s="220" t="s">
        <v>704</v>
      </c>
      <c r="P188" s="214"/>
      <c r="Q188" s="214"/>
      <c r="R188" s="236">
        <f>0</f>
        <v>0</v>
      </c>
      <c r="S188" s="102"/>
      <c r="T188" s="102"/>
      <c r="U188" s="102"/>
      <c r="V188" s="102"/>
      <c r="W188" s="196">
        <v>1</v>
      </c>
      <c r="X188" s="102"/>
      <c r="Y188" s="102"/>
      <c r="Z188" s="102"/>
      <c r="AA188" s="238"/>
      <c r="AB188" s="240"/>
      <c r="AC188" s="102"/>
      <c r="AD188" s="102"/>
      <c r="AE188" s="102"/>
      <c r="AF188" s="102"/>
      <c r="AG188" s="102"/>
      <c r="AH188" s="102"/>
      <c r="AI188" s="102"/>
      <c r="AJ188" s="102"/>
      <c r="AK188" s="238"/>
      <c r="AL188" s="263">
        <f t="shared" si="10"/>
        <v>1</v>
      </c>
      <c r="AM188" s="111">
        <f>0</f>
        <v>0</v>
      </c>
      <c r="AN188" s="264">
        <f t="shared" si="11"/>
        <v>1</v>
      </c>
      <c r="AO188" s="248">
        <v>45082</v>
      </c>
      <c r="AP188" s="215" t="s">
        <v>273</v>
      </c>
      <c r="AQ188" s="214" t="s">
        <v>869</v>
      </c>
      <c r="AR188" s="214" t="s">
        <v>148</v>
      </c>
      <c r="AS188" s="194"/>
      <c r="AT188" s="188"/>
      <c r="AU188" s="189"/>
      <c r="AV188" s="189"/>
      <c r="AW188" s="189"/>
      <c r="AX188" s="190"/>
      <c r="AY188" s="191"/>
      <c r="AZ188" s="192"/>
      <c r="BA188" s="91"/>
      <c r="BB188" s="91"/>
      <c r="BC188" s="91"/>
    </row>
    <row r="189" spans="1:55" ht="28" hidden="1" customHeight="1">
      <c r="A189" s="219">
        <v>184</v>
      </c>
      <c r="B189" s="182">
        <v>45079</v>
      </c>
      <c r="C189" s="197"/>
      <c r="D189" s="198"/>
      <c r="E189" s="198"/>
      <c r="F189" s="211" t="s">
        <v>668</v>
      </c>
      <c r="G189" s="211" t="s">
        <v>1225</v>
      </c>
      <c r="H189" s="211" t="s">
        <v>110</v>
      </c>
      <c r="I189" s="220" t="s">
        <v>702</v>
      </c>
      <c r="J189" s="221" t="s">
        <v>743</v>
      </c>
      <c r="K189" s="211" t="s">
        <v>80</v>
      </c>
      <c r="L189" s="211" t="s">
        <v>304</v>
      </c>
      <c r="M189" s="211" t="s">
        <v>481</v>
      </c>
      <c r="N189" s="220" t="s">
        <v>80</v>
      </c>
      <c r="O189" s="220" t="s">
        <v>704</v>
      </c>
      <c r="P189" s="223"/>
      <c r="Q189" s="223"/>
      <c r="R189" s="236">
        <f>0</f>
        <v>0</v>
      </c>
      <c r="S189" s="102"/>
      <c r="T189" s="102"/>
      <c r="U189" s="102"/>
      <c r="V189" s="102"/>
      <c r="W189" s="196">
        <v>1</v>
      </c>
      <c r="X189" s="102"/>
      <c r="Y189" s="102"/>
      <c r="Z189" s="102"/>
      <c r="AA189" s="238"/>
      <c r="AB189" s="240"/>
      <c r="AC189" s="102"/>
      <c r="AD189" s="102"/>
      <c r="AE189" s="102"/>
      <c r="AF189" s="102"/>
      <c r="AG189" s="102"/>
      <c r="AH189" s="102"/>
      <c r="AI189" s="102"/>
      <c r="AJ189" s="102"/>
      <c r="AK189" s="238"/>
      <c r="AL189" s="263">
        <f t="shared" si="10"/>
        <v>1</v>
      </c>
      <c r="AM189" s="111">
        <f>0</f>
        <v>0</v>
      </c>
      <c r="AN189" s="264">
        <f t="shared" si="11"/>
        <v>1</v>
      </c>
      <c r="AO189" s="248">
        <v>45082</v>
      </c>
      <c r="AP189" s="215" t="s">
        <v>273</v>
      </c>
      <c r="AQ189" s="214" t="s">
        <v>869</v>
      </c>
      <c r="AR189" s="214" t="s">
        <v>148</v>
      </c>
      <c r="AS189" s="194"/>
      <c r="AT189" s="188"/>
      <c r="AU189" s="189"/>
      <c r="AV189" s="189"/>
      <c r="AW189" s="189"/>
      <c r="AX189" s="190"/>
      <c r="AY189" s="191"/>
      <c r="AZ189" s="192"/>
      <c r="BA189" s="91"/>
      <c r="BB189" s="91"/>
      <c r="BC189" s="91"/>
    </row>
    <row r="190" spans="1:55" ht="28" hidden="1" customHeight="1">
      <c r="A190" s="219">
        <v>185</v>
      </c>
      <c r="B190" s="182">
        <v>45079</v>
      </c>
      <c r="C190" s="87" t="s">
        <v>134</v>
      </c>
      <c r="D190" s="87" t="s">
        <v>135</v>
      </c>
      <c r="E190" s="87" t="s">
        <v>136</v>
      </c>
      <c r="F190" s="211" t="s">
        <v>668</v>
      </c>
      <c r="G190" s="211" t="s">
        <v>705</v>
      </c>
      <c r="H190" s="211" t="s">
        <v>110</v>
      </c>
      <c r="I190" s="220" t="s">
        <v>706</v>
      </c>
      <c r="J190" s="221" t="s">
        <v>707</v>
      </c>
      <c r="K190" s="211"/>
      <c r="L190" s="211" t="s">
        <v>304</v>
      </c>
      <c r="M190" s="211" t="s">
        <v>154</v>
      </c>
      <c r="N190" s="220"/>
      <c r="O190" s="220" t="s">
        <v>704</v>
      </c>
      <c r="P190" s="214"/>
      <c r="Q190" s="214"/>
      <c r="R190" s="236">
        <f>0</f>
        <v>0</v>
      </c>
      <c r="S190" s="102"/>
      <c r="T190" s="102"/>
      <c r="U190" s="102"/>
      <c r="V190" s="102"/>
      <c r="W190" s="196">
        <v>4</v>
      </c>
      <c r="X190" s="102"/>
      <c r="Y190" s="102"/>
      <c r="Z190" s="102"/>
      <c r="AA190" s="238"/>
      <c r="AB190" s="240"/>
      <c r="AC190" s="102"/>
      <c r="AD190" s="102"/>
      <c r="AE190" s="102"/>
      <c r="AF190" s="102"/>
      <c r="AG190" s="102"/>
      <c r="AH190" s="102"/>
      <c r="AI190" s="102"/>
      <c r="AJ190" s="102"/>
      <c r="AK190" s="238"/>
      <c r="AL190" s="263">
        <f t="shared" si="10"/>
        <v>4</v>
      </c>
      <c r="AM190" s="111">
        <f>0</f>
        <v>0</v>
      </c>
      <c r="AN190" s="264">
        <f t="shared" si="11"/>
        <v>4</v>
      </c>
      <c r="AO190" s="248">
        <v>45082</v>
      </c>
      <c r="AP190" s="215" t="s">
        <v>273</v>
      </c>
      <c r="AQ190" s="214" t="s">
        <v>869</v>
      </c>
      <c r="AR190" s="214" t="s">
        <v>148</v>
      </c>
      <c r="AS190" s="194"/>
      <c r="AT190" s="188"/>
      <c r="AU190" s="189"/>
      <c r="AV190" s="189"/>
      <c r="AW190" s="189"/>
      <c r="AX190" s="190"/>
      <c r="AY190" s="191"/>
      <c r="AZ190" s="192"/>
      <c r="BA190" s="91"/>
      <c r="BB190" s="91"/>
      <c r="BC190" s="91"/>
    </row>
    <row r="191" spans="1:55" ht="28" hidden="1" customHeight="1">
      <c r="A191" s="219">
        <v>186</v>
      </c>
      <c r="B191" s="182">
        <v>45079</v>
      </c>
      <c r="C191" s="87" t="s">
        <v>134</v>
      </c>
      <c r="D191" s="87" t="s">
        <v>135</v>
      </c>
      <c r="E191" s="87" t="s">
        <v>136</v>
      </c>
      <c r="F191" s="211" t="s">
        <v>668</v>
      </c>
      <c r="G191" s="211" t="s">
        <v>708</v>
      </c>
      <c r="H191" s="211" t="s">
        <v>110</v>
      </c>
      <c r="I191" s="220" t="s">
        <v>745</v>
      </c>
      <c r="J191" s="221" t="s">
        <v>709</v>
      </c>
      <c r="K191" s="211" t="s">
        <v>80</v>
      </c>
      <c r="L191" s="211" t="s">
        <v>320</v>
      </c>
      <c r="M191" s="211" t="s">
        <v>481</v>
      </c>
      <c r="N191" s="220" t="s">
        <v>80</v>
      </c>
      <c r="O191" s="220" t="s">
        <v>155</v>
      </c>
      <c r="P191" s="214"/>
      <c r="Q191" s="214"/>
      <c r="R191" s="236">
        <f>0</f>
        <v>0</v>
      </c>
      <c r="S191" s="102"/>
      <c r="T191" s="102"/>
      <c r="U191" s="102"/>
      <c r="V191" s="102"/>
      <c r="W191" s="196">
        <v>4</v>
      </c>
      <c r="X191" s="102"/>
      <c r="Y191" s="102"/>
      <c r="Z191" s="102"/>
      <c r="AA191" s="238"/>
      <c r="AB191" s="240"/>
      <c r="AC191" s="102"/>
      <c r="AD191" s="102"/>
      <c r="AE191" s="102"/>
      <c r="AF191" s="102"/>
      <c r="AG191" s="102"/>
      <c r="AH191" s="102"/>
      <c r="AI191" s="102"/>
      <c r="AJ191" s="102"/>
      <c r="AK191" s="238"/>
      <c r="AL191" s="263">
        <f t="shared" si="10"/>
        <v>4</v>
      </c>
      <c r="AM191" s="111">
        <f>0</f>
        <v>0</v>
      </c>
      <c r="AN191" s="264">
        <f t="shared" si="11"/>
        <v>4</v>
      </c>
      <c r="AO191" s="248">
        <v>45082</v>
      </c>
      <c r="AP191" s="215" t="s">
        <v>273</v>
      </c>
      <c r="AQ191" s="214" t="s">
        <v>869</v>
      </c>
      <c r="AR191" s="214" t="s">
        <v>148</v>
      </c>
      <c r="AS191" s="194"/>
      <c r="AT191" s="188"/>
      <c r="AU191" s="189"/>
      <c r="AV191" s="189"/>
      <c r="AW191" s="189"/>
      <c r="AX191" s="190"/>
      <c r="AY191" s="191"/>
      <c r="AZ191" s="192"/>
      <c r="BA191" s="91"/>
      <c r="BB191" s="91"/>
      <c r="BC191" s="91"/>
    </row>
    <row r="192" spans="1:55" ht="28" hidden="1" customHeight="1">
      <c r="A192" s="219">
        <v>187</v>
      </c>
      <c r="B192" s="182">
        <v>45079</v>
      </c>
      <c r="C192" s="87" t="s">
        <v>134</v>
      </c>
      <c r="D192" s="87" t="s">
        <v>135</v>
      </c>
      <c r="E192" s="87" t="s">
        <v>136</v>
      </c>
      <c r="F192" s="211" t="s">
        <v>668</v>
      </c>
      <c r="G192" s="211" t="s">
        <v>710</v>
      </c>
      <c r="H192" s="211" t="s">
        <v>110</v>
      </c>
      <c r="I192" s="220" t="s">
        <v>746</v>
      </c>
      <c r="J192" s="221" t="s">
        <v>711</v>
      </c>
      <c r="K192" s="211" t="s">
        <v>80</v>
      </c>
      <c r="L192" s="211" t="s">
        <v>320</v>
      </c>
      <c r="M192" s="211" t="s">
        <v>80</v>
      </c>
      <c r="N192" s="220" t="s">
        <v>80</v>
      </c>
      <c r="O192" s="220" t="s">
        <v>155</v>
      </c>
      <c r="P192" s="214"/>
      <c r="Q192" s="214"/>
      <c r="R192" s="236">
        <f>0</f>
        <v>0</v>
      </c>
      <c r="S192" s="102"/>
      <c r="T192" s="102"/>
      <c r="U192" s="102"/>
      <c r="V192" s="102"/>
      <c r="W192" s="196">
        <v>2</v>
      </c>
      <c r="X192" s="102"/>
      <c r="Y192" s="102"/>
      <c r="Z192" s="102"/>
      <c r="AA192" s="238"/>
      <c r="AB192" s="240"/>
      <c r="AC192" s="102"/>
      <c r="AD192" s="102"/>
      <c r="AE192" s="102"/>
      <c r="AF192" s="102"/>
      <c r="AG192" s="102"/>
      <c r="AH192" s="102"/>
      <c r="AI192" s="102"/>
      <c r="AJ192" s="102"/>
      <c r="AK192" s="238"/>
      <c r="AL192" s="263">
        <f t="shared" si="10"/>
        <v>2</v>
      </c>
      <c r="AM192" s="111">
        <f>0</f>
        <v>0</v>
      </c>
      <c r="AN192" s="264">
        <f t="shared" si="11"/>
        <v>2</v>
      </c>
      <c r="AO192" s="248">
        <v>45082</v>
      </c>
      <c r="AP192" s="215" t="s">
        <v>273</v>
      </c>
      <c r="AQ192" s="214" t="s">
        <v>869</v>
      </c>
      <c r="AR192" s="214" t="s">
        <v>148</v>
      </c>
      <c r="AS192" s="194"/>
      <c r="AT192" s="188"/>
      <c r="AU192" s="189"/>
      <c r="AV192" s="189"/>
      <c r="AW192" s="189"/>
      <c r="AX192" s="190"/>
      <c r="AY192" s="191"/>
      <c r="AZ192" s="192"/>
      <c r="BA192" s="91"/>
      <c r="BB192" s="91"/>
      <c r="BC192" s="91"/>
    </row>
    <row r="193" spans="1:55" ht="28" hidden="1" customHeight="1">
      <c r="A193" s="219">
        <v>188</v>
      </c>
      <c r="B193" s="182">
        <v>45079</v>
      </c>
      <c r="C193" s="87" t="s">
        <v>134</v>
      </c>
      <c r="D193" s="87" t="s">
        <v>135</v>
      </c>
      <c r="E193" s="87" t="s">
        <v>136</v>
      </c>
      <c r="F193" s="211" t="s">
        <v>668</v>
      </c>
      <c r="G193" s="211" t="s">
        <v>712</v>
      </c>
      <c r="H193" s="211" t="s">
        <v>110</v>
      </c>
      <c r="I193" s="220" t="s">
        <v>713</v>
      </c>
      <c r="J193" s="221" t="s">
        <v>714</v>
      </c>
      <c r="K193" s="211"/>
      <c r="L193" s="211" t="s">
        <v>153</v>
      </c>
      <c r="M193" s="211" t="s">
        <v>154</v>
      </c>
      <c r="N193" s="220"/>
      <c r="O193" s="220" t="s">
        <v>155</v>
      </c>
      <c r="P193" s="214"/>
      <c r="Q193" s="214"/>
      <c r="R193" s="236">
        <f>0</f>
        <v>0</v>
      </c>
      <c r="S193" s="102"/>
      <c r="T193" s="102"/>
      <c r="U193" s="102"/>
      <c r="V193" s="102"/>
      <c r="W193" s="196">
        <v>1</v>
      </c>
      <c r="X193" s="102"/>
      <c r="Y193" s="102"/>
      <c r="Z193" s="102"/>
      <c r="AA193" s="238"/>
      <c r="AB193" s="240"/>
      <c r="AC193" s="102"/>
      <c r="AD193" s="102"/>
      <c r="AE193" s="102"/>
      <c r="AF193" s="102"/>
      <c r="AG193" s="102"/>
      <c r="AH193" s="102"/>
      <c r="AI193" s="102"/>
      <c r="AJ193" s="102"/>
      <c r="AK193" s="238"/>
      <c r="AL193" s="263">
        <f t="shared" si="10"/>
        <v>1</v>
      </c>
      <c r="AM193" s="111">
        <f>0</f>
        <v>0</v>
      </c>
      <c r="AN193" s="264">
        <f t="shared" si="11"/>
        <v>1</v>
      </c>
      <c r="AO193" s="248">
        <v>45082</v>
      </c>
      <c r="AP193" s="215" t="s">
        <v>273</v>
      </c>
      <c r="AQ193" s="214" t="s">
        <v>869</v>
      </c>
      <c r="AR193" s="214" t="s">
        <v>148</v>
      </c>
      <c r="AS193" s="194"/>
      <c r="AT193" s="188"/>
      <c r="AU193" s="189"/>
      <c r="AV193" s="189"/>
      <c r="AW193" s="189"/>
      <c r="AX193" s="190"/>
      <c r="AY193" s="191"/>
      <c r="AZ193" s="192"/>
      <c r="BA193" s="91"/>
      <c r="BB193" s="91"/>
      <c r="BC193" s="91"/>
    </row>
    <row r="194" spans="1:55" ht="28" hidden="1" customHeight="1">
      <c r="A194" s="219">
        <v>189</v>
      </c>
      <c r="B194" s="182">
        <v>45079</v>
      </c>
      <c r="C194" s="197"/>
      <c r="D194" s="198"/>
      <c r="E194" s="198"/>
      <c r="F194" s="211" t="s">
        <v>668</v>
      </c>
      <c r="G194" s="211" t="s">
        <v>1226</v>
      </c>
      <c r="H194" s="211" t="s">
        <v>110</v>
      </c>
      <c r="I194" s="220" t="s">
        <v>713</v>
      </c>
      <c r="J194" s="221" t="s">
        <v>744</v>
      </c>
      <c r="K194" s="211"/>
      <c r="L194" s="211" t="s">
        <v>153</v>
      </c>
      <c r="M194" s="211" t="s">
        <v>154</v>
      </c>
      <c r="N194" s="220"/>
      <c r="O194" s="220" t="s">
        <v>155</v>
      </c>
      <c r="P194" s="214"/>
      <c r="Q194" s="214"/>
      <c r="R194" s="236">
        <f>0</f>
        <v>0</v>
      </c>
      <c r="S194" s="102"/>
      <c r="T194" s="102"/>
      <c r="U194" s="102"/>
      <c r="V194" s="102"/>
      <c r="W194" s="196">
        <v>1</v>
      </c>
      <c r="X194" s="102"/>
      <c r="Y194" s="102"/>
      <c r="Z194" s="102"/>
      <c r="AA194" s="238"/>
      <c r="AB194" s="240"/>
      <c r="AC194" s="102"/>
      <c r="AD194" s="102"/>
      <c r="AE194" s="102"/>
      <c r="AF194" s="102"/>
      <c r="AG194" s="102"/>
      <c r="AH194" s="102"/>
      <c r="AI194" s="102"/>
      <c r="AJ194" s="102"/>
      <c r="AK194" s="238"/>
      <c r="AL194" s="263">
        <f t="shared" si="10"/>
        <v>1</v>
      </c>
      <c r="AM194" s="111">
        <f>0</f>
        <v>0</v>
      </c>
      <c r="AN194" s="264">
        <f t="shared" si="11"/>
        <v>1</v>
      </c>
      <c r="AO194" s="248">
        <v>45082</v>
      </c>
      <c r="AP194" s="215" t="s">
        <v>273</v>
      </c>
      <c r="AQ194" s="214" t="s">
        <v>869</v>
      </c>
      <c r="AR194" s="214" t="s">
        <v>148</v>
      </c>
      <c r="AS194" s="194"/>
      <c r="AT194" s="188"/>
      <c r="AU194" s="189"/>
      <c r="AV194" s="189"/>
      <c r="AW194" s="189"/>
      <c r="AX194" s="190"/>
      <c r="AY194" s="191"/>
      <c r="AZ194" s="192"/>
      <c r="BA194" s="91"/>
      <c r="BB194" s="91"/>
      <c r="BC194" s="91"/>
    </row>
    <row r="195" spans="1:55" ht="28" hidden="1" customHeight="1">
      <c r="A195" s="219">
        <v>190</v>
      </c>
      <c r="B195" s="182">
        <v>45079</v>
      </c>
      <c r="C195" s="87" t="s">
        <v>134</v>
      </c>
      <c r="D195" s="87" t="s">
        <v>135</v>
      </c>
      <c r="E195" s="87" t="s">
        <v>136</v>
      </c>
      <c r="F195" s="211" t="s">
        <v>668</v>
      </c>
      <c r="G195" s="211" t="s">
        <v>715</v>
      </c>
      <c r="H195" s="211" t="s">
        <v>110</v>
      </c>
      <c r="I195" s="220" t="s">
        <v>716</v>
      </c>
      <c r="J195" s="221" t="s">
        <v>717</v>
      </c>
      <c r="K195" s="211"/>
      <c r="L195" s="211" t="s">
        <v>153</v>
      </c>
      <c r="M195" s="211" t="s">
        <v>154</v>
      </c>
      <c r="N195" s="220"/>
      <c r="O195" s="220" t="s">
        <v>155</v>
      </c>
      <c r="P195" s="214"/>
      <c r="Q195" s="214"/>
      <c r="R195" s="236">
        <f>0</f>
        <v>0</v>
      </c>
      <c r="S195" s="102"/>
      <c r="T195" s="102"/>
      <c r="U195" s="102"/>
      <c r="V195" s="102"/>
      <c r="W195" s="196">
        <v>1</v>
      </c>
      <c r="X195" s="102"/>
      <c r="Y195" s="102"/>
      <c r="Z195" s="102"/>
      <c r="AA195" s="238"/>
      <c r="AB195" s="240"/>
      <c r="AC195" s="102"/>
      <c r="AD195" s="102"/>
      <c r="AE195" s="102"/>
      <c r="AF195" s="102"/>
      <c r="AG195" s="102"/>
      <c r="AH195" s="102"/>
      <c r="AI195" s="102"/>
      <c r="AJ195" s="102"/>
      <c r="AK195" s="238"/>
      <c r="AL195" s="263">
        <f t="shared" si="10"/>
        <v>1</v>
      </c>
      <c r="AM195" s="111">
        <f>0</f>
        <v>0</v>
      </c>
      <c r="AN195" s="264">
        <f t="shared" si="11"/>
        <v>1</v>
      </c>
      <c r="AO195" s="248">
        <v>45082</v>
      </c>
      <c r="AP195" s="215" t="s">
        <v>273</v>
      </c>
      <c r="AQ195" s="214" t="s">
        <v>869</v>
      </c>
      <c r="AR195" s="214" t="s">
        <v>148</v>
      </c>
      <c r="AS195" s="194"/>
      <c r="AT195" s="188"/>
      <c r="AU195" s="189"/>
      <c r="AV195" s="189"/>
      <c r="AW195" s="189"/>
      <c r="AX195" s="190"/>
      <c r="AY195" s="191"/>
      <c r="AZ195" s="192"/>
      <c r="BA195" s="91"/>
      <c r="BB195" s="91"/>
      <c r="BC195" s="91"/>
    </row>
    <row r="196" spans="1:55" ht="28" hidden="1" customHeight="1">
      <c r="A196" s="219">
        <v>191</v>
      </c>
      <c r="B196" s="182">
        <v>45079</v>
      </c>
      <c r="C196" s="87" t="s">
        <v>134</v>
      </c>
      <c r="D196" s="87" t="s">
        <v>135</v>
      </c>
      <c r="E196" s="87" t="s">
        <v>136</v>
      </c>
      <c r="F196" s="211" t="s">
        <v>668</v>
      </c>
      <c r="G196" s="211" t="s">
        <v>718</v>
      </c>
      <c r="H196" s="211" t="s">
        <v>110</v>
      </c>
      <c r="I196" s="220" t="s">
        <v>719</v>
      </c>
      <c r="J196" s="221" t="s">
        <v>720</v>
      </c>
      <c r="K196" s="211"/>
      <c r="L196" s="211" t="s">
        <v>153</v>
      </c>
      <c r="M196" s="211" t="s">
        <v>154</v>
      </c>
      <c r="N196" s="220"/>
      <c r="O196" s="220" t="s">
        <v>155</v>
      </c>
      <c r="P196" s="214"/>
      <c r="Q196" s="214"/>
      <c r="R196" s="236">
        <f>0</f>
        <v>0</v>
      </c>
      <c r="S196" s="102"/>
      <c r="T196" s="102"/>
      <c r="U196" s="102"/>
      <c r="V196" s="102"/>
      <c r="W196" s="196">
        <v>1</v>
      </c>
      <c r="X196" s="102"/>
      <c r="Y196" s="102"/>
      <c r="Z196" s="102"/>
      <c r="AA196" s="238"/>
      <c r="AB196" s="240"/>
      <c r="AC196" s="102"/>
      <c r="AD196" s="102"/>
      <c r="AE196" s="102"/>
      <c r="AF196" s="102"/>
      <c r="AG196" s="102"/>
      <c r="AH196" s="102"/>
      <c r="AI196" s="102"/>
      <c r="AJ196" s="102"/>
      <c r="AK196" s="238"/>
      <c r="AL196" s="263">
        <f t="shared" si="10"/>
        <v>1</v>
      </c>
      <c r="AM196" s="111">
        <f>0</f>
        <v>0</v>
      </c>
      <c r="AN196" s="264">
        <f t="shared" si="11"/>
        <v>1</v>
      </c>
      <c r="AO196" s="248">
        <v>45082</v>
      </c>
      <c r="AP196" s="215" t="s">
        <v>273</v>
      </c>
      <c r="AQ196" s="214" t="s">
        <v>869</v>
      </c>
      <c r="AR196" s="214" t="s">
        <v>148</v>
      </c>
      <c r="AS196" s="194"/>
      <c r="AT196" s="188"/>
      <c r="AU196" s="189"/>
      <c r="AV196" s="189"/>
      <c r="AW196" s="189"/>
      <c r="AX196" s="190"/>
      <c r="AY196" s="191"/>
      <c r="AZ196" s="192"/>
      <c r="BA196" s="91"/>
      <c r="BB196" s="91"/>
      <c r="BC196" s="91"/>
    </row>
    <row r="197" spans="1:55" ht="28" hidden="1" customHeight="1">
      <c r="A197" s="219">
        <v>192</v>
      </c>
      <c r="B197" s="182">
        <v>45079</v>
      </c>
      <c r="C197" s="89"/>
      <c r="D197" s="89"/>
      <c r="E197" s="89"/>
      <c r="F197" s="211" t="s">
        <v>668</v>
      </c>
      <c r="G197" s="211" t="s">
        <v>1227</v>
      </c>
      <c r="H197" s="211" t="s">
        <v>110</v>
      </c>
      <c r="I197" s="220" t="s">
        <v>719</v>
      </c>
      <c r="J197" s="221" t="s">
        <v>750</v>
      </c>
      <c r="K197" s="211"/>
      <c r="L197" s="211" t="s">
        <v>153</v>
      </c>
      <c r="M197" s="211" t="s">
        <v>154</v>
      </c>
      <c r="N197" s="220"/>
      <c r="O197" s="220" t="s">
        <v>155</v>
      </c>
      <c r="P197" s="214"/>
      <c r="Q197" s="214"/>
      <c r="R197" s="236">
        <f>0</f>
        <v>0</v>
      </c>
      <c r="S197" s="102"/>
      <c r="T197" s="102"/>
      <c r="U197" s="102"/>
      <c r="V197" s="102"/>
      <c r="W197" s="196">
        <v>1</v>
      </c>
      <c r="X197" s="102"/>
      <c r="Y197" s="102"/>
      <c r="Z197" s="102"/>
      <c r="AA197" s="238"/>
      <c r="AB197" s="240"/>
      <c r="AC197" s="102"/>
      <c r="AD197" s="102"/>
      <c r="AE197" s="102"/>
      <c r="AF197" s="102"/>
      <c r="AG197" s="102"/>
      <c r="AH197" s="102"/>
      <c r="AI197" s="102"/>
      <c r="AJ197" s="102"/>
      <c r="AK197" s="238"/>
      <c r="AL197" s="263">
        <f t="shared" si="10"/>
        <v>1</v>
      </c>
      <c r="AM197" s="111">
        <f>0</f>
        <v>0</v>
      </c>
      <c r="AN197" s="264">
        <f t="shared" si="11"/>
        <v>1</v>
      </c>
      <c r="AO197" s="248">
        <v>45082</v>
      </c>
      <c r="AP197" s="215" t="s">
        <v>273</v>
      </c>
      <c r="AQ197" s="214" t="s">
        <v>869</v>
      </c>
      <c r="AR197" s="214" t="s">
        <v>148</v>
      </c>
      <c r="AS197" s="194"/>
      <c r="AT197" s="188"/>
      <c r="AU197" s="189"/>
      <c r="AV197" s="189"/>
      <c r="AW197" s="189"/>
      <c r="AX197" s="190"/>
      <c r="AY197" s="191"/>
      <c r="AZ197" s="192"/>
      <c r="BA197" s="91"/>
      <c r="BB197" s="91"/>
      <c r="BC197" s="91"/>
    </row>
    <row r="198" spans="1:55" ht="28" hidden="1" customHeight="1">
      <c r="A198" s="219">
        <v>193</v>
      </c>
      <c r="B198" s="182">
        <v>45079</v>
      </c>
      <c r="C198" s="87" t="s">
        <v>134</v>
      </c>
      <c r="D198" s="87" t="s">
        <v>135</v>
      </c>
      <c r="E198" s="87" t="s">
        <v>136</v>
      </c>
      <c r="F198" s="211" t="s">
        <v>668</v>
      </c>
      <c r="G198" s="211" t="s">
        <v>721</v>
      </c>
      <c r="H198" s="211" t="s">
        <v>110</v>
      </c>
      <c r="I198" s="220" t="s">
        <v>352</v>
      </c>
      <c r="J198" s="221" t="s">
        <v>722</v>
      </c>
      <c r="K198" s="211"/>
      <c r="L198" s="211" t="s">
        <v>153</v>
      </c>
      <c r="M198" s="211" t="s">
        <v>154</v>
      </c>
      <c r="N198" s="220"/>
      <c r="O198" s="220" t="s">
        <v>155</v>
      </c>
      <c r="P198" s="214"/>
      <c r="Q198" s="214"/>
      <c r="R198" s="236">
        <f>0</f>
        <v>0</v>
      </c>
      <c r="S198" s="102"/>
      <c r="T198" s="102"/>
      <c r="U198" s="102"/>
      <c r="V198" s="102"/>
      <c r="W198" s="196">
        <v>4</v>
      </c>
      <c r="X198" s="102"/>
      <c r="Y198" s="102"/>
      <c r="Z198" s="102"/>
      <c r="AA198" s="238"/>
      <c r="AB198" s="240"/>
      <c r="AC198" s="102"/>
      <c r="AD198" s="102"/>
      <c r="AE198" s="102"/>
      <c r="AF198" s="102"/>
      <c r="AG198" s="102"/>
      <c r="AH198" s="102"/>
      <c r="AI198" s="102"/>
      <c r="AJ198" s="102"/>
      <c r="AK198" s="238"/>
      <c r="AL198" s="263">
        <f t="shared" si="10"/>
        <v>4</v>
      </c>
      <c r="AM198" s="111">
        <f>0</f>
        <v>0</v>
      </c>
      <c r="AN198" s="264">
        <f t="shared" si="11"/>
        <v>4</v>
      </c>
      <c r="AO198" s="248">
        <v>45082</v>
      </c>
      <c r="AP198" s="215" t="s">
        <v>273</v>
      </c>
      <c r="AQ198" s="214" t="s">
        <v>869</v>
      </c>
      <c r="AR198" s="214" t="s">
        <v>148</v>
      </c>
      <c r="AS198" s="194"/>
      <c r="AT198" s="188"/>
      <c r="AU198" s="189"/>
      <c r="AV198" s="189"/>
      <c r="AW198" s="189"/>
      <c r="AX198" s="190"/>
      <c r="AY198" s="191"/>
      <c r="AZ198" s="192"/>
      <c r="BA198" s="91"/>
      <c r="BB198" s="91"/>
      <c r="BC198" s="91"/>
    </row>
    <row r="199" spans="1:55" ht="28" hidden="1" customHeight="1">
      <c r="A199" s="219">
        <v>194</v>
      </c>
      <c r="B199" s="182">
        <v>45079</v>
      </c>
      <c r="C199" s="87" t="s">
        <v>134</v>
      </c>
      <c r="D199" s="87" t="s">
        <v>135</v>
      </c>
      <c r="E199" s="87" t="s">
        <v>136</v>
      </c>
      <c r="F199" s="211" t="s">
        <v>668</v>
      </c>
      <c r="G199" s="211" t="s">
        <v>723</v>
      </c>
      <c r="H199" s="211" t="s">
        <v>110</v>
      </c>
      <c r="I199" s="220" t="s">
        <v>724</v>
      </c>
      <c r="J199" s="221" t="s">
        <v>725</v>
      </c>
      <c r="K199" s="211"/>
      <c r="L199" s="211" t="s">
        <v>748</v>
      </c>
      <c r="M199" s="211" t="s">
        <v>154</v>
      </c>
      <c r="N199" s="220"/>
      <c r="O199" s="220"/>
      <c r="P199" s="214"/>
      <c r="Q199" s="214"/>
      <c r="R199" s="236">
        <f>0</f>
        <v>0</v>
      </c>
      <c r="S199" s="102"/>
      <c r="T199" s="102"/>
      <c r="U199" s="102"/>
      <c r="V199" s="102"/>
      <c r="W199" s="196">
        <v>2</v>
      </c>
      <c r="X199" s="102"/>
      <c r="Y199" s="102"/>
      <c r="Z199" s="102"/>
      <c r="AA199" s="238"/>
      <c r="AB199" s="240"/>
      <c r="AC199" s="102"/>
      <c r="AD199" s="102"/>
      <c r="AE199" s="102"/>
      <c r="AF199" s="102"/>
      <c r="AG199" s="102"/>
      <c r="AH199" s="102"/>
      <c r="AI199" s="102"/>
      <c r="AJ199" s="102"/>
      <c r="AK199" s="238"/>
      <c r="AL199" s="263">
        <f t="shared" ref="AL199:AL226" si="12">SUM(R199:AK199)</f>
        <v>2</v>
      </c>
      <c r="AM199" s="111">
        <f>0</f>
        <v>0</v>
      </c>
      <c r="AN199" s="264">
        <f t="shared" ref="AN199:AN226" si="13">AL199-AM199</f>
        <v>2</v>
      </c>
      <c r="AO199" s="248">
        <v>45082</v>
      </c>
      <c r="AP199" s="215" t="s">
        <v>273</v>
      </c>
      <c r="AQ199" s="214" t="s">
        <v>869</v>
      </c>
      <c r="AR199" s="214" t="s">
        <v>148</v>
      </c>
      <c r="AS199" s="194"/>
      <c r="AT199" s="188"/>
      <c r="AU199" s="189"/>
      <c r="AV199" s="189"/>
      <c r="AW199" s="189"/>
      <c r="AX199" s="190"/>
      <c r="AY199" s="191"/>
      <c r="AZ199" s="192"/>
      <c r="BA199" s="91"/>
      <c r="BB199" s="91"/>
      <c r="BC199" s="91"/>
    </row>
    <row r="200" spans="1:55" ht="26.25" hidden="1" customHeight="1">
      <c r="A200" s="219">
        <v>195</v>
      </c>
      <c r="B200" s="182">
        <v>45079</v>
      </c>
      <c r="C200" s="87" t="s">
        <v>134</v>
      </c>
      <c r="D200" s="87" t="s">
        <v>135</v>
      </c>
      <c r="E200" s="87" t="s">
        <v>136</v>
      </c>
      <c r="F200" s="211" t="s">
        <v>668</v>
      </c>
      <c r="G200" s="211" t="s">
        <v>726</v>
      </c>
      <c r="H200" s="211" t="s">
        <v>110</v>
      </c>
      <c r="I200" s="220" t="s">
        <v>727</v>
      </c>
      <c r="J200" s="221" t="s">
        <v>728</v>
      </c>
      <c r="K200" s="211"/>
      <c r="L200" s="211" t="s">
        <v>168</v>
      </c>
      <c r="M200" s="211" t="s">
        <v>154</v>
      </c>
      <c r="N200" s="220" t="s">
        <v>214</v>
      </c>
      <c r="O200" s="220" t="s">
        <v>149</v>
      </c>
      <c r="P200" s="214"/>
      <c r="Q200" s="214"/>
      <c r="R200" s="236">
        <f>0</f>
        <v>0</v>
      </c>
      <c r="S200" s="102"/>
      <c r="T200" s="102"/>
      <c r="U200" s="102"/>
      <c r="V200" s="102"/>
      <c r="W200" s="196">
        <v>4</v>
      </c>
      <c r="X200" s="102"/>
      <c r="Y200" s="102"/>
      <c r="Z200" s="102"/>
      <c r="AA200" s="238"/>
      <c r="AB200" s="240"/>
      <c r="AC200" s="102"/>
      <c r="AD200" s="102"/>
      <c r="AE200" s="102"/>
      <c r="AF200" s="102"/>
      <c r="AG200" s="102"/>
      <c r="AH200" s="102"/>
      <c r="AI200" s="102"/>
      <c r="AJ200" s="102"/>
      <c r="AK200" s="238"/>
      <c r="AL200" s="263">
        <f t="shared" si="12"/>
        <v>4</v>
      </c>
      <c r="AM200" s="111">
        <f>0</f>
        <v>0</v>
      </c>
      <c r="AN200" s="264">
        <f t="shared" si="13"/>
        <v>4</v>
      </c>
      <c r="AO200" s="248">
        <v>45082</v>
      </c>
      <c r="AP200" s="215" t="s">
        <v>273</v>
      </c>
      <c r="AQ200" s="214" t="s">
        <v>869</v>
      </c>
      <c r="AR200" s="214" t="s">
        <v>148</v>
      </c>
      <c r="AS200" s="194"/>
      <c r="AT200" s="188"/>
      <c r="AU200" s="189"/>
      <c r="AV200" s="189"/>
      <c r="AW200" s="189"/>
      <c r="AX200" s="190"/>
      <c r="AY200" s="191"/>
      <c r="AZ200" s="192"/>
      <c r="BA200" s="91"/>
      <c r="BB200" s="91"/>
      <c r="BC200" s="91"/>
    </row>
    <row r="201" spans="1:55" ht="28" hidden="1" customHeight="1">
      <c r="A201" s="219">
        <v>196</v>
      </c>
      <c r="B201" s="182">
        <v>45079</v>
      </c>
      <c r="C201" s="87" t="s">
        <v>134</v>
      </c>
      <c r="D201" s="87" t="s">
        <v>135</v>
      </c>
      <c r="E201" s="87" t="s">
        <v>136</v>
      </c>
      <c r="F201" s="211" t="s">
        <v>668</v>
      </c>
      <c r="G201" s="211" t="s">
        <v>729</v>
      </c>
      <c r="H201" s="211" t="s">
        <v>110</v>
      </c>
      <c r="I201" s="220" t="s">
        <v>730</v>
      </c>
      <c r="J201" s="221" t="s">
        <v>731</v>
      </c>
      <c r="K201" s="211"/>
      <c r="L201" s="211" t="s">
        <v>389</v>
      </c>
      <c r="M201" s="211" t="s">
        <v>481</v>
      </c>
      <c r="N201" s="220" t="s">
        <v>214</v>
      </c>
      <c r="O201" s="220" t="s">
        <v>80</v>
      </c>
      <c r="P201" s="214"/>
      <c r="Q201" s="214"/>
      <c r="R201" s="236">
        <f>0</f>
        <v>0</v>
      </c>
      <c r="S201" s="102"/>
      <c r="T201" s="102"/>
      <c r="U201" s="102"/>
      <c r="V201" s="102"/>
      <c r="W201" s="196">
        <v>1</v>
      </c>
      <c r="X201" s="102"/>
      <c r="Y201" s="102"/>
      <c r="Z201" s="102"/>
      <c r="AA201" s="238"/>
      <c r="AB201" s="240"/>
      <c r="AC201" s="102"/>
      <c r="AD201" s="102"/>
      <c r="AE201" s="102"/>
      <c r="AF201" s="102"/>
      <c r="AG201" s="102"/>
      <c r="AH201" s="102"/>
      <c r="AI201" s="102"/>
      <c r="AJ201" s="102"/>
      <c r="AK201" s="238"/>
      <c r="AL201" s="263">
        <f t="shared" si="12"/>
        <v>1</v>
      </c>
      <c r="AM201" s="111">
        <f>0</f>
        <v>0</v>
      </c>
      <c r="AN201" s="264">
        <f t="shared" si="13"/>
        <v>1</v>
      </c>
      <c r="AO201" s="248">
        <v>45082</v>
      </c>
      <c r="AP201" s="215" t="s">
        <v>273</v>
      </c>
      <c r="AQ201" s="214" t="s">
        <v>869</v>
      </c>
      <c r="AR201" s="214" t="s">
        <v>148</v>
      </c>
      <c r="AS201" s="194"/>
      <c r="AT201" s="188"/>
      <c r="AU201" s="189"/>
      <c r="AV201" s="189"/>
      <c r="AW201" s="189"/>
      <c r="AX201" s="190"/>
      <c r="AY201" s="191"/>
      <c r="AZ201" s="192"/>
      <c r="BA201" s="91"/>
      <c r="BB201" s="91"/>
      <c r="BC201" s="91"/>
    </row>
    <row r="202" spans="1:55" ht="28" hidden="1" customHeight="1">
      <c r="A202" s="219">
        <v>197</v>
      </c>
      <c r="B202" s="182">
        <v>45079</v>
      </c>
      <c r="C202" s="89"/>
      <c r="D202" s="89"/>
      <c r="E202" s="89"/>
      <c r="F202" s="223" t="s">
        <v>668</v>
      </c>
      <c r="G202" s="223" t="s">
        <v>1228</v>
      </c>
      <c r="H202" s="223" t="s">
        <v>110</v>
      </c>
      <c r="I202" s="224" t="s">
        <v>730</v>
      </c>
      <c r="J202" s="225" t="s">
        <v>742</v>
      </c>
      <c r="K202" s="223"/>
      <c r="L202" s="223" t="s">
        <v>389</v>
      </c>
      <c r="M202" s="223" t="s">
        <v>481</v>
      </c>
      <c r="N202" s="224" t="s">
        <v>214</v>
      </c>
      <c r="O202" s="224" t="s">
        <v>80</v>
      </c>
      <c r="P202" s="214"/>
      <c r="Q202" s="214"/>
      <c r="R202" s="236">
        <f>0</f>
        <v>0</v>
      </c>
      <c r="S202" s="102"/>
      <c r="T202" s="102"/>
      <c r="U202" s="102"/>
      <c r="V202" s="102"/>
      <c r="W202" s="196">
        <v>1</v>
      </c>
      <c r="X202" s="102"/>
      <c r="Y202" s="102"/>
      <c r="Z202" s="102"/>
      <c r="AA202" s="238"/>
      <c r="AB202" s="240"/>
      <c r="AC202" s="102"/>
      <c r="AD202" s="102"/>
      <c r="AE202" s="102"/>
      <c r="AF202" s="102"/>
      <c r="AG202" s="102"/>
      <c r="AH202" s="102"/>
      <c r="AI202" s="102"/>
      <c r="AJ202" s="102"/>
      <c r="AK202" s="238"/>
      <c r="AL202" s="263">
        <f t="shared" si="12"/>
        <v>1</v>
      </c>
      <c r="AM202" s="111">
        <f>0</f>
        <v>0</v>
      </c>
      <c r="AN202" s="264">
        <f t="shared" si="13"/>
        <v>1</v>
      </c>
      <c r="AO202" s="248">
        <v>45082</v>
      </c>
      <c r="AP202" s="215" t="s">
        <v>273</v>
      </c>
      <c r="AQ202" s="214" t="s">
        <v>869</v>
      </c>
      <c r="AR202" s="214" t="s">
        <v>148</v>
      </c>
      <c r="AS202" s="194"/>
      <c r="AT202" s="188"/>
      <c r="AU202" s="189"/>
      <c r="AV202" s="189"/>
      <c r="AW202" s="189"/>
      <c r="AX202" s="190"/>
      <c r="AY202" s="191"/>
      <c r="AZ202" s="192"/>
      <c r="BA202" s="91"/>
      <c r="BB202" s="91"/>
      <c r="BC202" s="91"/>
    </row>
    <row r="203" spans="1:55" ht="28" hidden="1" customHeight="1">
      <c r="A203" s="219">
        <v>198</v>
      </c>
      <c r="B203" s="182">
        <v>45079</v>
      </c>
      <c r="C203" s="87" t="s">
        <v>134</v>
      </c>
      <c r="D203" s="87" t="s">
        <v>135</v>
      </c>
      <c r="E203" s="87" t="s">
        <v>136</v>
      </c>
      <c r="F203" s="211" t="s">
        <v>668</v>
      </c>
      <c r="G203" s="211" t="s">
        <v>732</v>
      </c>
      <c r="H203" s="211" t="s">
        <v>110</v>
      </c>
      <c r="I203" s="220" t="s">
        <v>733</v>
      </c>
      <c r="J203" s="221" t="s">
        <v>734</v>
      </c>
      <c r="K203" s="211"/>
      <c r="L203" s="211" t="s">
        <v>389</v>
      </c>
      <c r="M203" s="211" t="s">
        <v>481</v>
      </c>
      <c r="N203" s="220" t="s">
        <v>214</v>
      </c>
      <c r="O203" s="220" t="s">
        <v>80</v>
      </c>
      <c r="P203" s="214"/>
      <c r="Q203" s="214"/>
      <c r="R203" s="236">
        <f>0</f>
        <v>0</v>
      </c>
      <c r="S203" s="102"/>
      <c r="T203" s="102"/>
      <c r="U203" s="102"/>
      <c r="V203" s="102"/>
      <c r="W203" s="196">
        <v>1</v>
      </c>
      <c r="X203" s="102"/>
      <c r="Y203" s="102"/>
      <c r="Z203" s="102"/>
      <c r="AA203" s="238"/>
      <c r="AB203" s="240"/>
      <c r="AC203" s="102"/>
      <c r="AD203" s="102"/>
      <c r="AE203" s="102"/>
      <c r="AF203" s="102"/>
      <c r="AG203" s="102"/>
      <c r="AH203" s="102"/>
      <c r="AI203" s="102"/>
      <c r="AJ203" s="102"/>
      <c r="AK203" s="238"/>
      <c r="AL203" s="263">
        <f t="shared" si="12"/>
        <v>1</v>
      </c>
      <c r="AM203" s="111">
        <f>0</f>
        <v>0</v>
      </c>
      <c r="AN203" s="264">
        <f t="shared" si="13"/>
        <v>1</v>
      </c>
      <c r="AO203" s="248">
        <v>45082</v>
      </c>
      <c r="AP203" s="215" t="s">
        <v>273</v>
      </c>
      <c r="AQ203" s="214" t="s">
        <v>869</v>
      </c>
      <c r="AR203" s="214" t="s">
        <v>148</v>
      </c>
      <c r="AS203" s="194"/>
      <c r="AT203" s="188"/>
      <c r="AU203" s="189"/>
      <c r="AV203" s="189"/>
      <c r="AW203" s="189"/>
      <c r="AX203" s="190"/>
      <c r="AY203" s="191"/>
      <c r="AZ203" s="192"/>
      <c r="BA203" s="91"/>
      <c r="BB203" s="91"/>
      <c r="BC203" s="91"/>
    </row>
    <row r="204" spans="1:55" ht="28" hidden="1" customHeight="1">
      <c r="A204" s="219">
        <v>199</v>
      </c>
      <c r="B204" s="182">
        <v>45079</v>
      </c>
      <c r="C204" s="89"/>
      <c r="D204" s="89"/>
      <c r="E204" s="89"/>
      <c r="F204" s="211" t="s">
        <v>668</v>
      </c>
      <c r="G204" s="211" t="s">
        <v>1229</v>
      </c>
      <c r="H204" s="211" t="s">
        <v>110</v>
      </c>
      <c r="I204" s="220" t="s">
        <v>733</v>
      </c>
      <c r="J204" s="221" t="s">
        <v>741</v>
      </c>
      <c r="K204" s="211"/>
      <c r="L204" s="211" t="s">
        <v>389</v>
      </c>
      <c r="M204" s="211" t="s">
        <v>481</v>
      </c>
      <c r="N204" s="220" t="s">
        <v>214</v>
      </c>
      <c r="O204" s="220" t="s">
        <v>80</v>
      </c>
      <c r="P204" s="214"/>
      <c r="Q204" s="214"/>
      <c r="R204" s="236">
        <f>0</f>
        <v>0</v>
      </c>
      <c r="S204" s="102"/>
      <c r="T204" s="102"/>
      <c r="U204" s="102"/>
      <c r="V204" s="102"/>
      <c r="W204" s="196">
        <v>1</v>
      </c>
      <c r="X204" s="102"/>
      <c r="Y204" s="102"/>
      <c r="Z204" s="102"/>
      <c r="AA204" s="238"/>
      <c r="AB204" s="240"/>
      <c r="AC204" s="102"/>
      <c r="AD204" s="102"/>
      <c r="AE204" s="102"/>
      <c r="AF204" s="102"/>
      <c r="AG204" s="102"/>
      <c r="AH204" s="102"/>
      <c r="AI204" s="102"/>
      <c r="AJ204" s="102"/>
      <c r="AK204" s="238"/>
      <c r="AL204" s="263">
        <f t="shared" si="12"/>
        <v>1</v>
      </c>
      <c r="AM204" s="111">
        <f>0</f>
        <v>0</v>
      </c>
      <c r="AN204" s="264">
        <f t="shared" si="13"/>
        <v>1</v>
      </c>
      <c r="AO204" s="248">
        <v>45082</v>
      </c>
      <c r="AP204" s="215" t="s">
        <v>273</v>
      </c>
      <c r="AQ204" s="214" t="s">
        <v>869</v>
      </c>
      <c r="AR204" s="214" t="s">
        <v>148</v>
      </c>
      <c r="AS204" s="194"/>
      <c r="AT204" s="188"/>
      <c r="AU204" s="189"/>
      <c r="AV204" s="189"/>
      <c r="AW204" s="189"/>
      <c r="AX204" s="190"/>
      <c r="AY204" s="191"/>
      <c r="AZ204" s="192"/>
      <c r="BA204" s="91"/>
      <c r="BB204" s="91"/>
      <c r="BC204" s="91"/>
    </row>
    <row r="205" spans="1:55" ht="28" hidden="1" customHeight="1">
      <c r="A205" s="219">
        <v>200</v>
      </c>
      <c r="B205" s="182">
        <v>45079</v>
      </c>
      <c r="C205" s="87" t="s">
        <v>134</v>
      </c>
      <c r="D205" s="87" t="s">
        <v>135</v>
      </c>
      <c r="E205" s="87" t="s">
        <v>136</v>
      </c>
      <c r="F205" s="211" t="s">
        <v>668</v>
      </c>
      <c r="G205" s="211" t="s">
        <v>735</v>
      </c>
      <c r="H205" s="211" t="s">
        <v>110</v>
      </c>
      <c r="I205" s="220" t="s">
        <v>736</v>
      </c>
      <c r="J205" s="221" t="s">
        <v>737</v>
      </c>
      <c r="K205" s="211"/>
      <c r="L205" s="211" t="s">
        <v>738</v>
      </c>
      <c r="M205" s="211" t="s">
        <v>154</v>
      </c>
      <c r="N205" s="220" t="s">
        <v>747</v>
      </c>
      <c r="O205" s="220" t="s">
        <v>80</v>
      </c>
      <c r="P205" s="214"/>
      <c r="Q205" s="214"/>
      <c r="R205" s="236">
        <f>0</f>
        <v>0</v>
      </c>
      <c r="S205" s="102"/>
      <c r="T205" s="102"/>
      <c r="U205" s="102"/>
      <c r="V205" s="102"/>
      <c r="W205" s="196">
        <v>2</v>
      </c>
      <c r="X205" s="102"/>
      <c r="Y205" s="102"/>
      <c r="Z205" s="102"/>
      <c r="AA205" s="238"/>
      <c r="AB205" s="240"/>
      <c r="AC205" s="102"/>
      <c r="AD205" s="102"/>
      <c r="AE205" s="102"/>
      <c r="AF205" s="102"/>
      <c r="AG205" s="102"/>
      <c r="AH205" s="102"/>
      <c r="AI205" s="102"/>
      <c r="AJ205" s="102"/>
      <c r="AK205" s="238"/>
      <c r="AL205" s="263">
        <f t="shared" si="12"/>
        <v>2</v>
      </c>
      <c r="AM205" s="111">
        <f>0</f>
        <v>0</v>
      </c>
      <c r="AN205" s="264">
        <f t="shared" si="13"/>
        <v>2</v>
      </c>
      <c r="AO205" s="248">
        <v>45082</v>
      </c>
      <c r="AP205" s="215" t="s">
        <v>273</v>
      </c>
      <c r="AQ205" s="214" t="s">
        <v>869</v>
      </c>
      <c r="AR205" s="214" t="s">
        <v>148</v>
      </c>
      <c r="AS205" s="194"/>
      <c r="AT205" s="188"/>
      <c r="AU205" s="189"/>
      <c r="AV205" s="189"/>
      <c r="AW205" s="189"/>
      <c r="AX205" s="190"/>
      <c r="AY205" s="191"/>
      <c r="AZ205" s="192"/>
      <c r="BA205" s="91"/>
      <c r="BB205" s="91"/>
      <c r="BC205" s="91"/>
    </row>
    <row r="206" spans="1:55" ht="28" hidden="1" customHeight="1">
      <c r="A206" s="219">
        <v>201</v>
      </c>
      <c r="B206" s="182">
        <v>45079</v>
      </c>
      <c r="C206" s="87" t="s">
        <v>134</v>
      </c>
      <c r="D206" s="87" t="s">
        <v>135</v>
      </c>
      <c r="E206" s="87" t="s">
        <v>136</v>
      </c>
      <c r="F206" s="211" t="s">
        <v>668</v>
      </c>
      <c r="G206" s="211" t="s">
        <v>739</v>
      </c>
      <c r="H206" s="211" t="s">
        <v>110</v>
      </c>
      <c r="I206" s="220" t="s">
        <v>736</v>
      </c>
      <c r="J206" s="221" t="s">
        <v>740</v>
      </c>
      <c r="K206" s="211"/>
      <c r="L206" s="211" t="s">
        <v>738</v>
      </c>
      <c r="M206" s="211" t="s">
        <v>154</v>
      </c>
      <c r="N206" s="220" t="s">
        <v>747</v>
      </c>
      <c r="O206" s="220" t="s">
        <v>80</v>
      </c>
      <c r="P206" s="214"/>
      <c r="Q206" s="214"/>
      <c r="R206" s="236">
        <f>0</f>
        <v>0</v>
      </c>
      <c r="S206" s="102"/>
      <c r="T206" s="102"/>
      <c r="U206" s="102"/>
      <c r="V206" s="102"/>
      <c r="W206" s="196">
        <v>1</v>
      </c>
      <c r="X206" s="102"/>
      <c r="Y206" s="102"/>
      <c r="Z206" s="102"/>
      <c r="AA206" s="238"/>
      <c r="AB206" s="240"/>
      <c r="AC206" s="102"/>
      <c r="AD206" s="102"/>
      <c r="AE206" s="102"/>
      <c r="AF206" s="102"/>
      <c r="AG206" s="102"/>
      <c r="AH206" s="102"/>
      <c r="AI206" s="102"/>
      <c r="AJ206" s="102"/>
      <c r="AK206" s="238"/>
      <c r="AL206" s="263">
        <f t="shared" si="12"/>
        <v>1</v>
      </c>
      <c r="AM206" s="111">
        <f>0</f>
        <v>0</v>
      </c>
      <c r="AN206" s="264">
        <f t="shared" si="13"/>
        <v>1</v>
      </c>
      <c r="AO206" s="248">
        <v>45082</v>
      </c>
      <c r="AP206" s="215" t="s">
        <v>273</v>
      </c>
      <c r="AQ206" s="214" t="s">
        <v>869</v>
      </c>
      <c r="AR206" s="214" t="s">
        <v>148</v>
      </c>
      <c r="AS206" s="194"/>
      <c r="AT206" s="188"/>
      <c r="AU206" s="189"/>
      <c r="AV206" s="189"/>
      <c r="AW206" s="189"/>
      <c r="AX206" s="190"/>
      <c r="AY206" s="191"/>
      <c r="AZ206" s="192"/>
      <c r="BA206" s="91"/>
      <c r="BB206" s="91"/>
      <c r="BC206" s="91"/>
    </row>
    <row r="207" spans="1:55" ht="28" hidden="1" customHeight="1">
      <c r="A207" s="219">
        <v>202</v>
      </c>
      <c r="B207" s="182">
        <v>45079</v>
      </c>
      <c r="C207" s="197"/>
      <c r="D207" s="198"/>
      <c r="E207" s="198"/>
      <c r="F207" s="211" t="s">
        <v>668</v>
      </c>
      <c r="G207" s="211" t="s">
        <v>1230</v>
      </c>
      <c r="H207" s="211" t="s">
        <v>110</v>
      </c>
      <c r="I207" s="220" t="s">
        <v>736</v>
      </c>
      <c r="J207" s="221" t="s">
        <v>749</v>
      </c>
      <c r="K207" s="211"/>
      <c r="L207" s="211" t="s">
        <v>738</v>
      </c>
      <c r="M207" s="211" t="s">
        <v>154</v>
      </c>
      <c r="N207" s="220" t="s">
        <v>747</v>
      </c>
      <c r="O207" s="220" t="s">
        <v>80</v>
      </c>
      <c r="P207" s="214"/>
      <c r="Q207" s="214"/>
      <c r="R207" s="236">
        <f>0</f>
        <v>0</v>
      </c>
      <c r="S207" s="102"/>
      <c r="T207" s="102"/>
      <c r="U207" s="102"/>
      <c r="V207" s="102"/>
      <c r="W207" s="196">
        <v>1</v>
      </c>
      <c r="X207" s="102"/>
      <c r="Y207" s="102"/>
      <c r="Z207" s="102"/>
      <c r="AA207" s="238"/>
      <c r="AB207" s="240"/>
      <c r="AC207" s="102"/>
      <c r="AD207" s="102"/>
      <c r="AE207" s="102"/>
      <c r="AF207" s="102"/>
      <c r="AG207" s="102"/>
      <c r="AH207" s="102"/>
      <c r="AI207" s="102"/>
      <c r="AJ207" s="102"/>
      <c r="AK207" s="238"/>
      <c r="AL207" s="263">
        <f t="shared" si="12"/>
        <v>1</v>
      </c>
      <c r="AM207" s="111">
        <f>0</f>
        <v>0</v>
      </c>
      <c r="AN207" s="264">
        <f t="shared" si="13"/>
        <v>1</v>
      </c>
      <c r="AO207" s="248">
        <v>45082</v>
      </c>
      <c r="AP207" s="215" t="s">
        <v>273</v>
      </c>
      <c r="AQ207" s="214" t="s">
        <v>869</v>
      </c>
      <c r="AR207" s="214" t="s">
        <v>148</v>
      </c>
      <c r="AS207" s="194"/>
      <c r="AT207" s="188"/>
      <c r="AU207" s="189"/>
      <c r="AV207" s="189"/>
      <c r="AW207" s="189"/>
      <c r="AX207" s="190"/>
      <c r="AY207" s="191"/>
      <c r="AZ207" s="192"/>
      <c r="BA207" s="91"/>
      <c r="BB207" s="91"/>
      <c r="BC207" s="91"/>
    </row>
    <row r="208" spans="1:55" ht="28" hidden="1" customHeight="1">
      <c r="A208" s="219">
        <v>203</v>
      </c>
      <c r="B208" s="182">
        <v>45079</v>
      </c>
      <c r="C208" s="87" t="s">
        <v>134</v>
      </c>
      <c r="D208" s="87" t="s">
        <v>135</v>
      </c>
      <c r="E208" s="87" t="s">
        <v>136</v>
      </c>
      <c r="F208" s="211" t="s">
        <v>668</v>
      </c>
      <c r="G208" s="211" t="s">
        <v>751</v>
      </c>
      <c r="H208" s="211" t="s">
        <v>110</v>
      </c>
      <c r="I208" s="220" t="s">
        <v>716</v>
      </c>
      <c r="J208" s="221" t="s">
        <v>752</v>
      </c>
      <c r="K208" s="211"/>
      <c r="L208" s="211" t="s">
        <v>153</v>
      </c>
      <c r="M208" s="211" t="s">
        <v>154</v>
      </c>
      <c r="N208" s="220"/>
      <c r="O208" s="220" t="s">
        <v>155</v>
      </c>
      <c r="P208" s="214"/>
      <c r="Q208" s="214"/>
      <c r="R208" s="236">
        <f>0</f>
        <v>0</v>
      </c>
      <c r="S208" s="102"/>
      <c r="T208" s="102"/>
      <c r="U208" s="102"/>
      <c r="V208" s="102"/>
      <c r="W208" s="196">
        <v>1</v>
      </c>
      <c r="X208" s="102"/>
      <c r="Y208" s="102"/>
      <c r="Z208" s="102"/>
      <c r="AA208" s="238"/>
      <c r="AB208" s="240"/>
      <c r="AC208" s="102"/>
      <c r="AD208" s="102"/>
      <c r="AE208" s="102"/>
      <c r="AF208" s="102"/>
      <c r="AG208" s="102"/>
      <c r="AH208" s="102"/>
      <c r="AI208" s="102"/>
      <c r="AJ208" s="102"/>
      <c r="AK208" s="238"/>
      <c r="AL208" s="263">
        <f t="shared" si="12"/>
        <v>1</v>
      </c>
      <c r="AM208" s="111">
        <f>0</f>
        <v>0</v>
      </c>
      <c r="AN208" s="264">
        <f t="shared" si="13"/>
        <v>1</v>
      </c>
      <c r="AO208" s="248">
        <v>45082</v>
      </c>
      <c r="AP208" s="215" t="s">
        <v>273</v>
      </c>
      <c r="AQ208" s="214" t="s">
        <v>869</v>
      </c>
      <c r="AR208" s="214" t="s">
        <v>148</v>
      </c>
      <c r="AS208" s="194"/>
      <c r="AT208" s="188"/>
      <c r="AU208" s="189"/>
      <c r="AV208" s="189"/>
      <c r="AW208" s="189"/>
      <c r="AX208" s="190"/>
      <c r="AY208" s="191"/>
      <c r="AZ208" s="192"/>
      <c r="BA208" s="91"/>
      <c r="BB208" s="91"/>
      <c r="BC208" s="91"/>
    </row>
    <row r="209" spans="1:55" ht="28" hidden="1" customHeight="1">
      <c r="A209" s="219">
        <v>204</v>
      </c>
      <c r="B209" s="182">
        <v>45079</v>
      </c>
      <c r="C209" s="87" t="s">
        <v>134</v>
      </c>
      <c r="D209" s="87" t="s">
        <v>135</v>
      </c>
      <c r="E209" s="87" t="s">
        <v>136</v>
      </c>
      <c r="F209" s="211" t="s">
        <v>668</v>
      </c>
      <c r="G209" s="211" t="s">
        <v>753</v>
      </c>
      <c r="H209" s="211" t="s">
        <v>110</v>
      </c>
      <c r="I209" s="220" t="s">
        <v>754</v>
      </c>
      <c r="J209" s="221" t="s">
        <v>755</v>
      </c>
      <c r="K209" s="211"/>
      <c r="L209" s="211" t="s">
        <v>786</v>
      </c>
      <c r="M209" s="211" t="s">
        <v>481</v>
      </c>
      <c r="N209" s="220" t="s">
        <v>80</v>
      </c>
      <c r="O209" s="220" t="s">
        <v>149</v>
      </c>
      <c r="P209" s="214"/>
      <c r="Q209" s="214"/>
      <c r="R209" s="236">
        <f>0</f>
        <v>0</v>
      </c>
      <c r="S209" s="102"/>
      <c r="T209" s="102"/>
      <c r="U209" s="102"/>
      <c r="V209" s="102"/>
      <c r="W209" s="196">
        <v>2</v>
      </c>
      <c r="X209" s="102"/>
      <c r="Y209" s="102"/>
      <c r="Z209" s="102"/>
      <c r="AA209" s="238"/>
      <c r="AB209" s="240"/>
      <c r="AC209" s="102"/>
      <c r="AD209" s="102"/>
      <c r="AE209" s="102"/>
      <c r="AF209" s="102"/>
      <c r="AG209" s="102"/>
      <c r="AH209" s="102"/>
      <c r="AI209" s="102"/>
      <c r="AJ209" s="102"/>
      <c r="AK209" s="238"/>
      <c r="AL209" s="263">
        <f t="shared" si="12"/>
        <v>2</v>
      </c>
      <c r="AM209" s="111">
        <f>0</f>
        <v>0</v>
      </c>
      <c r="AN209" s="264">
        <f t="shared" si="13"/>
        <v>2</v>
      </c>
      <c r="AO209" s="248">
        <v>45082</v>
      </c>
      <c r="AP209" s="215" t="s">
        <v>273</v>
      </c>
      <c r="AQ209" s="214" t="s">
        <v>869</v>
      </c>
      <c r="AR209" s="214" t="s">
        <v>148</v>
      </c>
      <c r="AS209" s="194"/>
      <c r="AT209" s="188"/>
      <c r="AU209" s="189"/>
      <c r="AV209" s="189"/>
      <c r="AW209" s="189"/>
      <c r="AX209" s="190"/>
      <c r="AY209" s="191"/>
      <c r="AZ209" s="192"/>
      <c r="BA209" s="91"/>
      <c r="BB209" s="91"/>
      <c r="BC209" s="91"/>
    </row>
    <row r="210" spans="1:55" ht="28" hidden="1" customHeight="1">
      <c r="A210" s="219">
        <v>205</v>
      </c>
      <c r="B210" s="182">
        <v>45079</v>
      </c>
      <c r="C210" s="89"/>
      <c r="D210" s="89"/>
      <c r="E210" s="89"/>
      <c r="F210" s="211" t="s">
        <v>668</v>
      </c>
      <c r="G210" s="211" t="s">
        <v>1231</v>
      </c>
      <c r="H210" s="211" t="s">
        <v>110</v>
      </c>
      <c r="I210" s="220" t="s">
        <v>754</v>
      </c>
      <c r="J210" s="221" t="s">
        <v>787</v>
      </c>
      <c r="K210" s="211"/>
      <c r="L210" s="211" t="s">
        <v>786</v>
      </c>
      <c r="M210" s="211" t="s">
        <v>481</v>
      </c>
      <c r="N210" s="220" t="s">
        <v>80</v>
      </c>
      <c r="O210" s="220" t="s">
        <v>149</v>
      </c>
      <c r="P210" s="214"/>
      <c r="Q210" s="214"/>
      <c r="R210" s="236">
        <f>0</f>
        <v>0</v>
      </c>
      <c r="S210" s="102"/>
      <c r="T210" s="102"/>
      <c r="U210" s="102"/>
      <c r="V210" s="102"/>
      <c r="W210" s="196">
        <v>2</v>
      </c>
      <c r="X210" s="102"/>
      <c r="Y210" s="102"/>
      <c r="Z210" s="102"/>
      <c r="AA210" s="238"/>
      <c r="AB210" s="240"/>
      <c r="AC210" s="102"/>
      <c r="AD210" s="102"/>
      <c r="AE210" s="102"/>
      <c r="AF210" s="102"/>
      <c r="AG210" s="102"/>
      <c r="AH210" s="102"/>
      <c r="AI210" s="102"/>
      <c r="AJ210" s="102"/>
      <c r="AK210" s="238"/>
      <c r="AL210" s="263">
        <f t="shared" si="12"/>
        <v>2</v>
      </c>
      <c r="AM210" s="111">
        <f>0</f>
        <v>0</v>
      </c>
      <c r="AN210" s="264">
        <f t="shared" si="13"/>
        <v>2</v>
      </c>
      <c r="AO210" s="248">
        <v>45082</v>
      </c>
      <c r="AP210" s="215" t="s">
        <v>273</v>
      </c>
      <c r="AQ210" s="214" t="s">
        <v>869</v>
      </c>
      <c r="AR210" s="214" t="s">
        <v>148</v>
      </c>
      <c r="AS210" s="194"/>
      <c r="AT210" s="188"/>
      <c r="AU210" s="189"/>
      <c r="AV210" s="189"/>
      <c r="AW210" s="189"/>
      <c r="AX210" s="190"/>
      <c r="AY210" s="191"/>
      <c r="AZ210" s="192"/>
      <c r="BA210" s="91"/>
      <c r="BB210" s="91"/>
      <c r="BC210" s="91"/>
    </row>
    <row r="211" spans="1:55" ht="28" hidden="1" customHeight="1">
      <c r="A211" s="219">
        <v>206</v>
      </c>
      <c r="B211" s="182">
        <v>45079</v>
      </c>
      <c r="C211" s="87" t="s">
        <v>134</v>
      </c>
      <c r="D211" s="87" t="s">
        <v>135</v>
      </c>
      <c r="E211" s="87" t="s">
        <v>136</v>
      </c>
      <c r="F211" s="211" t="s">
        <v>668</v>
      </c>
      <c r="G211" s="211" t="s">
        <v>756</v>
      </c>
      <c r="H211" s="211" t="s">
        <v>110</v>
      </c>
      <c r="I211" s="220" t="s">
        <v>757</v>
      </c>
      <c r="J211" s="221" t="s">
        <v>758</v>
      </c>
      <c r="K211" s="211"/>
      <c r="L211" s="211" t="s">
        <v>222</v>
      </c>
      <c r="M211" s="211" t="s">
        <v>154</v>
      </c>
      <c r="N211" s="220" t="s">
        <v>80</v>
      </c>
      <c r="O211" s="220" t="s">
        <v>80</v>
      </c>
      <c r="P211" s="214"/>
      <c r="Q211" s="214"/>
      <c r="R211" s="236">
        <f>0</f>
        <v>0</v>
      </c>
      <c r="S211" s="102"/>
      <c r="T211" s="102"/>
      <c r="U211" s="102"/>
      <c r="V211" s="102"/>
      <c r="W211" s="196">
        <v>2</v>
      </c>
      <c r="X211" s="102"/>
      <c r="Y211" s="102"/>
      <c r="Z211" s="102"/>
      <c r="AA211" s="238"/>
      <c r="AB211" s="240"/>
      <c r="AC211" s="102"/>
      <c r="AD211" s="102"/>
      <c r="AE211" s="102"/>
      <c r="AF211" s="102"/>
      <c r="AG211" s="102"/>
      <c r="AH211" s="102"/>
      <c r="AI211" s="102"/>
      <c r="AJ211" s="102"/>
      <c r="AK211" s="238"/>
      <c r="AL211" s="263">
        <f t="shared" si="12"/>
        <v>2</v>
      </c>
      <c r="AM211" s="111">
        <f>0</f>
        <v>0</v>
      </c>
      <c r="AN211" s="264">
        <f t="shared" si="13"/>
        <v>2</v>
      </c>
      <c r="AO211" s="248">
        <v>45082</v>
      </c>
      <c r="AP211" s="215" t="s">
        <v>273</v>
      </c>
      <c r="AQ211" s="214" t="s">
        <v>869</v>
      </c>
      <c r="AR211" s="214" t="s">
        <v>148</v>
      </c>
      <c r="AS211" s="194"/>
      <c r="AT211" s="188"/>
      <c r="AU211" s="189"/>
      <c r="AV211" s="189"/>
      <c r="AW211" s="189"/>
      <c r="AX211" s="190"/>
      <c r="AY211" s="191"/>
      <c r="AZ211" s="192"/>
      <c r="BA211" s="91"/>
      <c r="BB211" s="91"/>
      <c r="BC211" s="91"/>
    </row>
    <row r="212" spans="1:55" ht="28" hidden="1" customHeight="1">
      <c r="A212" s="219">
        <v>207</v>
      </c>
      <c r="B212" s="182">
        <v>45079</v>
      </c>
      <c r="C212" s="87" t="s">
        <v>134</v>
      </c>
      <c r="D212" s="87" t="s">
        <v>135</v>
      </c>
      <c r="E212" s="87" t="s">
        <v>136</v>
      </c>
      <c r="F212" s="211" t="s">
        <v>668</v>
      </c>
      <c r="G212" s="211" t="s">
        <v>759</v>
      </c>
      <c r="H212" s="211" t="s">
        <v>110</v>
      </c>
      <c r="I212" s="220" t="s">
        <v>757</v>
      </c>
      <c r="J212" s="221" t="s">
        <v>760</v>
      </c>
      <c r="K212" s="211"/>
      <c r="L212" s="211" t="s">
        <v>222</v>
      </c>
      <c r="M212" s="211" t="s">
        <v>154</v>
      </c>
      <c r="N212" s="220" t="s">
        <v>80</v>
      </c>
      <c r="O212" s="220" t="s">
        <v>80</v>
      </c>
      <c r="P212" s="214"/>
      <c r="Q212" s="214"/>
      <c r="R212" s="236">
        <f>0</f>
        <v>0</v>
      </c>
      <c r="S212" s="102"/>
      <c r="T212" s="102"/>
      <c r="U212" s="102"/>
      <c r="V212" s="102"/>
      <c r="W212" s="196">
        <v>2</v>
      </c>
      <c r="X212" s="102"/>
      <c r="Y212" s="102"/>
      <c r="Z212" s="102"/>
      <c r="AA212" s="238"/>
      <c r="AB212" s="240"/>
      <c r="AC212" s="102"/>
      <c r="AD212" s="102"/>
      <c r="AE212" s="102"/>
      <c r="AF212" s="102"/>
      <c r="AG212" s="102"/>
      <c r="AH212" s="102"/>
      <c r="AI212" s="102"/>
      <c r="AJ212" s="102"/>
      <c r="AK212" s="238"/>
      <c r="AL212" s="263">
        <f t="shared" si="12"/>
        <v>2</v>
      </c>
      <c r="AM212" s="111">
        <f>0</f>
        <v>0</v>
      </c>
      <c r="AN212" s="264">
        <f t="shared" si="13"/>
        <v>2</v>
      </c>
      <c r="AO212" s="248">
        <v>45082</v>
      </c>
      <c r="AP212" s="215" t="s">
        <v>273</v>
      </c>
      <c r="AQ212" s="214" t="s">
        <v>869</v>
      </c>
      <c r="AR212" s="214" t="s">
        <v>148</v>
      </c>
      <c r="AS212" s="194"/>
      <c r="AT212" s="188"/>
      <c r="AU212" s="189"/>
      <c r="AV212" s="189"/>
      <c r="AW212" s="189"/>
      <c r="AX212" s="190"/>
      <c r="AY212" s="191"/>
      <c r="AZ212" s="192"/>
      <c r="BA212" s="91"/>
      <c r="BB212" s="91"/>
      <c r="BC212" s="91"/>
    </row>
    <row r="213" spans="1:55" ht="28" hidden="1" customHeight="1">
      <c r="A213" s="219">
        <v>208</v>
      </c>
      <c r="B213" s="182">
        <v>45079</v>
      </c>
      <c r="C213" s="87" t="s">
        <v>134</v>
      </c>
      <c r="D213" s="87" t="s">
        <v>135</v>
      </c>
      <c r="E213" s="87" t="s">
        <v>136</v>
      </c>
      <c r="F213" s="211" t="s">
        <v>668</v>
      </c>
      <c r="G213" s="211" t="s">
        <v>761</v>
      </c>
      <c r="H213" s="211" t="s">
        <v>110</v>
      </c>
      <c r="I213" s="220" t="s">
        <v>757</v>
      </c>
      <c r="J213" s="221" t="s">
        <v>762</v>
      </c>
      <c r="K213" s="211"/>
      <c r="L213" s="211" t="s">
        <v>222</v>
      </c>
      <c r="M213" s="211" t="s">
        <v>154</v>
      </c>
      <c r="N213" s="220" t="s">
        <v>80</v>
      </c>
      <c r="O213" s="220" t="s">
        <v>80</v>
      </c>
      <c r="P213" s="214"/>
      <c r="Q213" s="214"/>
      <c r="R213" s="236">
        <f>0</f>
        <v>0</v>
      </c>
      <c r="S213" s="102"/>
      <c r="T213" s="102"/>
      <c r="U213" s="102"/>
      <c r="V213" s="102"/>
      <c r="W213" s="196">
        <v>6</v>
      </c>
      <c r="X213" s="102"/>
      <c r="Y213" s="102"/>
      <c r="Z213" s="102"/>
      <c r="AA213" s="238"/>
      <c r="AB213" s="240"/>
      <c r="AC213" s="102"/>
      <c r="AD213" s="102"/>
      <c r="AE213" s="102"/>
      <c r="AF213" s="102"/>
      <c r="AG213" s="102"/>
      <c r="AH213" s="102"/>
      <c r="AI213" s="102"/>
      <c r="AJ213" s="102"/>
      <c r="AK213" s="238"/>
      <c r="AL213" s="263">
        <f t="shared" si="12"/>
        <v>6</v>
      </c>
      <c r="AM213" s="111">
        <f>0</f>
        <v>0</v>
      </c>
      <c r="AN213" s="264">
        <f t="shared" si="13"/>
        <v>6</v>
      </c>
      <c r="AO213" s="248">
        <v>45082</v>
      </c>
      <c r="AP213" s="215" t="s">
        <v>273</v>
      </c>
      <c r="AQ213" s="214" t="s">
        <v>869</v>
      </c>
      <c r="AR213" s="214" t="s">
        <v>148</v>
      </c>
      <c r="AS213" s="194"/>
      <c r="AT213" s="188"/>
      <c r="AU213" s="189"/>
      <c r="AV213" s="189"/>
      <c r="AW213" s="189"/>
      <c r="AX213" s="190"/>
      <c r="AY213" s="191"/>
      <c r="AZ213" s="192"/>
      <c r="BA213" s="91"/>
      <c r="BB213" s="91"/>
      <c r="BC213" s="91"/>
    </row>
    <row r="214" spans="1:55" ht="28" hidden="1" customHeight="1">
      <c r="A214" s="219">
        <v>4</v>
      </c>
      <c r="B214" s="182">
        <v>45079</v>
      </c>
      <c r="C214" s="87" t="s">
        <v>134</v>
      </c>
      <c r="D214" s="87" t="s">
        <v>135</v>
      </c>
      <c r="E214" s="87" t="s">
        <v>136</v>
      </c>
      <c r="F214" s="211" t="s">
        <v>668</v>
      </c>
      <c r="G214" s="211" t="s">
        <v>763</v>
      </c>
      <c r="H214" s="211" t="s">
        <v>110</v>
      </c>
      <c r="I214" s="220" t="s">
        <v>117</v>
      </c>
      <c r="J214" s="221" t="s">
        <v>764</v>
      </c>
      <c r="K214" s="211"/>
      <c r="L214" s="211" t="s">
        <v>320</v>
      </c>
      <c r="M214" s="211" t="s">
        <v>80</v>
      </c>
      <c r="N214" s="220" t="s">
        <v>80</v>
      </c>
      <c r="O214" s="220" t="s">
        <v>155</v>
      </c>
      <c r="P214" s="214"/>
      <c r="Q214" s="214"/>
      <c r="R214" s="236">
        <f>0</f>
        <v>0</v>
      </c>
      <c r="S214" s="102"/>
      <c r="T214" s="102"/>
      <c r="U214" s="102"/>
      <c r="V214" s="102"/>
      <c r="W214" s="196">
        <v>2</v>
      </c>
      <c r="X214" s="102"/>
      <c r="Y214" s="102"/>
      <c r="Z214" s="102"/>
      <c r="AA214" s="238"/>
      <c r="AB214" s="240"/>
      <c r="AC214" s="102"/>
      <c r="AD214" s="102"/>
      <c r="AE214" s="102"/>
      <c r="AF214" s="102"/>
      <c r="AG214" s="102"/>
      <c r="AH214" s="102"/>
      <c r="AI214" s="102"/>
      <c r="AJ214" s="102"/>
      <c r="AK214" s="238"/>
      <c r="AL214" s="263">
        <f t="shared" si="12"/>
        <v>2</v>
      </c>
      <c r="AM214" s="111">
        <f>0</f>
        <v>0</v>
      </c>
      <c r="AN214" s="264">
        <f t="shared" si="13"/>
        <v>2</v>
      </c>
      <c r="AO214" s="248">
        <v>45082</v>
      </c>
      <c r="AP214" s="215" t="s">
        <v>273</v>
      </c>
      <c r="AQ214" s="214" t="s">
        <v>869</v>
      </c>
      <c r="AR214" s="214" t="s">
        <v>148</v>
      </c>
      <c r="AS214" s="194"/>
      <c r="AT214" s="188"/>
      <c r="AU214" s="189"/>
      <c r="AV214" s="189"/>
      <c r="AW214" s="189"/>
      <c r="AX214" s="190"/>
      <c r="AY214" s="191"/>
      <c r="AZ214" s="192"/>
      <c r="BA214" s="91"/>
      <c r="BB214" s="91"/>
      <c r="BC214" s="91"/>
    </row>
    <row r="215" spans="1:55" ht="28" hidden="1" customHeight="1">
      <c r="A215" s="219">
        <v>210</v>
      </c>
      <c r="B215" s="182">
        <v>45079</v>
      </c>
      <c r="C215" s="87" t="s">
        <v>134</v>
      </c>
      <c r="D215" s="87" t="s">
        <v>135</v>
      </c>
      <c r="E215" s="87" t="s">
        <v>136</v>
      </c>
      <c r="F215" s="211" t="s">
        <v>668</v>
      </c>
      <c r="G215" s="211" t="s">
        <v>765</v>
      </c>
      <c r="H215" s="211" t="s">
        <v>110</v>
      </c>
      <c r="I215" s="220" t="s">
        <v>766</v>
      </c>
      <c r="J215" s="221" t="s">
        <v>767</v>
      </c>
      <c r="K215" s="211"/>
      <c r="L215" s="211" t="s">
        <v>320</v>
      </c>
      <c r="M215" s="211" t="s">
        <v>80</v>
      </c>
      <c r="N215" s="220" t="s">
        <v>80</v>
      </c>
      <c r="O215" s="220" t="s">
        <v>155</v>
      </c>
      <c r="P215" s="214"/>
      <c r="Q215" s="214"/>
      <c r="R215" s="236">
        <f>0</f>
        <v>0</v>
      </c>
      <c r="S215" s="102"/>
      <c r="T215" s="102"/>
      <c r="U215" s="102"/>
      <c r="V215" s="102"/>
      <c r="W215" s="196">
        <v>4</v>
      </c>
      <c r="X215" s="102"/>
      <c r="Y215" s="102"/>
      <c r="Z215" s="102"/>
      <c r="AA215" s="238"/>
      <c r="AB215" s="240"/>
      <c r="AC215" s="102"/>
      <c r="AD215" s="102"/>
      <c r="AE215" s="102"/>
      <c r="AF215" s="102"/>
      <c r="AG215" s="102"/>
      <c r="AH215" s="102"/>
      <c r="AI215" s="102"/>
      <c r="AJ215" s="102"/>
      <c r="AK215" s="238"/>
      <c r="AL215" s="263">
        <f t="shared" si="12"/>
        <v>4</v>
      </c>
      <c r="AM215" s="111">
        <f>0</f>
        <v>0</v>
      </c>
      <c r="AN215" s="264">
        <f t="shared" si="13"/>
        <v>4</v>
      </c>
      <c r="AO215" s="248">
        <v>45082</v>
      </c>
      <c r="AP215" s="215" t="s">
        <v>273</v>
      </c>
      <c r="AQ215" s="214" t="s">
        <v>869</v>
      </c>
      <c r="AR215" s="214" t="s">
        <v>148</v>
      </c>
      <c r="AS215" s="194"/>
      <c r="AT215" s="188"/>
      <c r="AU215" s="189"/>
      <c r="AV215" s="189"/>
      <c r="AW215" s="189"/>
      <c r="AX215" s="190"/>
      <c r="AY215" s="191"/>
      <c r="AZ215" s="192"/>
      <c r="BA215" s="91"/>
      <c r="BB215" s="91"/>
      <c r="BC215" s="91"/>
    </row>
    <row r="216" spans="1:55" ht="28" hidden="1" customHeight="1">
      <c r="A216" s="108">
        <v>211</v>
      </c>
      <c r="B216" s="101">
        <v>45079</v>
      </c>
      <c r="C216" s="87" t="s">
        <v>134</v>
      </c>
      <c r="D216" s="87" t="s">
        <v>135</v>
      </c>
      <c r="E216" s="87" t="s">
        <v>136</v>
      </c>
      <c r="F216" s="209" t="s">
        <v>668</v>
      </c>
      <c r="G216" s="209" t="s">
        <v>768</v>
      </c>
      <c r="H216" s="209" t="s">
        <v>110</v>
      </c>
      <c r="I216" s="216" t="s">
        <v>769</v>
      </c>
      <c r="J216" s="217" t="s">
        <v>770</v>
      </c>
      <c r="K216" s="209"/>
      <c r="L216" s="209" t="s">
        <v>788</v>
      </c>
      <c r="M216" s="209" t="s">
        <v>80</v>
      </c>
      <c r="N216" s="216" t="s">
        <v>80</v>
      </c>
      <c r="O216" s="218" t="s">
        <v>80</v>
      </c>
      <c r="P216" s="210"/>
      <c r="Q216" s="210"/>
      <c r="R216" s="236">
        <f>0</f>
        <v>0</v>
      </c>
      <c r="S216" s="102"/>
      <c r="T216" s="102"/>
      <c r="U216" s="102"/>
      <c r="V216" s="102"/>
      <c r="W216" s="196">
        <v>8</v>
      </c>
      <c r="X216" s="102"/>
      <c r="Y216" s="102"/>
      <c r="Z216" s="102"/>
      <c r="AA216" s="238"/>
      <c r="AB216" s="240"/>
      <c r="AC216" s="102"/>
      <c r="AD216" s="102"/>
      <c r="AE216" s="102"/>
      <c r="AF216" s="102"/>
      <c r="AG216" s="102"/>
      <c r="AH216" s="102"/>
      <c r="AI216" s="102"/>
      <c r="AJ216" s="102"/>
      <c r="AK216" s="238"/>
      <c r="AL216" s="263">
        <f t="shared" si="12"/>
        <v>8</v>
      </c>
      <c r="AM216" s="111">
        <f>0</f>
        <v>0</v>
      </c>
      <c r="AN216" s="264">
        <f t="shared" si="13"/>
        <v>8</v>
      </c>
      <c r="AO216" s="251">
        <v>45082</v>
      </c>
      <c r="AP216" s="227" t="s">
        <v>273</v>
      </c>
      <c r="AQ216" s="210"/>
      <c r="AR216" s="210" t="s">
        <v>868</v>
      </c>
      <c r="AS216" s="99"/>
      <c r="AT216" s="99"/>
      <c r="AU216" s="98"/>
      <c r="AV216" s="98"/>
      <c r="AW216" s="98"/>
      <c r="AX216" s="105"/>
      <c r="AY216" s="106"/>
      <c r="AZ216" s="107"/>
    </row>
    <row r="217" spans="1:55" ht="28" hidden="1" customHeight="1">
      <c r="A217" s="219">
        <v>212</v>
      </c>
      <c r="B217" s="182">
        <v>45079</v>
      </c>
      <c r="C217" s="87" t="s">
        <v>134</v>
      </c>
      <c r="D217" s="87" t="s">
        <v>135</v>
      </c>
      <c r="E217" s="87" t="s">
        <v>136</v>
      </c>
      <c r="F217" s="211" t="s">
        <v>668</v>
      </c>
      <c r="G217" s="211" t="s">
        <v>771</v>
      </c>
      <c r="H217" s="211" t="s">
        <v>110</v>
      </c>
      <c r="I217" s="220" t="s">
        <v>772</v>
      </c>
      <c r="J217" s="221" t="s">
        <v>773</v>
      </c>
      <c r="K217" s="211"/>
      <c r="L217" s="211" t="s">
        <v>168</v>
      </c>
      <c r="M217" s="211" t="s">
        <v>154</v>
      </c>
      <c r="N217" s="220" t="s">
        <v>80</v>
      </c>
      <c r="O217" s="220" t="s">
        <v>149</v>
      </c>
      <c r="P217" s="214"/>
      <c r="Q217" s="214"/>
      <c r="R217" s="236">
        <f>0</f>
        <v>0</v>
      </c>
      <c r="S217" s="102"/>
      <c r="T217" s="102"/>
      <c r="U217" s="102"/>
      <c r="V217" s="102"/>
      <c r="W217" s="196">
        <v>2</v>
      </c>
      <c r="X217" s="102"/>
      <c r="Y217" s="102"/>
      <c r="Z217" s="102"/>
      <c r="AA217" s="238"/>
      <c r="AB217" s="240"/>
      <c r="AC217" s="102"/>
      <c r="AD217" s="102"/>
      <c r="AE217" s="102"/>
      <c r="AF217" s="102"/>
      <c r="AG217" s="102"/>
      <c r="AH217" s="102"/>
      <c r="AI217" s="102"/>
      <c r="AJ217" s="102"/>
      <c r="AK217" s="238"/>
      <c r="AL217" s="263">
        <f t="shared" si="12"/>
        <v>2</v>
      </c>
      <c r="AM217" s="111">
        <f>0</f>
        <v>0</v>
      </c>
      <c r="AN217" s="264">
        <f t="shared" si="13"/>
        <v>2</v>
      </c>
      <c r="AO217" s="248">
        <v>45082</v>
      </c>
      <c r="AP217" s="215" t="s">
        <v>273</v>
      </c>
      <c r="AQ217" s="117" t="s">
        <v>896</v>
      </c>
      <c r="AR217" s="214" t="s">
        <v>148</v>
      </c>
      <c r="AS217" s="194"/>
      <c r="AT217" s="188"/>
      <c r="AU217" s="189"/>
      <c r="AV217" s="189"/>
      <c r="AW217" s="189"/>
      <c r="AX217" s="190"/>
      <c r="AY217" s="191"/>
      <c r="AZ217" s="192"/>
      <c r="BA217" s="91"/>
      <c r="BB217" s="91"/>
      <c r="BC217" s="91"/>
    </row>
    <row r="218" spans="1:55" ht="28" hidden="1" customHeight="1">
      <c r="A218" s="219">
        <v>213</v>
      </c>
      <c r="B218" s="182">
        <v>45079</v>
      </c>
      <c r="C218" s="87" t="s">
        <v>134</v>
      </c>
      <c r="D218" s="87" t="s">
        <v>135</v>
      </c>
      <c r="E218" s="87" t="s">
        <v>136</v>
      </c>
      <c r="F218" s="211" t="s">
        <v>668</v>
      </c>
      <c r="G218" s="211" t="s">
        <v>774</v>
      </c>
      <c r="H218" s="211" t="s">
        <v>110</v>
      </c>
      <c r="I218" s="220" t="s">
        <v>775</v>
      </c>
      <c r="J218" s="221" t="s">
        <v>776</v>
      </c>
      <c r="K218" s="211"/>
      <c r="L218" s="211" t="s">
        <v>389</v>
      </c>
      <c r="M218" s="211" t="s">
        <v>80</v>
      </c>
      <c r="N218" s="220" t="s">
        <v>80</v>
      </c>
      <c r="O218" s="220" t="s">
        <v>80</v>
      </c>
      <c r="P218" s="214"/>
      <c r="Q218" s="214"/>
      <c r="R218" s="236">
        <f>0</f>
        <v>0</v>
      </c>
      <c r="S218" s="102"/>
      <c r="T218" s="102"/>
      <c r="U218" s="102"/>
      <c r="V218" s="102"/>
      <c r="W218" s="196">
        <v>2</v>
      </c>
      <c r="X218" s="102"/>
      <c r="Y218" s="102"/>
      <c r="Z218" s="102"/>
      <c r="AA218" s="238"/>
      <c r="AB218" s="240"/>
      <c r="AC218" s="102"/>
      <c r="AD218" s="102"/>
      <c r="AE218" s="102"/>
      <c r="AF218" s="102"/>
      <c r="AG218" s="102"/>
      <c r="AH218" s="102"/>
      <c r="AI218" s="102"/>
      <c r="AJ218" s="102"/>
      <c r="AK218" s="238"/>
      <c r="AL218" s="263">
        <f t="shared" si="12"/>
        <v>2</v>
      </c>
      <c r="AM218" s="111">
        <f>0</f>
        <v>0</v>
      </c>
      <c r="AN218" s="264">
        <f t="shared" si="13"/>
        <v>2</v>
      </c>
      <c r="AO218" s="248">
        <v>45082</v>
      </c>
      <c r="AP218" s="215" t="s">
        <v>273</v>
      </c>
      <c r="AQ218" s="214" t="s">
        <v>896</v>
      </c>
      <c r="AR218" s="214" t="s">
        <v>148</v>
      </c>
      <c r="AS218" s="194"/>
      <c r="AT218" s="188"/>
      <c r="AU218" s="189"/>
      <c r="AV218" s="189"/>
      <c r="AW218" s="189"/>
      <c r="AX218" s="190"/>
      <c r="AY218" s="191"/>
      <c r="AZ218" s="192"/>
      <c r="BA218" s="91"/>
      <c r="BB218" s="91"/>
      <c r="BC218" s="91"/>
    </row>
    <row r="219" spans="1:55" ht="28" hidden="1" customHeight="1">
      <c r="A219" s="219">
        <v>214</v>
      </c>
      <c r="B219" s="182">
        <v>45079</v>
      </c>
      <c r="C219" s="87" t="s">
        <v>134</v>
      </c>
      <c r="D219" s="87" t="s">
        <v>135</v>
      </c>
      <c r="E219" s="87" t="s">
        <v>136</v>
      </c>
      <c r="F219" s="211" t="s">
        <v>668</v>
      </c>
      <c r="G219" s="211" t="s">
        <v>777</v>
      </c>
      <c r="H219" s="211" t="s">
        <v>110</v>
      </c>
      <c r="I219" s="220" t="s">
        <v>778</v>
      </c>
      <c r="J219" s="221" t="s">
        <v>779</v>
      </c>
      <c r="K219" s="211"/>
      <c r="L219" s="211" t="s">
        <v>453</v>
      </c>
      <c r="M219" s="211" t="s">
        <v>154</v>
      </c>
      <c r="N219" s="220" t="s">
        <v>80</v>
      </c>
      <c r="O219" s="220" t="s">
        <v>149</v>
      </c>
      <c r="P219" s="214"/>
      <c r="Q219" s="214"/>
      <c r="R219" s="236">
        <f>0</f>
        <v>0</v>
      </c>
      <c r="S219" s="102"/>
      <c r="T219" s="102"/>
      <c r="U219" s="102"/>
      <c r="V219" s="102"/>
      <c r="W219" s="196">
        <v>2</v>
      </c>
      <c r="X219" s="102"/>
      <c r="Y219" s="102"/>
      <c r="Z219" s="102"/>
      <c r="AA219" s="238"/>
      <c r="AB219" s="240"/>
      <c r="AC219" s="102"/>
      <c r="AD219" s="102"/>
      <c r="AE219" s="102"/>
      <c r="AF219" s="102"/>
      <c r="AG219" s="102"/>
      <c r="AH219" s="102"/>
      <c r="AI219" s="102"/>
      <c r="AJ219" s="102"/>
      <c r="AK219" s="238"/>
      <c r="AL219" s="263">
        <f t="shared" si="12"/>
        <v>2</v>
      </c>
      <c r="AM219" s="111">
        <f>0</f>
        <v>0</v>
      </c>
      <c r="AN219" s="264">
        <f t="shared" si="13"/>
        <v>2</v>
      </c>
      <c r="AO219" s="248">
        <v>45082</v>
      </c>
      <c r="AP219" s="215" t="s">
        <v>273</v>
      </c>
      <c r="AQ219" s="214" t="s">
        <v>869</v>
      </c>
      <c r="AR219" s="214" t="s">
        <v>148</v>
      </c>
      <c r="AS219" s="194"/>
      <c r="AT219" s="188"/>
      <c r="AU219" s="189"/>
      <c r="AV219" s="189"/>
      <c r="AW219" s="189"/>
      <c r="AX219" s="190"/>
      <c r="AY219" s="191"/>
      <c r="AZ219" s="192"/>
      <c r="BA219" s="91"/>
      <c r="BB219" s="91"/>
      <c r="BC219" s="91"/>
    </row>
    <row r="220" spans="1:55" ht="28" hidden="1" customHeight="1">
      <c r="A220" s="219">
        <v>215</v>
      </c>
      <c r="B220" s="182">
        <v>45079</v>
      </c>
      <c r="C220" s="87" t="s">
        <v>134</v>
      </c>
      <c r="D220" s="87" t="s">
        <v>135</v>
      </c>
      <c r="E220" s="87" t="s">
        <v>136</v>
      </c>
      <c r="F220" s="211" t="s">
        <v>668</v>
      </c>
      <c r="G220" s="211" t="s">
        <v>780</v>
      </c>
      <c r="H220" s="211" t="s">
        <v>110</v>
      </c>
      <c r="I220" s="220" t="s">
        <v>781</v>
      </c>
      <c r="J220" s="221" t="s">
        <v>782</v>
      </c>
      <c r="K220" s="211"/>
      <c r="L220" s="211" t="s">
        <v>209</v>
      </c>
      <c r="M220" s="211" t="s">
        <v>481</v>
      </c>
      <c r="N220" s="220" t="s">
        <v>80</v>
      </c>
      <c r="O220" s="220" t="s">
        <v>80</v>
      </c>
      <c r="P220" s="214"/>
      <c r="Q220" s="214"/>
      <c r="R220" s="236">
        <f>0</f>
        <v>0</v>
      </c>
      <c r="S220" s="102"/>
      <c r="T220" s="102"/>
      <c r="U220" s="102"/>
      <c r="V220" s="102"/>
      <c r="W220" s="196">
        <v>4</v>
      </c>
      <c r="X220" s="102"/>
      <c r="Y220" s="102"/>
      <c r="Z220" s="102"/>
      <c r="AA220" s="238"/>
      <c r="AB220" s="240"/>
      <c r="AC220" s="102"/>
      <c r="AD220" s="102"/>
      <c r="AE220" s="102"/>
      <c r="AF220" s="102"/>
      <c r="AG220" s="102"/>
      <c r="AH220" s="102"/>
      <c r="AI220" s="102"/>
      <c r="AJ220" s="102"/>
      <c r="AK220" s="238"/>
      <c r="AL220" s="263">
        <f t="shared" si="12"/>
        <v>4</v>
      </c>
      <c r="AM220" s="111">
        <f>0</f>
        <v>0</v>
      </c>
      <c r="AN220" s="264">
        <f t="shared" si="13"/>
        <v>4</v>
      </c>
      <c r="AO220" s="248">
        <v>45082</v>
      </c>
      <c r="AP220" s="215" t="s">
        <v>273</v>
      </c>
      <c r="AQ220" s="214" t="s">
        <v>869</v>
      </c>
      <c r="AR220" s="214" t="s">
        <v>148</v>
      </c>
      <c r="AS220" s="194"/>
      <c r="AT220" s="188"/>
      <c r="AU220" s="189"/>
      <c r="AV220" s="189"/>
      <c r="AW220" s="189"/>
      <c r="AX220" s="190"/>
      <c r="AY220" s="191"/>
      <c r="AZ220" s="192"/>
      <c r="BA220" s="91"/>
      <c r="BB220" s="91"/>
      <c r="BC220" s="91"/>
    </row>
    <row r="221" spans="1:55" ht="28" hidden="1" customHeight="1">
      <c r="A221" s="219">
        <v>216</v>
      </c>
      <c r="B221" s="182">
        <v>45079</v>
      </c>
      <c r="C221" s="87" t="s">
        <v>134</v>
      </c>
      <c r="D221" s="87" t="s">
        <v>135</v>
      </c>
      <c r="E221" s="87" t="s">
        <v>136</v>
      </c>
      <c r="F221" s="211" t="s">
        <v>668</v>
      </c>
      <c r="G221" s="211" t="s">
        <v>783</v>
      </c>
      <c r="H221" s="211" t="s">
        <v>110</v>
      </c>
      <c r="I221" s="220" t="s">
        <v>784</v>
      </c>
      <c r="J221" s="221" t="s">
        <v>785</v>
      </c>
      <c r="K221" s="211"/>
      <c r="L221" s="211" t="s">
        <v>209</v>
      </c>
      <c r="M221" s="211" t="s">
        <v>481</v>
      </c>
      <c r="N221" s="220" t="s">
        <v>80</v>
      </c>
      <c r="O221" s="220" t="s">
        <v>80</v>
      </c>
      <c r="P221" s="214"/>
      <c r="Q221" s="214"/>
      <c r="R221" s="236">
        <f>0</f>
        <v>0</v>
      </c>
      <c r="S221" s="102"/>
      <c r="T221" s="102"/>
      <c r="U221" s="102"/>
      <c r="V221" s="102"/>
      <c r="W221" s="196">
        <v>4</v>
      </c>
      <c r="X221" s="102"/>
      <c r="Y221" s="102"/>
      <c r="Z221" s="102"/>
      <c r="AA221" s="238"/>
      <c r="AB221" s="240"/>
      <c r="AC221" s="102"/>
      <c r="AD221" s="102"/>
      <c r="AE221" s="102"/>
      <c r="AF221" s="102"/>
      <c r="AG221" s="102"/>
      <c r="AH221" s="102"/>
      <c r="AI221" s="102"/>
      <c r="AJ221" s="102"/>
      <c r="AK221" s="238"/>
      <c r="AL221" s="263">
        <f t="shared" si="12"/>
        <v>4</v>
      </c>
      <c r="AM221" s="111">
        <f>0</f>
        <v>0</v>
      </c>
      <c r="AN221" s="264">
        <f t="shared" si="13"/>
        <v>4</v>
      </c>
      <c r="AO221" s="248">
        <v>45082</v>
      </c>
      <c r="AP221" s="215" t="s">
        <v>273</v>
      </c>
      <c r="AQ221" s="214" t="s">
        <v>869</v>
      </c>
      <c r="AR221" s="214" t="s">
        <v>148</v>
      </c>
      <c r="AS221" s="194"/>
      <c r="AT221" s="188"/>
      <c r="AU221" s="189"/>
      <c r="AV221" s="189"/>
      <c r="AW221" s="189"/>
      <c r="AX221" s="190"/>
      <c r="AY221" s="191"/>
      <c r="AZ221" s="192"/>
      <c r="BA221" s="91"/>
      <c r="BB221" s="91"/>
      <c r="BC221" s="91"/>
    </row>
    <row r="222" spans="1:55" ht="28" hidden="1" customHeight="1">
      <c r="A222" s="219">
        <v>217</v>
      </c>
      <c r="B222" s="182">
        <v>45079</v>
      </c>
      <c r="C222" s="87" t="s">
        <v>134</v>
      </c>
      <c r="D222" s="87" t="s">
        <v>135</v>
      </c>
      <c r="E222" s="87" t="s">
        <v>136</v>
      </c>
      <c r="F222" s="211" t="s">
        <v>668</v>
      </c>
      <c r="G222" s="211" t="s">
        <v>789</v>
      </c>
      <c r="H222" s="211" t="s">
        <v>110</v>
      </c>
      <c r="I222" s="220" t="s">
        <v>790</v>
      </c>
      <c r="J222" s="221" t="s">
        <v>791</v>
      </c>
      <c r="K222" s="211"/>
      <c r="L222" s="211" t="s">
        <v>320</v>
      </c>
      <c r="M222" s="211" t="s">
        <v>481</v>
      </c>
      <c r="N222" s="220" t="s">
        <v>80</v>
      </c>
      <c r="O222" s="220" t="s">
        <v>155</v>
      </c>
      <c r="P222" s="214"/>
      <c r="Q222" s="214"/>
      <c r="R222" s="236">
        <f>0</f>
        <v>0</v>
      </c>
      <c r="S222" s="102"/>
      <c r="T222" s="102"/>
      <c r="U222" s="102"/>
      <c r="V222" s="102"/>
      <c r="W222" s="196">
        <v>1</v>
      </c>
      <c r="X222" s="102"/>
      <c r="Y222" s="102"/>
      <c r="Z222" s="102"/>
      <c r="AA222" s="238"/>
      <c r="AB222" s="240"/>
      <c r="AC222" s="102"/>
      <c r="AD222" s="102"/>
      <c r="AE222" s="102"/>
      <c r="AF222" s="102"/>
      <c r="AG222" s="102"/>
      <c r="AH222" s="102"/>
      <c r="AI222" s="102"/>
      <c r="AJ222" s="102"/>
      <c r="AK222" s="238"/>
      <c r="AL222" s="263">
        <f t="shared" si="12"/>
        <v>1</v>
      </c>
      <c r="AM222" s="111">
        <f>0</f>
        <v>0</v>
      </c>
      <c r="AN222" s="264">
        <f t="shared" si="13"/>
        <v>1</v>
      </c>
      <c r="AO222" s="248">
        <v>45082</v>
      </c>
      <c r="AP222" s="215" t="s">
        <v>273</v>
      </c>
      <c r="AQ222" s="214" t="s">
        <v>869</v>
      </c>
      <c r="AR222" s="214" t="s">
        <v>148</v>
      </c>
      <c r="AS222" s="194"/>
      <c r="AT222" s="188"/>
      <c r="AU222" s="189"/>
      <c r="AV222" s="189"/>
      <c r="AW222" s="189"/>
      <c r="AX222" s="190"/>
      <c r="AY222" s="191"/>
      <c r="AZ222" s="192"/>
      <c r="BA222" s="91"/>
      <c r="BB222" s="91"/>
      <c r="BC222" s="91"/>
    </row>
    <row r="223" spans="1:55" ht="28" hidden="1" customHeight="1">
      <c r="A223" s="219">
        <v>218</v>
      </c>
      <c r="B223" s="182">
        <v>45079</v>
      </c>
      <c r="C223" s="87" t="s">
        <v>134</v>
      </c>
      <c r="D223" s="87" t="s">
        <v>135</v>
      </c>
      <c r="E223" s="87" t="s">
        <v>136</v>
      </c>
      <c r="F223" s="211" t="s">
        <v>668</v>
      </c>
      <c r="G223" s="211" t="s">
        <v>792</v>
      </c>
      <c r="H223" s="211" t="s">
        <v>110</v>
      </c>
      <c r="I223" s="220" t="s">
        <v>826</v>
      </c>
      <c r="J223" s="221" t="s">
        <v>793</v>
      </c>
      <c r="K223" s="211"/>
      <c r="L223" s="211" t="s">
        <v>153</v>
      </c>
      <c r="M223" s="211" t="s">
        <v>154</v>
      </c>
      <c r="N223" s="220"/>
      <c r="O223" s="220" t="s">
        <v>155</v>
      </c>
      <c r="P223" s="214"/>
      <c r="Q223" s="214"/>
      <c r="R223" s="236">
        <f>0</f>
        <v>0</v>
      </c>
      <c r="S223" s="102"/>
      <c r="T223" s="102"/>
      <c r="U223" s="102"/>
      <c r="V223" s="102"/>
      <c r="W223" s="196">
        <v>1</v>
      </c>
      <c r="X223" s="102"/>
      <c r="Y223" s="102"/>
      <c r="Z223" s="102"/>
      <c r="AA223" s="238"/>
      <c r="AB223" s="240"/>
      <c r="AC223" s="102"/>
      <c r="AD223" s="102"/>
      <c r="AE223" s="102"/>
      <c r="AF223" s="102"/>
      <c r="AG223" s="102"/>
      <c r="AH223" s="102"/>
      <c r="AI223" s="102"/>
      <c r="AJ223" s="102"/>
      <c r="AK223" s="238"/>
      <c r="AL223" s="263">
        <f t="shared" si="12"/>
        <v>1</v>
      </c>
      <c r="AM223" s="111">
        <f>0</f>
        <v>0</v>
      </c>
      <c r="AN223" s="264">
        <f t="shared" si="13"/>
        <v>1</v>
      </c>
      <c r="AO223" s="248">
        <v>45082</v>
      </c>
      <c r="AP223" s="215" t="s">
        <v>273</v>
      </c>
      <c r="AQ223" s="214" t="s">
        <v>869</v>
      </c>
      <c r="AR223" s="214" t="s">
        <v>148</v>
      </c>
      <c r="AS223" s="194"/>
      <c r="AT223" s="188"/>
      <c r="AU223" s="189"/>
      <c r="AV223" s="189"/>
      <c r="AW223" s="189"/>
      <c r="AX223" s="190"/>
      <c r="AY223" s="191"/>
      <c r="AZ223" s="192"/>
      <c r="BA223" s="91"/>
      <c r="BB223" s="91"/>
      <c r="BC223" s="91"/>
    </row>
    <row r="224" spans="1:55" ht="28" hidden="1" customHeight="1">
      <c r="A224" s="219">
        <v>219</v>
      </c>
      <c r="B224" s="182">
        <v>45079</v>
      </c>
      <c r="C224" s="87" t="s">
        <v>134</v>
      </c>
      <c r="D224" s="87" t="s">
        <v>135</v>
      </c>
      <c r="E224" s="87" t="s">
        <v>136</v>
      </c>
      <c r="F224" s="211" t="s">
        <v>668</v>
      </c>
      <c r="G224" s="211" t="s">
        <v>794</v>
      </c>
      <c r="H224" s="211" t="s">
        <v>110</v>
      </c>
      <c r="I224" s="220" t="s">
        <v>795</v>
      </c>
      <c r="J224" s="221" t="s">
        <v>796</v>
      </c>
      <c r="K224" s="211"/>
      <c r="L224" s="211" t="s">
        <v>153</v>
      </c>
      <c r="M224" s="211" t="s">
        <v>154</v>
      </c>
      <c r="N224" s="220"/>
      <c r="O224" s="220" t="s">
        <v>155</v>
      </c>
      <c r="P224" s="214"/>
      <c r="Q224" s="214"/>
      <c r="R224" s="236">
        <f>0</f>
        <v>0</v>
      </c>
      <c r="S224" s="102"/>
      <c r="T224" s="102"/>
      <c r="U224" s="102"/>
      <c r="V224" s="102"/>
      <c r="W224" s="196">
        <v>1</v>
      </c>
      <c r="X224" s="102"/>
      <c r="Y224" s="102"/>
      <c r="Z224" s="102"/>
      <c r="AA224" s="238"/>
      <c r="AB224" s="240"/>
      <c r="AC224" s="102"/>
      <c r="AD224" s="102"/>
      <c r="AE224" s="102"/>
      <c r="AF224" s="102"/>
      <c r="AG224" s="102"/>
      <c r="AH224" s="102"/>
      <c r="AI224" s="102"/>
      <c r="AJ224" s="102"/>
      <c r="AK224" s="238"/>
      <c r="AL224" s="263">
        <f t="shared" si="12"/>
        <v>1</v>
      </c>
      <c r="AM224" s="111">
        <f>0</f>
        <v>0</v>
      </c>
      <c r="AN224" s="264">
        <f t="shared" si="13"/>
        <v>1</v>
      </c>
      <c r="AO224" s="248">
        <v>45082</v>
      </c>
      <c r="AP224" s="215" t="s">
        <v>273</v>
      </c>
      <c r="AQ224" s="214" t="s">
        <v>869</v>
      </c>
      <c r="AR224" s="214" t="s">
        <v>148</v>
      </c>
      <c r="AS224" s="194"/>
      <c r="AT224" s="188"/>
      <c r="AU224" s="189"/>
      <c r="AV224" s="189"/>
      <c r="AW224" s="189"/>
      <c r="AX224" s="190"/>
      <c r="AY224" s="191"/>
      <c r="AZ224" s="192"/>
      <c r="BA224" s="91"/>
      <c r="BB224" s="91"/>
      <c r="BC224" s="91"/>
    </row>
    <row r="225" spans="1:55" ht="28" hidden="1" customHeight="1">
      <c r="A225" s="219">
        <v>220</v>
      </c>
      <c r="B225" s="182">
        <v>45079</v>
      </c>
      <c r="C225" s="87" t="s">
        <v>134</v>
      </c>
      <c r="D225" s="87" t="s">
        <v>135</v>
      </c>
      <c r="E225" s="87" t="s">
        <v>136</v>
      </c>
      <c r="F225" s="211" t="s">
        <v>668</v>
      </c>
      <c r="G225" s="211" t="s">
        <v>797</v>
      </c>
      <c r="H225" s="211" t="s">
        <v>110</v>
      </c>
      <c r="I225" s="220" t="s">
        <v>798</v>
      </c>
      <c r="J225" s="221" t="s">
        <v>799</v>
      </c>
      <c r="K225" s="211"/>
      <c r="L225" s="211" t="s">
        <v>153</v>
      </c>
      <c r="M225" s="211" t="s">
        <v>154</v>
      </c>
      <c r="N225" s="220"/>
      <c r="O225" s="220" t="s">
        <v>155</v>
      </c>
      <c r="P225" s="214"/>
      <c r="Q225" s="214"/>
      <c r="R225" s="236">
        <f>0</f>
        <v>0</v>
      </c>
      <c r="S225" s="102"/>
      <c r="T225" s="102"/>
      <c r="U225" s="102"/>
      <c r="V225" s="102"/>
      <c r="W225" s="196">
        <v>1</v>
      </c>
      <c r="X225" s="102"/>
      <c r="Y225" s="102"/>
      <c r="Z225" s="102"/>
      <c r="AA225" s="238"/>
      <c r="AB225" s="240"/>
      <c r="AC225" s="102"/>
      <c r="AD225" s="102"/>
      <c r="AE225" s="102"/>
      <c r="AF225" s="102"/>
      <c r="AG225" s="102"/>
      <c r="AH225" s="102"/>
      <c r="AI225" s="102"/>
      <c r="AJ225" s="102"/>
      <c r="AK225" s="238"/>
      <c r="AL225" s="263">
        <f t="shared" si="12"/>
        <v>1</v>
      </c>
      <c r="AM225" s="111">
        <f>0</f>
        <v>0</v>
      </c>
      <c r="AN225" s="264">
        <f t="shared" si="13"/>
        <v>1</v>
      </c>
      <c r="AO225" s="248">
        <v>45082</v>
      </c>
      <c r="AP225" s="215" t="s">
        <v>273</v>
      </c>
      <c r="AQ225" s="214" t="s">
        <v>869</v>
      </c>
      <c r="AR225" s="214" t="s">
        <v>148</v>
      </c>
      <c r="AS225" s="194"/>
      <c r="AT225" s="188"/>
      <c r="AU225" s="189"/>
      <c r="AV225" s="189"/>
      <c r="AW225" s="189"/>
      <c r="AX225" s="190"/>
      <c r="AY225" s="191"/>
      <c r="AZ225" s="192"/>
      <c r="BA225" s="91"/>
      <c r="BB225" s="91"/>
      <c r="BC225" s="91"/>
    </row>
    <row r="226" spans="1:55" ht="28" hidden="1" customHeight="1">
      <c r="A226" s="219">
        <v>221</v>
      </c>
      <c r="B226" s="182">
        <v>45079</v>
      </c>
      <c r="C226" s="87" t="s">
        <v>134</v>
      </c>
      <c r="D226" s="87" t="s">
        <v>135</v>
      </c>
      <c r="E226" s="87" t="s">
        <v>136</v>
      </c>
      <c r="F226" s="211" t="s">
        <v>668</v>
      </c>
      <c r="G226" s="211" t="s">
        <v>800</v>
      </c>
      <c r="H226" s="211" t="s">
        <v>110</v>
      </c>
      <c r="I226" s="220" t="s">
        <v>724</v>
      </c>
      <c r="J226" s="221" t="s">
        <v>801</v>
      </c>
      <c r="K226" s="211"/>
      <c r="L226" s="211" t="s">
        <v>748</v>
      </c>
      <c r="M226" s="211" t="s">
        <v>154</v>
      </c>
      <c r="N226" s="220"/>
      <c r="O226" s="220" t="s">
        <v>80</v>
      </c>
      <c r="P226" s="214"/>
      <c r="Q226" s="214"/>
      <c r="R226" s="236">
        <f>0</f>
        <v>0</v>
      </c>
      <c r="S226" s="102"/>
      <c r="T226" s="102"/>
      <c r="U226" s="102"/>
      <c r="V226" s="102"/>
      <c r="W226" s="196">
        <v>1</v>
      </c>
      <c r="X226" s="102"/>
      <c r="Y226" s="102"/>
      <c r="Z226" s="102"/>
      <c r="AA226" s="238"/>
      <c r="AB226" s="240"/>
      <c r="AC226" s="102"/>
      <c r="AD226" s="102"/>
      <c r="AE226" s="102"/>
      <c r="AF226" s="102"/>
      <c r="AG226" s="102"/>
      <c r="AH226" s="102"/>
      <c r="AI226" s="102"/>
      <c r="AJ226" s="102"/>
      <c r="AK226" s="238"/>
      <c r="AL226" s="263">
        <f t="shared" si="12"/>
        <v>1</v>
      </c>
      <c r="AM226" s="111">
        <f>0</f>
        <v>0</v>
      </c>
      <c r="AN226" s="264">
        <f t="shared" si="13"/>
        <v>1</v>
      </c>
      <c r="AO226" s="248">
        <v>45082</v>
      </c>
      <c r="AP226" s="215" t="s">
        <v>273</v>
      </c>
      <c r="AQ226" s="214" t="s">
        <v>869</v>
      </c>
      <c r="AR226" s="214" t="s">
        <v>148</v>
      </c>
      <c r="AS226" s="194"/>
      <c r="AT226" s="188"/>
      <c r="AU226" s="189"/>
      <c r="AV226" s="189"/>
      <c r="AW226" s="189"/>
      <c r="AX226" s="190"/>
      <c r="AY226" s="191"/>
      <c r="AZ226" s="192"/>
      <c r="BA226" s="91"/>
      <c r="BB226" s="91"/>
      <c r="BC226" s="91"/>
    </row>
    <row r="227" spans="1:55" ht="28" hidden="1" customHeight="1">
      <c r="A227" s="219">
        <v>222</v>
      </c>
      <c r="B227" s="182">
        <v>45079</v>
      </c>
      <c r="C227" s="87" t="s">
        <v>134</v>
      </c>
      <c r="D227" s="87" t="s">
        <v>135</v>
      </c>
      <c r="E227" s="87" t="s">
        <v>136</v>
      </c>
      <c r="F227" s="211" t="s">
        <v>668</v>
      </c>
      <c r="G227" s="211" t="s">
        <v>802</v>
      </c>
      <c r="H227" s="211" t="s">
        <v>110</v>
      </c>
      <c r="I227" s="220" t="s">
        <v>803</v>
      </c>
      <c r="J227" s="221" t="s">
        <v>804</v>
      </c>
      <c r="K227" s="211"/>
      <c r="L227" s="211" t="s">
        <v>389</v>
      </c>
      <c r="M227" s="211" t="s">
        <v>481</v>
      </c>
      <c r="N227" s="220" t="s">
        <v>659</v>
      </c>
      <c r="O227" s="220" t="s">
        <v>80</v>
      </c>
      <c r="P227" s="214"/>
      <c r="Q227" s="214"/>
      <c r="R227" s="236">
        <f>0</f>
        <v>0</v>
      </c>
      <c r="S227" s="102"/>
      <c r="T227" s="102"/>
      <c r="U227" s="102"/>
      <c r="V227" s="102"/>
      <c r="W227" s="196">
        <v>1</v>
      </c>
      <c r="X227" s="102"/>
      <c r="Y227" s="102"/>
      <c r="Z227" s="102"/>
      <c r="AA227" s="238"/>
      <c r="AB227" s="240"/>
      <c r="AC227" s="102"/>
      <c r="AD227" s="102"/>
      <c r="AE227" s="102"/>
      <c r="AF227" s="102"/>
      <c r="AG227" s="102"/>
      <c r="AH227" s="102"/>
      <c r="AI227" s="102"/>
      <c r="AJ227" s="102"/>
      <c r="AK227" s="238"/>
      <c r="AL227" s="263">
        <f t="shared" ref="AL227:AL258" si="14">SUM(R227:AK227)</f>
        <v>1</v>
      </c>
      <c r="AM227" s="111">
        <f>0</f>
        <v>0</v>
      </c>
      <c r="AN227" s="264">
        <f t="shared" ref="AN227:AN258" si="15">AL227-AM227</f>
        <v>1</v>
      </c>
      <c r="AO227" s="248">
        <v>45090</v>
      </c>
      <c r="AP227" s="215" t="s">
        <v>273</v>
      </c>
      <c r="AQ227" s="117" t="s">
        <v>1287</v>
      </c>
      <c r="AR227" s="214" t="s">
        <v>148</v>
      </c>
      <c r="AS227" s="194"/>
      <c r="AT227" s="188"/>
      <c r="AU227" s="189"/>
      <c r="AV227" s="189"/>
      <c r="AW227" s="189"/>
      <c r="AX227" s="190"/>
      <c r="AY227" s="191"/>
      <c r="AZ227" s="192"/>
      <c r="BA227" s="91"/>
      <c r="BB227" s="91"/>
      <c r="BC227" s="91"/>
    </row>
    <row r="228" spans="1:55" ht="28" hidden="1" customHeight="1">
      <c r="A228" s="219">
        <v>223</v>
      </c>
      <c r="B228" s="182">
        <v>45079</v>
      </c>
      <c r="C228" s="87" t="s">
        <v>134</v>
      </c>
      <c r="D228" s="87" t="s">
        <v>135</v>
      </c>
      <c r="E228" s="87" t="s">
        <v>136</v>
      </c>
      <c r="F228" s="211" t="s">
        <v>668</v>
      </c>
      <c r="G228" s="211" t="s">
        <v>805</v>
      </c>
      <c r="H228" s="211" t="s">
        <v>110</v>
      </c>
      <c r="I228" s="220" t="s">
        <v>806</v>
      </c>
      <c r="J228" s="221" t="s">
        <v>807</v>
      </c>
      <c r="K228" s="211"/>
      <c r="L228" s="211" t="s">
        <v>389</v>
      </c>
      <c r="M228" s="211" t="s">
        <v>481</v>
      </c>
      <c r="N228" s="220" t="s">
        <v>659</v>
      </c>
      <c r="O228" s="220" t="s">
        <v>80</v>
      </c>
      <c r="P228" s="214"/>
      <c r="Q228" s="214"/>
      <c r="R228" s="236">
        <f>0</f>
        <v>0</v>
      </c>
      <c r="S228" s="102"/>
      <c r="T228" s="102"/>
      <c r="U228" s="102"/>
      <c r="V228" s="102"/>
      <c r="W228" s="196">
        <v>1</v>
      </c>
      <c r="X228" s="102"/>
      <c r="Y228" s="102"/>
      <c r="Z228" s="102"/>
      <c r="AA228" s="238"/>
      <c r="AB228" s="240"/>
      <c r="AC228" s="102"/>
      <c r="AD228" s="102"/>
      <c r="AE228" s="102"/>
      <c r="AF228" s="102"/>
      <c r="AG228" s="102"/>
      <c r="AH228" s="102"/>
      <c r="AI228" s="102"/>
      <c r="AJ228" s="102"/>
      <c r="AK228" s="238"/>
      <c r="AL228" s="263">
        <f t="shared" si="14"/>
        <v>1</v>
      </c>
      <c r="AM228" s="111">
        <f>0</f>
        <v>0</v>
      </c>
      <c r="AN228" s="264">
        <f t="shared" si="15"/>
        <v>1</v>
      </c>
      <c r="AO228" s="248">
        <v>45090</v>
      </c>
      <c r="AP228" s="215" t="s">
        <v>273</v>
      </c>
      <c r="AQ228" s="117" t="s">
        <v>1287</v>
      </c>
      <c r="AR228" s="214" t="s">
        <v>148</v>
      </c>
      <c r="AS228" s="194"/>
      <c r="AT228" s="188"/>
      <c r="AU228" s="189"/>
      <c r="AV228" s="189"/>
      <c r="AW228" s="189"/>
      <c r="AX228" s="190"/>
      <c r="AY228" s="191"/>
      <c r="AZ228" s="192"/>
      <c r="BA228" s="91"/>
      <c r="BB228" s="91"/>
      <c r="BC228" s="91"/>
    </row>
    <row r="229" spans="1:55" ht="28" hidden="1" customHeight="1">
      <c r="A229" s="219">
        <v>224</v>
      </c>
      <c r="B229" s="182">
        <v>45079</v>
      </c>
      <c r="C229" s="87" t="s">
        <v>134</v>
      </c>
      <c r="D229" s="87" t="s">
        <v>135</v>
      </c>
      <c r="E229" s="87" t="s">
        <v>136</v>
      </c>
      <c r="F229" s="211" t="s">
        <v>668</v>
      </c>
      <c r="G229" s="211" t="s">
        <v>808</v>
      </c>
      <c r="H229" s="211" t="s">
        <v>110</v>
      </c>
      <c r="I229" s="220" t="s">
        <v>809</v>
      </c>
      <c r="J229" s="221" t="s">
        <v>810</v>
      </c>
      <c r="K229" s="211"/>
      <c r="L229" s="211" t="s">
        <v>389</v>
      </c>
      <c r="M229" s="211" t="s">
        <v>481</v>
      </c>
      <c r="N229" s="220" t="s">
        <v>659</v>
      </c>
      <c r="O229" s="220" t="s">
        <v>80</v>
      </c>
      <c r="P229" s="214"/>
      <c r="Q229" s="214"/>
      <c r="R229" s="236">
        <f>0</f>
        <v>0</v>
      </c>
      <c r="S229" s="102"/>
      <c r="T229" s="102"/>
      <c r="U229" s="102"/>
      <c r="V229" s="102"/>
      <c r="W229" s="196">
        <v>1</v>
      </c>
      <c r="X229" s="102"/>
      <c r="Y229" s="102"/>
      <c r="Z229" s="102"/>
      <c r="AA229" s="238"/>
      <c r="AB229" s="240"/>
      <c r="AC229" s="102"/>
      <c r="AD229" s="102"/>
      <c r="AE229" s="102"/>
      <c r="AF229" s="102"/>
      <c r="AG229" s="102"/>
      <c r="AH229" s="102"/>
      <c r="AI229" s="102"/>
      <c r="AJ229" s="102"/>
      <c r="AK229" s="238"/>
      <c r="AL229" s="263">
        <f t="shared" si="14"/>
        <v>1</v>
      </c>
      <c r="AM229" s="111">
        <f>0</f>
        <v>0</v>
      </c>
      <c r="AN229" s="264">
        <f t="shared" si="15"/>
        <v>1</v>
      </c>
      <c r="AO229" s="248">
        <v>45090</v>
      </c>
      <c r="AP229" s="215" t="s">
        <v>273</v>
      </c>
      <c r="AQ229" s="117" t="s">
        <v>1287</v>
      </c>
      <c r="AR229" s="214" t="s">
        <v>148</v>
      </c>
      <c r="AS229" s="194"/>
      <c r="AT229" s="188"/>
      <c r="AU229" s="189"/>
      <c r="AV229" s="189"/>
      <c r="AW229" s="189"/>
      <c r="AX229" s="190"/>
      <c r="AY229" s="191"/>
      <c r="AZ229" s="192"/>
      <c r="BA229" s="91"/>
      <c r="BB229" s="91"/>
      <c r="BC229" s="91"/>
    </row>
    <row r="230" spans="1:55" ht="28" hidden="1" customHeight="1">
      <c r="A230" s="219">
        <v>225</v>
      </c>
      <c r="B230" s="182">
        <v>45079</v>
      </c>
      <c r="C230" s="87" t="s">
        <v>134</v>
      </c>
      <c r="D230" s="87" t="s">
        <v>135</v>
      </c>
      <c r="E230" s="87" t="s">
        <v>136</v>
      </c>
      <c r="F230" s="211" t="s">
        <v>668</v>
      </c>
      <c r="G230" s="211" t="s">
        <v>811</v>
      </c>
      <c r="H230" s="211" t="s">
        <v>110</v>
      </c>
      <c r="I230" s="220" t="s">
        <v>812</v>
      </c>
      <c r="J230" s="221" t="s">
        <v>813</v>
      </c>
      <c r="K230" s="211"/>
      <c r="L230" s="211" t="s">
        <v>389</v>
      </c>
      <c r="M230" s="211" t="s">
        <v>481</v>
      </c>
      <c r="N230" s="220" t="s">
        <v>659</v>
      </c>
      <c r="O230" s="220" t="s">
        <v>80</v>
      </c>
      <c r="P230" s="214"/>
      <c r="Q230" s="214"/>
      <c r="R230" s="236">
        <f>0</f>
        <v>0</v>
      </c>
      <c r="S230" s="102"/>
      <c r="T230" s="102"/>
      <c r="U230" s="102"/>
      <c r="V230" s="102"/>
      <c r="W230" s="196">
        <v>1</v>
      </c>
      <c r="X230" s="102"/>
      <c r="Y230" s="102"/>
      <c r="Z230" s="102"/>
      <c r="AA230" s="238"/>
      <c r="AB230" s="240"/>
      <c r="AC230" s="102"/>
      <c r="AD230" s="102"/>
      <c r="AE230" s="102"/>
      <c r="AF230" s="102"/>
      <c r="AG230" s="102"/>
      <c r="AH230" s="102"/>
      <c r="AI230" s="102"/>
      <c r="AJ230" s="102"/>
      <c r="AK230" s="238"/>
      <c r="AL230" s="263">
        <f t="shared" si="14"/>
        <v>1</v>
      </c>
      <c r="AM230" s="111">
        <f>0</f>
        <v>0</v>
      </c>
      <c r="AN230" s="264">
        <f t="shared" si="15"/>
        <v>1</v>
      </c>
      <c r="AO230" s="248">
        <v>45090</v>
      </c>
      <c r="AP230" s="215" t="s">
        <v>273</v>
      </c>
      <c r="AQ230" s="117" t="s">
        <v>1287</v>
      </c>
      <c r="AR230" s="214" t="s">
        <v>148</v>
      </c>
      <c r="AS230" s="194"/>
      <c r="AT230" s="188"/>
      <c r="AU230" s="189"/>
      <c r="AV230" s="189"/>
      <c r="AW230" s="189"/>
      <c r="AX230" s="190"/>
      <c r="AY230" s="191"/>
      <c r="AZ230" s="192"/>
      <c r="BA230" s="91"/>
      <c r="BB230" s="91"/>
      <c r="BC230" s="91"/>
    </row>
    <row r="231" spans="1:55" ht="28" hidden="1" customHeight="1">
      <c r="A231" s="219">
        <v>226</v>
      </c>
      <c r="B231" s="182">
        <v>45079</v>
      </c>
      <c r="C231" s="87" t="s">
        <v>134</v>
      </c>
      <c r="D231" s="87" t="s">
        <v>135</v>
      </c>
      <c r="E231" s="87" t="s">
        <v>136</v>
      </c>
      <c r="F231" s="211" t="s">
        <v>668</v>
      </c>
      <c r="G231" s="211" t="s">
        <v>814</v>
      </c>
      <c r="H231" s="211" t="s">
        <v>110</v>
      </c>
      <c r="I231" s="220" t="s">
        <v>815</v>
      </c>
      <c r="J231" s="221" t="s">
        <v>816</v>
      </c>
      <c r="K231" s="211"/>
      <c r="L231" s="211" t="s">
        <v>389</v>
      </c>
      <c r="M231" s="211" t="s">
        <v>481</v>
      </c>
      <c r="N231" s="220" t="s">
        <v>659</v>
      </c>
      <c r="O231" s="220" t="s">
        <v>80</v>
      </c>
      <c r="P231" s="214"/>
      <c r="Q231" s="214"/>
      <c r="R231" s="236">
        <f>0</f>
        <v>0</v>
      </c>
      <c r="S231" s="102"/>
      <c r="T231" s="102"/>
      <c r="U231" s="102"/>
      <c r="V231" s="102"/>
      <c r="W231" s="196">
        <v>1</v>
      </c>
      <c r="X231" s="102"/>
      <c r="Y231" s="102"/>
      <c r="Z231" s="102"/>
      <c r="AA231" s="238"/>
      <c r="AB231" s="240"/>
      <c r="AC231" s="102"/>
      <c r="AD231" s="102"/>
      <c r="AE231" s="102"/>
      <c r="AF231" s="102"/>
      <c r="AG231" s="102"/>
      <c r="AH231" s="102"/>
      <c r="AI231" s="102"/>
      <c r="AJ231" s="102"/>
      <c r="AK231" s="238"/>
      <c r="AL231" s="263">
        <f t="shared" si="14"/>
        <v>1</v>
      </c>
      <c r="AM231" s="111">
        <f>0</f>
        <v>0</v>
      </c>
      <c r="AN231" s="264">
        <f t="shared" si="15"/>
        <v>1</v>
      </c>
      <c r="AO231" s="248">
        <v>45090</v>
      </c>
      <c r="AP231" s="215" t="s">
        <v>273</v>
      </c>
      <c r="AQ231" s="117" t="s">
        <v>1287</v>
      </c>
      <c r="AR231" s="214" t="s">
        <v>667</v>
      </c>
      <c r="AS231" s="194"/>
      <c r="AT231" s="188"/>
      <c r="AU231" s="189"/>
      <c r="AV231" s="189"/>
      <c r="AW231" s="189"/>
      <c r="AX231" s="190"/>
      <c r="AY231" s="191"/>
      <c r="AZ231" s="192"/>
      <c r="BA231" s="91"/>
      <c r="BB231" s="91"/>
      <c r="BC231" s="91"/>
    </row>
    <row r="232" spans="1:55" ht="28" hidden="1" customHeight="1">
      <c r="A232" s="219">
        <v>227</v>
      </c>
      <c r="B232" s="182">
        <v>45079</v>
      </c>
      <c r="C232" s="87" t="s">
        <v>134</v>
      </c>
      <c r="D232" s="87" t="s">
        <v>135</v>
      </c>
      <c r="E232" s="87" t="s">
        <v>136</v>
      </c>
      <c r="F232" s="211" t="s">
        <v>668</v>
      </c>
      <c r="G232" s="211" t="s">
        <v>817</v>
      </c>
      <c r="H232" s="211" t="s">
        <v>110</v>
      </c>
      <c r="I232" s="220" t="s">
        <v>818</v>
      </c>
      <c r="J232" s="221" t="s">
        <v>819</v>
      </c>
      <c r="K232" s="211"/>
      <c r="L232" s="211" t="s">
        <v>389</v>
      </c>
      <c r="M232" s="211" t="s">
        <v>481</v>
      </c>
      <c r="N232" s="220" t="s">
        <v>659</v>
      </c>
      <c r="O232" s="220" t="s">
        <v>80</v>
      </c>
      <c r="P232" s="214"/>
      <c r="Q232" s="214"/>
      <c r="R232" s="236">
        <f>0</f>
        <v>0</v>
      </c>
      <c r="S232" s="102"/>
      <c r="T232" s="102"/>
      <c r="U232" s="102"/>
      <c r="V232" s="102"/>
      <c r="W232" s="196">
        <v>1</v>
      </c>
      <c r="X232" s="102"/>
      <c r="Y232" s="102"/>
      <c r="Z232" s="102"/>
      <c r="AA232" s="238"/>
      <c r="AB232" s="240"/>
      <c r="AC232" s="102"/>
      <c r="AD232" s="102"/>
      <c r="AE232" s="102"/>
      <c r="AF232" s="102"/>
      <c r="AG232" s="102"/>
      <c r="AH232" s="102"/>
      <c r="AI232" s="102"/>
      <c r="AJ232" s="102"/>
      <c r="AK232" s="238"/>
      <c r="AL232" s="263">
        <f t="shared" si="14"/>
        <v>1</v>
      </c>
      <c r="AM232" s="111">
        <f>0</f>
        <v>0</v>
      </c>
      <c r="AN232" s="264">
        <f t="shared" si="15"/>
        <v>1</v>
      </c>
      <c r="AO232" s="248">
        <v>45090</v>
      </c>
      <c r="AP232" s="215" t="s">
        <v>273</v>
      </c>
      <c r="AQ232" s="117" t="s">
        <v>1287</v>
      </c>
      <c r="AR232" s="214" t="s">
        <v>667</v>
      </c>
      <c r="AS232" s="194"/>
      <c r="AT232" s="188"/>
      <c r="AU232" s="189"/>
      <c r="AV232" s="189"/>
      <c r="AW232" s="189"/>
      <c r="AX232" s="190"/>
      <c r="AY232" s="191"/>
      <c r="AZ232" s="192"/>
      <c r="BA232" s="91"/>
      <c r="BB232" s="91"/>
      <c r="BC232" s="91"/>
    </row>
    <row r="233" spans="1:55" ht="28" hidden="1" customHeight="1">
      <c r="A233" s="219">
        <v>228</v>
      </c>
      <c r="B233" s="182">
        <v>45079</v>
      </c>
      <c r="C233" s="87" t="s">
        <v>134</v>
      </c>
      <c r="D233" s="87" t="s">
        <v>135</v>
      </c>
      <c r="E233" s="87" t="s">
        <v>136</v>
      </c>
      <c r="F233" s="211" t="s">
        <v>668</v>
      </c>
      <c r="G233" s="211" t="s">
        <v>820</v>
      </c>
      <c r="H233" s="211" t="s">
        <v>110</v>
      </c>
      <c r="I233" s="220" t="s">
        <v>821</v>
      </c>
      <c r="J233" s="221" t="s">
        <v>822</v>
      </c>
      <c r="K233" s="211"/>
      <c r="L233" s="211" t="s">
        <v>389</v>
      </c>
      <c r="M233" s="211" t="s">
        <v>481</v>
      </c>
      <c r="N233" s="220" t="s">
        <v>659</v>
      </c>
      <c r="O233" s="220" t="s">
        <v>80</v>
      </c>
      <c r="P233" s="214"/>
      <c r="Q233" s="214"/>
      <c r="R233" s="236">
        <f>0</f>
        <v>0</v>
      </c>
      <c r="S233" s="102"/>
      <c r="T233" s="102"/>
      <c r="U233" s="102"/>
      <c r="V233" s="102"/>
      <c r="W233" s="196">
        <v>1</v>
      </c>
      <c r="X233" s="102"/>
      <c r="Y233" s="102"/>
      <c r="Z233" s="102"/>
      <c r="AA233" s="238"/>
      <c r="AB233" s="240"/>
      <c r="AC233" s="102"/>
      <c r="AD233" s="102"/>
      <c r="AE233" s="102"/>
      <c r="AF233" s="102"/>
      <c r="AG233" s="102"/>
      <c r="AH233" s="102"/>
      <c r="AI233" s="102"/>
      <c r="AJ233" s="102"/>
      <c r="AK233" s="238"/>
      <c r="AL233" s="263">
        <f t="shared" si="14"/>
        <v>1</v>
      </c>
      <c r="AM233" s="111">
        <f>0</f>
        <v>0</v>
      </c>
      <c r="AN233" s="264">
        <f t="shared" si="15"/>
        <v>1</v>
      </c>
      <c r="AO233" s="248">
        <v>45090</v>
      </c>
      <c r="AP233" s="215" t="s">
        <v>273</v>
      </c>
      <c r="AQ233" s="117" t="s">
        <v>1287</v>
      </c>
      <c r="AR233" s="214" t="s">
        <v>667</v>
      </c>
      <c r="AS233" s="194"/>
      <c r="AT233" s="188"/>
      <c r="AU233" s="189"/>
      <c r="AV233" s="189"/>
      <c r="AW233" s="189"/>
      <c r="AX233" s="190"/>
      <c r="AY233" s="191"/>
      <c r="AZ233" s="192"/>
      <c r="BA233" s="91"/>
      <c r="BB233" s="91"/>
      <c r="BC233" s="91"/>
    </row>
    <row r="234" spans="1:55" ht="28" hidden="1" customHeight="1">
      <c r="A234" s="219">
        <v>229</v>
      </c>
      <c r="B234" s="182">
        <v>45079</v>
      </c>
      <c r="C234" s="87" t="s">
        <v>134</v>
      </c>
      <c r="D234" s="87" t="s">
        <v>135</v>
      </c>
      <c r="E234" s="87" t="s">
        <v>136</v>
      </c>
      <c r="F234" s="211" t="s">
        <v>668</v>
      </c>
      <c r="G234" s="211" t="s">
        <v>823</v>
      </c>
      <c r="H234" s="211" t="s">
        <v>110</v>
      </c>
      <c r="I234" s="220" t="s">
        <v>824</v>
      </c>
      <c r="J234" s="221" t="s">
        <v>825</v>
      </c>
      <c r="K234" s="211"/>
      <c r="L234" s="211" t="s">
        <v>389</v>
      </c>
      <c r="M234" s="211" t="s">
        <v>481</v>
      </c>
      <c r="N234" s="220" t="s">
        <v>659</v>
      </c>
      <c r="O234" s="220" t="s">
        <v>80</v>
      </c>
      <c r="P234" s="214"/>
      <c r="Q234" s="214"/>
      <c r="R234" s="236">
        <f>0</f>
        <v>0</v>
      </c>
      <c r="S234" s="102"/>
      <c r="T234" s="102"/>
      <c r="U234" s="102"/>
      <c r="V234" s="102"/>
      <c r="W234" s="196">
        <v>1</v>
      </c>
      <c r="X234" s="102"/>
      <c r="Y234" s="102"/>
      <c r="Z234" s="102"/>
      <c r="AA234" s="238"/>
      <c r="AB234" s="240"/>
      <c r="AC234" s="102"/>
      <c r="AD234" s="102"/>
      <c r="AE234" s="102"/>
      <c r="AF234" s="102"/>
      <c r="AG234" s="102"/>
      <c r="AH234" s="102"/>
      <c r="AI234" s="102"/>
      <c r="AJ234" s="102"/>
      <c r="AK234" s="238"/>
      <c r="AL234" s="263">
        <f t="shared" si="14"/>
        <v>1</v>
      </c>
      <c r="AM234" s="111">
        <f>0</f>
        <v>0</v>
      </c>
      <c r="AN234" s="264">
        <f t="shared" si="15"/>
        <v>1</v>
      </c>
      <c r="AO234" s="248">
        <v>45090</v>
      </c>
      <c r="AP234" s="215" t="s">
        <v>273</v>
      </c>
      <c r="AQ234" s="117" t="s">
        <v>1287</v>
      </c>
      <c r="AR234" s="214" t="s">
        <v>667</v>
      </c>
      <c r="AS234" s="194"/>
      <c r="AT234" s="188"/>
      <c r="AU234" s="189"/>
      <c r="AV234" s="189"/>
      <c r="AW234" s="189"/>
      <c r="AX234" s="190"/>
      <c r="AY234" s="191"/>
      <c r="AZ234" s="192"/>
      <c r="BA234" s="91"/>
      <c r="BB234" s="91"/>
      <c r="BC234" s="91"/>
    </row>
    <row r="235" spans="1:55" ht="28" hidden="1" customHeight="1">
      <c r="A235" s="219">
        <v>230</v>
      </c>
      <c r="B235" s="182">
        <v>45079</v>
      </c>
      <c r="C235" s="87" t="s">
        <v>134</v>
      </c>
      <c r="D235" s="87" t="s">
        <v>135</v>
      </c>
      <c r="E235" s="87" t="s">
        <v>136</v>
      </c>
      <c r="F235" s="211" t="s">
        <v>668</v>
      </c>
      <c r="G235" s="211" t="s">
        <v>828</v>
      </c>
      <c r="H235" s="211" t="s">
        <v>110</v>
      </c>
      <c r="I235" s="220" t="s">
        <v>827</v>
      </c>
      <c r="J235" s="221" t="s">
        <v>829</v>
      </c>
      <c r="K235" s="211"/>
      <c r="L235" s="211" t="s">
        <v>209</v>
      </c>
      <c r="M235" s="211" t="s">
        <v>114</v>
      </c>
      <c r="N235" s="220"/>
      <c r="O235" s="220" t="s">
        <v>80</v>
      </c>
      <c r="P235" s="214"/>
      <c r="Q235" s="214"/>
      <c r="R235" s="236">
        <f>0</f>
        <v>0</v>
      </c>
      <c r="S235" s="102"/>
      <c r="T235" s="102"/>
      <c r="U235" s="102"/>
      <c r="V235" s="102"/>
      <c r="W235" s="196">
        <v>1</v>
      </c>
      <c r="X235" s="102"/>
      <c r="Y235" s="102"/>
      <c r="Z235" s="102"/>
      <c r="AA235" s="238"/>
      <c r="AB235" s="240"/>
      <c r="AC235" s="102"/>
      <c r="AD235" s="102"/>
      <c r="AE235" s="102"/>
      <c r="AF235" s="102"/>
      <c r="AG235" s="102"/>
      <c r="AH235" s="102"/>
      <c r="AI235" s="102"/>
      <c r="AJ235" s="102"/>
      <c r="AK235" s="238"/>
      <c r="AL235" s="263">
        <f t="shared" si="14"/>
        <v>1</v>
      </c>
      <c r="AM235" s="111">
        <f>0</f>
        <v>0</v>
      </c>
      <c r="AN235" s="264">
        <f t="shared" si="15"/>
        <v>1</v>
      </c>
      <c r="AO235" s="248">
        <v>45082</v>
      </c>
      <c r="AP235" s="215" t="s">
        <v>273</v>
      </c>
      <c r="AQ235" s="214" t="s">
        <v>898</v>
      </c>
      <c r="AR235" s="214" t="s">
        <v>276</v>
      </c>
      <c r="AS235" s="194"/>
      <c r="AT235" s="188"/>
      <c r="AU235" s="189"/>
      <c r="AV235" s="189"/>
      <c r="AW235" s="189"/>
      <c r="AX235" s="190"/>
      <c r="AY235" s="191"/>
      <c r="AZ235" s="192"/>
      <c r="BA235" s="91"/>
      <c r="BB235" s="91"/>
      <c r="BC235" s="91"/>
    </row>
    <row r="236" spans="1:55" ht="28" hidden="1" customHeight="1">
      <c r="A236" s="219">
        <v>231</v>
      </c>
      <c r="B236" s="182">
        <v>45079</v>
      </c>
      <c r="C236" s="87" t="s">
        <v>134</v>
      </c>
      <c r="D236" s="87" t="s">
        <v>135</v>
      </c>
      <c r="E236" s="87" t="s">
        <v>136</v>
      </c>
      <c r="F236" s="211" t="s">
        <v>668</v>
      </c>
      <c r="G236" s="211" t="s">
        <v>832</v>
      </c>
      <c r="H236" s="211" t="s">
        <v>110</v>
      </c>
      <c r="I236" s="220" t="s">
        <v>830</v>
      </c>
      <c r="J236" s="221" t="s">
        <v>831</v>
      </c>
      <c r="K236" s="211"/>
      <c r="L236" s="211" t="s">
        <v>320</v>
      </c>
      <c r="M236" s="211" t="s">
        <v>481</v>
      </c>
      <c r="N236" s="220"/>
      <c r="O236" s="220" t="s">
        <v>155</v>
      </c>
      <c r="P236" s="214"/>
      <c r="Q236" s="214"/>
      <c r="R236" s="236">
        <f>0</f>
        <v>0</v>
      </c>
      <c r="S236" s="102"/>
      <c r="T236" s="102"/>
      <c r="U236" s="102"/>
      <c r="V236" s="102"/>
      <c r="W236" s="196">
        <v>1</v>
      </c>
      <c r="X236" s="102"/>
      <c r="Y236" s="102"/>
      <c r="Z236" s="102"/>
      <c r="AA236" s="238"/>
      <c r="AB236" s="240"/>
      <c r="AC236" s="102"/>
      <c r="AD236" s="102"/>
      <c r="AE236" s="102"/>
      <c r="AF236" s="102"/>
      <c r="AG236" s="102"/>
      <c r="AH236" s="102"/>
      <c r="AI236" s="102"/>
      <c r="AJ236" s="102"/>
      <c r="AK236" s="238"/>
      <c r="AL236" s="263">
        <f t="shared" si="14"/>
        <v>1</v>
      </c>
      <c r="AM236" s="111">
        <f>0</f>
        <v>0</v>
      </c>
      <c r="AN236" s="264">
        <f t="shared" si="15"/>
        <v>1</v>
      </c>
      <c r="AO236" s="248">
        <v>45082</v>
      </c>
      <c r="AP236" s="215" t="s">
        <v>273</v>
      </c>
      <c r="AQ236" s="214" t="s">
        <v>869</v>
      </c>
      <c r="AR236" s="214" t="s">
        <v>148</v>
      </c>
      <c r="AS236" s="194"/>
      <c r="AT236" s="188"/>
      <c r="AU236" s="189"/>
      <c r="AV236" s="189"/>
      <c r="AW236" s="189"/>
      <c r="AX236" s="190"/>
      <c r="AY236" s="191"/>
      <c r="AZ236" s="192"/>
      <c r="BA236" s="91"/>
      <c r="BB236" s="91"/>
      <c r="BC236" s="91"/>
    </row>
    <row r="237" spans="1:55" ht="28" hidden="1" customHeight="1">
      <c r="A237" s="219">
        <v>232</v>
      </c>
      <c r="B237" s="182">
        <v>45079</v>
      </c>
      <c r="C237" s="87" t="s">
        <v>134</v>
      </c>
      <c r="D237" s="87" t="s">
        <v>135</v>
      </c>
      <c r="E237" s="87" t="s">
        <v>136</v>
      </c>
      <c r="F237" s="211" t="s">
        <v>668</v>
      </c>
      <c r="G237" s="211" t="s">
        <v>834</v>
      </c>
      <c r="H237" s="211" t="s">
        <v>110</v>
      </c>
      <c r="I237" s="220" t="s">
        <v>835</v>
      </c>
      <c r="J237" s="221" t="s">
        <v>833</v>
      </c>
      <c r="K237" s="211"/>
      <c r="L237" s="211" t="s">
        <v>320</v>
      </c>
      <c r="M237" s="211" t="s">
        <v>481</v>
      </c>
      <c r="N237" s="220"/>
      <c r="O237" s="220" t="s">
        <v>155</v>
      </c>
      <c r="P237" s="214"/>
      <c r="Q237" s="214"/>
      <c r="R237" s="236">
        <f>0</f>
        <v>0</v>
      </c>
      <c r="S237" s="102"/>
      <c r="T237" s="102"/>
      <c r="U237" s="102"/>
      <c r="V237" s="102"/>
      <c r="W237" s="196">
        <v>1</v>
      </c>
      <c r="X237" s="102"/>
      <c r="Y237" s="102"/>
      <c r="Z237" s="102"/>
      <c r="AA237" s="238"/>
      <c r="AB237" s="240"/>
      <c r="AC237" s="102"/>
      <c r="AD237" s="102"/>
      <c r="AE237" s="102"/>
      <c r="AF237" s="102"/>
      <c r="AG237" s="102"/>
      <c r="AH237" s="102"/>
      <c r="AI237" s="102"/>
      <c r="AJ237" s="102"/>
      <c r="AK237" s="238"/>
      <c r="AL237" s="263">
        <f t="shared" si="14"/>
        <v>1</v>
      </c>
      <c r="AM237" s="111">
        <f>0</f>
        <v>0</v>
      </c>
      <c r="AN237" s="264">
        <f t="shared" si="15"/>
        <v>1</v>
      </c>
      <c r="AO237" s="248">
        <v>45082</v>
      </c>
      <c r="AP237" s="215" t="s">
        <v>273</v>
      </c>
      <c r="AQ237" s="214" t="s">
        <v>869</v>
      </c>
      <c r="AR237" s="214" t="s">
        <v>148</v>
      </c>
      <c r="AS237" s="194"/>
      <c r="AT237" s="188"/>
      <c r="AU237" s="189"/>
      <c r="AV237" s="189"/>
      <c r="AW237" s="189"/>
      <c r="AX237" s="190"/>
      <c r="AY237" s="191"/>
      <c r="AZ237" s="192"/>
      <c r="BA237" s="91"/>
      <c r="BB237" s="91"/>
      <c r="BC237" s="91"/>
    </row>
    <row r="238" spans="1:55" ht="28" hidden="1" customHeight="1">
      <c r="A238" s="219">
        <v>233</v>
      </c>
      <c r="B238" s="182">
        <v>45079</v>
      </c>
      <c r="C238" s="87" t="s">
        <v>134</v>
      </c>
      <c r="D238" s="87" t="s">
        <v>135</v>
      </c>
      <c r="E238" s="87" t="s">
        <v>136</v>
      </c>
      <c r="F238" s="211" t="s">
        <v>668</v>
      </c>
      <c r="G238" s="211" t="s">
        <v>837</v>
      </c>
      <c r="H238" s="211" t="s">
        <v>110</v>
      </c>
      <c r="I238" s="220" t="s">
        <v>838</v>
      </c>
      <c r="J238" s="221" t="s">
        <v>836</v>
      </c>
      <c r="K238" s="211"/>
      <c r="L238" s="211" t="s">
        <v>153</v>
      </c>
      <c r="M238" s="211" t="s">
        <v>154</v>
      </c>
      <c r="N238" s="220"/>
      <c r="O238" s="220" t="s">
        <v>155</v>
      </c>
      <c r="P238" s="214"/>
      <c r="Q238" s="214"/>
      <c r="R238" s="236">
        <f>0</f>
        <v>0</v>
      </c>
      <c r="S238" s="102"/>
      <c r="T238" s="102"/>
      <c r="U238" s="102"/>
      <c r="V238" s="102"/>
      <c r="W238" s="196">
        <v>2</v>
      </c>
      <c r="X238" s="102"/>
      <c r="Y238" s="102"/>
      <c r="Z238" s="102"/>
      <c r="AA238" s="238"/>
      <c r="AB238" s="240"/>
      <c r="AC238" s="102"/>
      <c r="AD238" s="102"/>
      <c r="AE238" s="102"/>
      <c r="AF238" s="102"/>
      <c r="AG238" s="102"/>
      <c r="AH238" s="102"/>
      <c r="AI238" s="102"/>
      <c r="AJ238" s="102"/>
      <c r="AK238" s="238"/>
      <c r="AL238" s="263">
        <f t="shared" si="14"/>
        <v>2</v>
      </c>
      <c r="AM238" s="111">
        <f>0</f>
        <v>0</v>
      </c>
      <c r="AN238" s="264">
        <f t="shared" si="15"/>
        <v>2</v>
      </c>
      <c r="AO238" s="248">
        <v>45082</v>
      </c>
      <c r="AP238" s="215" t="s">
        <v>273</v>
      </c>
      <c r="AQ238" s="214" t="s">
        <v>869</v>
      </c>
      <c r="AR238" s="214" t="s">
        <v>148</v>
      </c>
      <c r="AS238" s="194"/>
      <c r="AT238" s="188"/>
      <c r="AU238" s="189"/>
      <c r="AV238" s="189"/>
      <c r="AW238" s="189"/>
      <c r="AX238" s="190"/>
      <c r="AY238" s="191"/>
      <c r="AZ238" s="192"/>
      <c r="BA238" s="91"/>
      <c r="BB238" s="91"/>
      <c r="BC238" s="91"/>
    </row>
    <row r="239" spans="1:55" ht="28" hidden="1" customHeight="1">
      <c r="A239" s="219">
        <v>234</v>
      </c>
      <c r="B239" s="182">
        <v>45079</v>
      </c>
      <c r="C239" s="87" t="s">
        <v>134</v>
      </c>
      <c r="D239" s="87" t="s">
        <v>135</v>
      </c>
      <c r="E239" s="87" t="s">
        <v>136</v>
      </c>
      <c r="F239" s="211" t="s">
        <v>668</v>
      </c>
      <c r="G239" s="211" t="s">
        <v>839</v>
      </c>
      <c r="H239" s="211" t="s">
        <v>110</v>
      </c>
      <c r="I239" s="220" t="s">
        <v>840</v>
      </c>
      <c r="J239" s="221" t="s">
        <v>841</v>
      </c>
      <c r="K239" s="211"/>
      <c r="L239" s="211" t="s">
        <v>842</v>
      </c>
      <c r="M239" s="211" t="s">
        <v>154</v>
      </c>
      <c r="N239" s="220"/>
      <c r="O239" s="220" t="s">
        <v>149</v>
      </c>
      <c r="P239" s="214"/>
      <c r="Q239" s="214"/>
      <c r="R239" s="236">
        <f>0</f>
        <v>0</v>
      </c>
      <c r="S239" s="102"/>
      <c r="T239" s="102"/>
      <c r="U239" s="102"/>
      <c r="V239" s="102"/>
      <c r="W239" s="196">
        <v>4</v>
      </c>
      <c r="X239" s="102"/>
      <c r="Y239" s="102"/>
      <c r="Z239" s="102"/>
      <c r="AA239" s="238"/>
      <c r="AB239" s="240"/>
      <c r="AC239" s="102"/>
      <c r="AD239" s="102"/>
      <c r="AE239" s="102"/>
      <c r="AF239" s="102"/>
      <c r="AG239" s="102"/>
      <c r="AH239" s="102"/>
      <c r="AI239" s="102"/>
      <c r="AJ239" s="102"/>
      <c r="AK239" s="238"/>
      <c r="AL239" s="263">
        <f t="shared" si="14"/>
        <v>4</v>
      </c>
      <c r="AM239" s="111">
        <f>0</f>
        <v>0</v>
      </c>
      <c r="AN239" s="264">
        <f t="shared" si="15"/>
        <v>4</v>
      </c>
      <c r="AO239" s="248">
        <v>45082</v>
      </c>
      <c r="AP239" s="215" t="s">
        <v>273</v>
      </c>
      <c r="AQ239" s="187" t="s">
        <v>896</v>
      </c>
      <c r="AR239" s="228" t="s">
        <v>148</v>
      </c>
      <c r="AS239" s="194"/>
      <c r="AT239" s="188"/>
      <c r="AU239" s="189"/>
      <c r="AV239" s="189"/>
      <c r="AW239" s="189"/>
      <c r="AX239" s="190"/>
      <c r="AY239" s="191"/>
      <c r="AZ239" s="192"/>
      <c r="BA239" s="91"/>
      <c r="BB239" s="91"/>
      <c r="BC239" s="91"/>
    </row>
    <row r="240" spans="1:55" ht="28" hidden="1" customHeight="1">
      <c r="A240" s="219">
        <v>235</v>
      </c>
      <c r="B240" s="182">
        <v>45079</v>
      </c>
      <c r="C240" s="87" t="s">
        <v>134</v>
      </c>
      <c r="D240" s="87" t="s">
        <v>135</v>
      </c>
      <c r="E240" s="87" t="s">
        <v>136</v>
      </c>
      <c r="F240" s="211" t="s">
        <v>668</v>
      </c>
      <c r="G240" s="211" t="s">
        <v>843</v>
      </c>
      <c r="H240" s="211" t="s">
        <v>110</v>
      </c>
      <c r="I240" s="220" t="s">
        <v>844</v>
      </c>
      <c r="J240" s="221" t="s">
        <v>845</v>
      </c>
      <c r="K240" s="211"/>
      <c r="L240" s="211" t="s">
        <v>672</v>
      </c>
      <c r="M240" s="211" t="s">
        <v>114</v>
      </c>
      <c r="N240" s="220"/>
      <c r="O240" s="220" t="s">
        <v>846</v>
      </c>
      <c r="P240" s="214"/>
      <c r="Q240" s="214"/>
      <c r="R240" s="236">
        <f>0</f>
        <v>0</v>
      </c>
      <c r="S240" s="102"/>
      <c r="T240" s="102"/>
      <c r="U240" s="102"/>
      <c r="V240" s="102"/>
      <c r="W240" s="196">
        <v>2</v>
      </c>
      <c r="X240" s="102"/>
      <c r="Y240" s="102"/>
      <c r="Z240" s="102"/>
      <c r="AA240" s="238"/>
      <c r="AB240" s="240"/>
      <c r="AC240" s="102"/>
      <c r="AD240" s="102"/>
      <c r="AE240" s="102"/>
      <c r="AF240" s="102"/>
      <c r="AG240" s="102"/>
      <c r="AH240" s="102"/>
      <c r="AI240" s="102"/>
      <c r="AJ240" s="102"/>
      <c r="AK240" s="238"/>
      <c r="AL240" s="263">
        <f t="shared" si="14"/>
        <v>2</v>
      </c>
      <c r="AM240" s="111">
        <f>0</f>
        <v>0</v>
      </c>
      <c r="AN240" s="264">
        <f t="shared" si="15"/>
        <v>2</v>
      </c>
      <c r="AO240" s="248">
        <v>45082</v>
      </c>
      <c r="AP240" s="215" t="s">
        <v>273</v>
      </c>
      <c r="AQ240" s="214" t="s">
        <v>898</v>
      </c>
      <c r="AR240" s="214" t="s">
        <v>276</v>
      </c>
      <c r="AS240" s="194"/>
      <c r="AT240" s="188"/>
      <c r="AU240" s="189"/>
      <c r="AV240" s="189"/>
      <c r="AW240" s="189"/>
      <c r="AX240" s="190"/>
      <c r="AY240" s="191"/>
      <c r="AZ240" s="192"/>
      <c r="BA240" s="91"/>
      <c r="BB240" s="91"/>
      <c r="BC240" s="91"/>
    </row>
    <row r="241" spans="1:55" ht="28" hidden="1" customHeight="1">
      <c r="A241" s="219">
        <v>236</v>
      </c>
      <c r="B241" s="182">
        <v>45079</v>
      </c>
      <c r="C241" s="87" t="s">
        <v>134</v>
      </c>
      <c r="D241" s="87" t="s">
        <v>135</v>
      </c>
      <c r="E241" s="87" t="s">
        <v>136</v>
      </c>
      <c r="F241" s="211" t="s">
        <v>668</v>
      </c>
      <c r="G241" s="211" t="s">
        <v>847</v>
      </c>
      <c r="H241" s="211" t="s">
        <v>110</v>
      </c>
      <c r="I241" s="220" t="s">
        <v>848</v>
      </c>
      <c r="J241" s="221" t="s">
        <v>849</v>
      </c>
      <c r="K241" s="211"/>
      <c r="L241" s="211" t="s">
        <v>672</v>
      </c>
      <c r="M241" s="211" t="s">
        <v>114</v>
      </c>
      <c r="N241" s="220"/>
      <c r="O241" s="220" t="s">
        <v>850</v>
      </c>
      <c r="P241" s="214"/>
      <c r="Q241" s="214"/>
      <c r="R241" s="236">
        <f>0</f>
        <v>0</v>
      </c>
      <c r="S241" s="102"/>
      <c r="T241" s="102"/>
      <c r="U241" s="102"/>
      <c r="V241" s="102"/>
      <c r="W241" s="196">
        <v>1</v>
      </c>
      <c r="X241" s="102"/>
      <c r="Y241" s="102"/>
      <c r="Z241" s="102"/>
      <c r="AA241" s="238"/>
      <c r="AB241" s="240"/>
      <c r="AC241" s="102"/>
      <c r="AD241" s="102"/>
      <c r="AE241" s="102"/>
      <c r="AF241" s="102"/>
      <c r="AG241" s="102"/>
      <c r="AH241" s="102"/>
      <c r="AI241" s="102"/>
      <c r="AJ241" s="102"/>
      <c r="AK241" s="238"/>
      <c r="AL241" s="263">
        <f t="shared" si="14"/>
        <v>1</v>
      </c>
      <c r="AM241" s="111">
        <f>0</f>
        <v>0</v>
      </c>
      <c r="AN241" s="264">
        <f t="shared" si="15"/>
        <v>1</v>
      </c>
      <c r="AO241" s="248">
        <v>45082</v>
      </c>
      <c r="AP241" s="215" t="s">
        <v>273</v>
      </c>
      <c r="AQ241" s="214" t="s">
        <v>898</v>
      </c>
      <c r="AR241" s="214" t="s">
        <v>276</v>
      </c>
      <c r="AS241" s="194"/>
      <c r="AT241" s="188"/>
      <c r="AU241" s="189"/>
      <c r="AV241" s="189"/>
      <c r="AW241" s="189"/>
      <c r="AX241" s="190"/>
      <c r="AY241" s="191"/>
      <c r="AZ241" s="192"/>
      <c r="BA241" s="91"/>
      <c r="BB241" s="91"/>
      <c r="BC241" s="91"/>
    </row>
    <row r="242" spans="1:55" ht="28" hidden="1" customHeight="1">
      <c r="A242" s="219">
        <v>237</v>
      </c>
      <c r="B242" s="182">
        <v>45079</v>
      </c>
      <c r="C242" s="87" t="s">
        <v>134</v>
      </c>
      <c r="D242" s="87" t="s">
        <v>135</v>
      </c>
      <c r="E242" s="87" t="s">
        <v>136</v>
      </c>
      <c r="F242" s="211" t="s">
        <v>668</v>
      </c>
      <c r="G242" s="211" t="s">
        <v>851</v>
      </c>
      <c r="H242" s="211" t="s">
        <v>110</v>
      </c>
      <c r="I242" s="220" t="s">
        <v>852</v>
      </c>
      <c r="J242" s="221" t="s">
        <v>853</v>
      </c>
      <c r="K242" s="211"/>
      <c r="L242" s="211" t="s">
        <v>153</v>
      </c>
      <c r="M242" s="211" t="s">
        <v>154</v>
      </c>
      <c r="N242" s="220"/>
      <c r="O242" s="220" t="s">
        <v>155</v>
      </c>
      <c r="P242" s="214"/>
      <c r="Q242" s="214"/>
      <c r="R242" s="236">
        <f>0</f>
        <v>0</v>
      </c>
      <c r="S242" s="102"/>
      <c r="T242" s="102"/>
      <c r="U242" s="102"/>
      <c r="V242" s="102"/>
      <c r="W242" s="196">
        <v>1</v>
      </c>
      <c r="X242" s="102"/>
      <c r="Y242" s="102"/>
      <c r="Z242" s="102"/>
      <c r="AA242" s="238"/>
      <c r="AB242" s="240"/>
      <c r="AC242" s="102"/>
      <c r="AD242" s="102"/>
      <c r="AE242" s="102"/>
      <c r="AF242" s="102"/>
      <c r="AG242" s="102"/>
      <c r="AH242" s="102"/>
      <c r="AI242" s="102"/>
      <c r="AJ242" s="102"/>
      <c r="AK242" s="238"/>
      <c r="AL242" s="263">
        <f t="shared" si="14"/>
        <v>1</v>
      </c>
      <c r="AM242" s="111">
        <f>0</f>
        <v>0</v>
      </c>
      <c r="AN242" s="264">
        <f t="shared" si="15"/>
        <v>1</v>
      </c>
      <c r="AO242" s="248">
        <v>45082</v>
      </c>
      <c r="AP242" s="215" t="s">
        <v>273</v>
      </c>
      <c r="AQ242" s="187" t="s">
        <v>896</v>
      </c>
      <c r="AR242" s="214" t="s">
        <v>148</v>
      </c>
      <c r="AS242" s="194"/>
      <c r="AT242" s="188"/>
      <c r="AU242" s="189"/>
      <c r="AV242" s="189"/>
      <c r="AW242" s="189"/>
      <c r="AX242" s="190"/>
      <c r="AY242" s="191"/>
      <c r="AZ242" s="192"/>
      <c r="BA242" s="91"/>
      <c r="BB242" s="91"/>
      <c r="BC242" s="91"/>
    </row>
    <row r="243" spans="1:55" ht="28" hidden="1" customHeight="1">
      <c r="A243" s="219">
        <v>238</v>
      </c>
      <c r="B243" s="182">
        <v>45079</v>
      </c>
      <c r="C243" s="87" t="s">
        <v>134</v>
      </c>
      <c r="D243" s="87" t="s">
        <v>135</v>
      </c>
      <c r="E243" s="87" t="s">
        <v>136</v>
      </c>
      <c r="F243" s="211" t="s">
        <v>668</v>
      </c>
      <c r="G243" s="211" t="s">
        <v>854</v>
      </c>
      <c r="H243" s="211" t="s">
        <v>110</v>
      </c>
      <c r="I243" s="220" t="s">
        <v>855</v>
      </c>
      <c r="J243" s="221" t="s">
        <v>856</v>
      </c>
      <c r="K243" s="211"/>
      <c r="L243" s="211" t="s">
        <v>147</v>
      </c>
      <c r="M243" s="211" t="s">
        <v>154</v>
      </c>
      <c r="N243" s="220" t="s">
        <v>214</v>
      </c>
      <c r="O243" s="220" t="s">
        <v>149</v>
      </c>
      <c r="P243" s="214"/>
      <c r="Q243" s="214"/>
      <c r="R243" s="236">
        <f>0</f>
        <v>0</v>
      </c>
      <c r="S243" s="102"/>
      <c r="T243" s="102"/>
      <c r="U243" s="102"/>
      <c r="V243" s="102"/>
      <c r="W243" s="196">
        <v>1</v>
      </c>
      <c r="X243" s="102"/>
      <c r="Y243" s="102"/>
      <c r="Z243" s="102"/>
      <c r="AA243" s="238"/>
      <c r="AB243" s="240"/>
      <c r="AC243" s="102"/>
      <c r="AD243" s="102"/>
      <c r="AE243" s="102"/>
      <c r="AF243" s="102"/>
      <c r="AG243" s="102"/>
      <c r="AH243" s="102"/>
      <c r="AI243" s="102"/>
      <c r="AJ243" s="102"/>
      <c r="AK243" s="238"/>
      <c r="AL243" s="263">
        <f t="shared" si="14"/>
        <v>1</v>
      </c>
      <c r="AM243" s="111">
        <f>0</f>
        <v>0</v>
      </c>
      <c r="AN243" s="264">
        <f t="shared" si="15"/>
        <v>1</v>
      </c>
      <c r="AO243" s="248">
        <v>45082</v>
      </c>
      <c r="AP243" s="215" t="s">
        <v>273</v>
      </c>
      <c r="AQ243" s="187" t="s">
        <v>896</v>
      </c>
      <c r="AR243" s="214" t="s">
        <v>148</v>
      </c>
      <c r="AS243" s="194"/>
      <c r="AT243" s="188"/>
      <c r="AU243" s="189"/>
      <c r="AV243" s="189"/>
      <c r="AW243" s="189"/>
      <c r="AX243" s="190"/>
      <c r="AY243" s="191"/>
      <c r="AZ243" s="192"/>
      <c r="BA243" s="91"/>
      <c r="BB243" s="91"/>
      <c r="BC243" s="91"/>
    </row>
    <row r="244" spans="1:55" ht="28" hidden="1" customHeight="1">
      <c r="A244" s="219">
        <v>239</v>
      </c>
      <c r="B244" s="182">
        <v>45079</v>
      </c>
      <c r="C244" s="87" t="s">
        <v>134</v>
      </c>
      <c r="D244" s="87" t="s">
        <v>135</v>
      </c>
      <c r="E244" s="87" t="s">
        <v>136</v>
      </c>
      <c r="F244" s="211" t="s">
        <v>265</v>
      </c>
      <c r="G244" s="211" t="s">
        <v>864</v>
      </c>
      <c r="H244" s="211" t="s">
        <v>287</v>
      </c>
      <c r="I244" s="220" t="s">
        <v>866</v>
      </c>
      <c r="J244" s="221" t="s">
        <v>857</v>
      </c>
      <c r="K244" s="211"/>
      <c r="L244" s="211" t="s">
        <v>153</v>
      </c>
      <c r="M244" s="211" t="s">
        <v>154</v>
      </c>
      <c r="N244" s="220"/>
      <c r="O244" s="220" t="s">
        <v>155</v>
      </c>
      <c r="P244" s="214"/>
      <c r="Q244" s="223"/>
      <c r="R244" s="236">
        <f>0</f>
        <v>0</v>
      </c>
      <c r="S244" s="196">
        <v>1</v>
      </c>
      <c r="T244" s="102"/>
      <c r="U244" s="102"/>
      <c r="V244" s="102"/>
      <c r="W244" s="102"/>
      <c r="X244" s="102"/>
      <c r="Y244" s="102"/>
      <c r="Z244" s="102"/>
      <c r="AA244" s="238"/>
      <c r="AB244" s="241">
        <v>1</v>
      </c>
      <c r="AC244" s="102"/>
      <c r="AD244" s="102"/>
      <c r="AE244" s="102"/>
      <c r="AF244" s="102"/>
      <c r="AG244" s="102"/>
      <c r="AH244" s="102"/>
      <c r="AI244" s="102"/>
      <c r="AJ244" s="102"/>
      <c r="AK244" s="238"/>
      <c r="AL244" s="263">
        <f t="shared" si="14"/>
        <v>2</v>
      </c>
      <c r="AM244" s="111">
        <f>0</f>
        <v>0</v>
      </c>
      <c r="AN244" s="264">
        <f t="shared" si="15"/>
        <v>2</v>
      </c>
      <c r="AO244" s="248">
        <v>45082</v>
      </c>
      <c r="AP244" s="215" t="s">
        <v>273</v>
      </c>
      <c r="AQ244" s="214" t="s">
        <v>869</v>
      </c>
      <c r="AR244" s="214" t="s">
        <v>148</v>
      </c>
      <c r="AS244" s="194"/>
      <c r="AT244" s="188"/>
      <c r="AU244" s="189"/>
      <c r="AV244" s="189"/>
      <c r="AW244" s="189"/>
      <c r="AX244" s="190"/>
      <c r="AY244" s="191"/>
      <c r="AZ244" s="192"/>
      <c r="BA244" s="91"/>
      <c r="BB244" s="91"/>
      <c r="BC244" s="91"/>
    </row>
    <row r="245" spans="1:55" ht="28" hidden="1" customHeight="1">
      <c r="A245" s="219">
        <v>240</v>
      </c>
      <c r="B245" s="182">
        <v>45079</v>
      </c>
      <c r="C245" s="87" t="s">
        <v>134</v>
      </c>
      <c r="D245" s="87" t="s">
        <v>135</v>
      </c>
      <c r="E245" s="87" t="s">
        <v>136</v>
      </c>
      <c r="F245" s="211" t="s">
        <v>265</v>
      </c>
      <c r="G245" s="211" t="s">
        <v>863</v>
      </c>
      <c r="H245" s="211" t="s">
        <v>287</v>
      </c>
      <c r="I245" s="220" t="s">
        <v>239</v>
      </c>
      <c r="J245" s="221" t="s">
        <v>858</v>
      </c>
      <c r="K245" s="211"/>
      <c r="L245" s="211" t="s">
        <v>153</v>
      </c>
      <c r="M245" s="211" t="s">
        <v>154</v>
      </c>
      <c r="N245" s="220"/>
      <c r="O245" s="220" t="s">
        <v>155</v>
      </c>
      <c r="P245" s="214"/>
      <c r="Q245" s="223"/>
      <c r="R245" s="236">
        <f>0</f>
        <v>0</v>
      </c>
      <c r="S245" s="196">
        <v>1</v>
      </c>
      <c r="T245" s="102"/>
      <c r="U245" s="102"/>
      <c r="V245" s="102"/>
      <c r="W245" s="102"/>
      <c r="X245" s="102"/>
      <c r="Y245" s="102"/>
      <c r="Z245" s="102"/>
      <c r="AA245" s="238"/>
      <c r="AB245" s="241">
        <v>1</v>
      </c>
      <c r="AC245" s="102"/>
      <c r="AD245" s="102"/>
      <c r="AE245" s="102"/>
      <c r="AF245" s="102"/>
      <c r="AG245" s="102"/>
      <c r="AH245" s="102"/>
      <c r="AI245" s="102"/>
      <c r="AJ245" s="102"/>
      <c r="AK245" s="238"/>
      <c r="AL245" s="263">
        <f t="shared" si="14"/>
        <v>2</v>
      </c>
      <c r="AM245" s="111">
        <f>0</f>
        <v>0</v>
      </c>
      <c r="AN245" s="264">
        <f t="shared" si="15"/>
        <v>2</v>
      </c>
      <c r="AO245" s="248">
        <v>45082</v>
      </c>
      <c r="AP245" s="215" t="s">
        <v>273</v>
      </c>
      <c r="AQ245" s="214" t="s">
        <v>869</v>
      </c>
      <c r="AR245" s="214" t="s">
        <v>148</v>
      </c>
      <c r="AS245" s="194"/>
      <c r="AT245" s="188"/>
      <c r="AU245" s="189"/>
      <c r="AV245" s="189"/>
      <c r="AW245" s="189"/>
      <c r="AX245" s="190"/>
      <c r="AY245" s="191"/>
      <c r="AZ245" s="192"/>
      <c r="BA245" s="91"/>
      <c r="BB245" s="91"/>
      <c r="BC245" s="91"/>
    </row>
    <row r="246" spans="1:55" ht="28" hidden="1" customHeight="1">
      <c r="A246" s="219">
        <v>241</v>
      </c>
      <c r="B246" s="182">
        <v>45079</v>
      </c>
      <c r="C246" s="87" t="s">
        <v>134</v>
      </c>
      <c r="D246" s="87" t="s">
        <v>135</v>
      </c>
      <c r="E246" s="87" t="s">
        <v>136</v>
      </c>
      <c r="F246" s="211" t="s">
        <v>265</v>
      </c>
      <c r="G246" s="211" t="s">
        <v>862</v>
      </c>
      <c r="H246" s="211" t="s">
        <v>287</v>
      </c>
      <c r="I246" s="220" t="s">
        <v>239</v>
      </c>
      <c r="J246" s="221" t="s">
        <v>859</v>
      </c>
      <c r="K246" s="211"/>
      <c r="L246" s="211" t="s">
        <v>153</v>
      </c>
      <c r="M246" s="211" t="s">
        <v>154</v>
      </c>
      <c r="N246" s="220"/>
      <c r="O246" s="220" t="s">
        <v>155</v>
      </c>
      <c r="P246" s="214"/>
      <c r="Q246" s="223"/>
      <c r="R246" s="236">
        <f>0</f>
        <v>0</v>
      </c>
      <c r="S246" s="196">
        <v>2</v>
      </c>
      <c r="T246" s="102"/>
      <c r="U246" s="102"/>
      <c r="V246" s="102"/>
      <c r="W246" s="102"/>
      <c r="X246" s="102"/>
      <c r="Y246" s="102"/>
      <c r="Z246" s="102"/>
      <c r="AA246" s="238"/>
      <c r="AB246" s="241">
        <v>2</v>
      </c>
      <c r="AC246" s="102"/>
      <c r="AD246" s="102"/>
      <c r="AE246" s="102"/>
      <c r="AF246" s="102"/>
      <c r="AG246" s="102"/>
      <c r="AH246" s="102"/>
      <c r="AI246" s="102"/>
      <c r="AJ246" s="102"/>
      <c r="AK246" s="238"/>
      <c r="AL246" s="263">
        <f t="shared" si="14"/>
        <v>4</v>
      </c>
      <c r="AM246" s="111">
        <f>0</f>
        <v>0</v>
      </c>
      <c r="AN246" s="264">
        <f t="shared" si="15"/>
        <v>4</v>
      </c>
      <c r="AO246" s="248">
        <v>45082</v>
      </c>
      <c r="AP246" s="215" t="s">
        <v>273</v>
      </c>
      <c r="AQ246" s="214" t="s">
        <v>869</v>
      </c>
      <c r="AR246" s="214" t="s">
        <v>148</v>
      </c>
      <c r="AS246" s="194"/>
      <c r="AT246" s="188"/>
      <c r="AU246" s="189"/>
      <c r="AV246" s="189"/>
      <c r="AW246" s="189"/>
      <c r="AX246" s="190"/>
      <c r="AY246" s="191"/>
      <c r="AZ246" s="192"/>
      <c r="BA246" s="91"/>
      <c r="BB246" s="91"/>
      <c r="BC246" s="91"/>
    </row>
    <row r="247" spans="1:55" ht="28" hidden="1" customHeight="1">
      <c r="A247" s="219">
        <v>242</v>
      </c>
      <c r="B247" s="182">
        <v>45079</v>
      </c>
      <c r="C247" s="87" t="s">
        <v>134</v>
      </c>
      <c r="D247" s="87" t="s">
        <v>135</v>
      </c>
      <c r="E247" s="87" t="s">
        <v>136</v>
      </c>
      <c r="F247" s="211" t="s">
        <v>265</v>
      </c>
      <c r="G247" s="211" t="s">
        <v>861</v>
      </c>
      <c r="H247" s="211" t="s">
        <v>287</v>
      </c>
      <c r="I247" s="220" t="s">
        <v>239</v>
      </c>
      <c r="J247" s="221" t="s">
        <v>860</v>
      </c>
      <c r="K247" s="211"/>
      <c r="L247" s="211" t="s">
        <v>865</v>
      </c>
      <c r="M247" s="211" t="s">
        <v>154</v>
      </c>
      <c r="N247" s="220" t="s">
        <v>80</v>
      </c>
      <c r="O247" s="220" t="s">
        <v>149</v>
      </c>
      <c r="P247" s="214"/>
      <c r="Q247" s="223"/>
      <c r="R247" s="236">
        <f>0</f>
        <v>0</v>
      </c>
      <c r="S247" s="196">
        <v>2</v>
      </c>
      <c r="T247" s="102"/>
      <c r="U247" s="102"/>
      <c r="V247" s="102"/>
      <c r="W247" s="102"/>
      <c r="X247" s="102"/>
      <c r="Y247" s="102"/>
      <c r="Z247" s="102"/>
      <c r="AA247" s="238"/>
      <c r="AB247" s="241">
        <v>2</v>
      </c>
      <c r="AC247" s="102"/>
      <c r="AD247" s="102"/>
      <c r="AE247" s="102"/>
      <c r="AF247" s="102"/>
      <c r="AG247" s="102"/>
      <c r="AH247" s="102"/>
      <c r="AI247" s="102"/>
      <c r="AJ247" s="102"/>
      <c r="AK247" s="238"/>
      <c r="AL247" s="263">
        <f t="shared" si="14"/>
        <v>4</v>
      </c>
      <c r="AM247" s="111">
        <f>0</f>
        <v>0</v>
      </c>
      <c r="AN247" s="264">
        <f t="shared" si="15"/>
        <v>4</v>
      </c>
      <c r="AO247" s="248">
        <v>45082</v>
      </c>
      <c r="AP247" s="215" t="s">
        <v>273</v>
      </c>
      <c r="AQ247" s="214" t="s">
        <v>869</v>
      </c>
      <c r="AR247" s="214" t="s">
        <v>148</v>
      </c>
      <c r="AS247" s="194"/>
      <c r="AT247" s="188"/>
      <c r="AU247" s="189"/>
      <c r="AV247" s="189"/>
      <c r="AW247" s="189"/>
      <c r="AX247" s="190"/>
      <c r="AY247" s="191"/>
      <c r="AZ247" s="192"/>
      <c r="BA247" s="91"/>
      <c r="BB247" s="91"/>
      <c r="BC247" s="91"/>
    </row>
    <row r="248" spans="1:55" ht="28" hidden="1" customHeight="1">
      <c r="A248" s="219">
        <v>243</v>
      </c>
      <c r="B248" s="226" t="s">
        <v>870</v>
      </c>
      <c r="C248" s="87" t="s">
        <v>134</v>
      </c>
      <c r="D248" s="87" t="s">
        <v>135</v>
      </c>
      <c r="E248" s="87" t="s">
        <v>136</v>
      </c>
      <c r="F248" s="211" t="s">
        <v>668</v>
      </c>
      <c r="G248" s="211" t="s">
        <v>871</v>
      </c>
      <c r="H248" s="211" t="s">
        <v>110</v>
      </c>
      <c r="I248" s="220" t="s">
        <v>872</v>
      </c>
      <c r="J248" s="221" t="s">
        <v>873</v>
      </c>
      <c r="K248" s="211"/>
      <c r="L248" s="211" t="s">
        <v>842</v>
      </c>
      <c r="M248" s="211" t="s">
        <v>154</v>
      </c>
      <c r="N248" s="220"/>
      <c r="O248" s="220" t="s">
        <v>149</v>
      </c>
      <c r="P248" s="187"/>
      <c r="Q248" s="187"/>
      <c r="R248" s="236">
        <f>0</f>
        <v>0</v>
      </c>
      <c r="S248" s="102"/>
      <c r="T248" s="102"/>
      <c r="U248" s="102"/>
      <c r="V248" s="102"/>
      <c r="W248" s="196">
        <v>1</v>
      </c>
      <c r="X248" s="102"/>
      <c r="Y248" s="102"/>
      <c r="Z248" s="102"/>
      <c r="AA248" s="238"/>
      <c r="AB248" s="240"/>
      <c r="AC248" s="102"/>
      <c r="AD248" s="102"/>
      <c r="AE248" s="102"/>
      <c r="AF248" s="102"/>
      <c r="AG248" s="102"/>
      <c r="AH248" s="102"/>
      <c r="AI248" s="102"/>
      <c r="AJ248" s="102"/>
      <c r="AK248" s="238"/>
      <c r="AL248" s="263">
        <f t="shared" si="14"/>
        <v>1</v>
      </c>
      <c r="AM248" s="111">
        <f>0</f>
        <v>0</v>
      </c>
      <c r="AN248" s="264">
        <f t="shared" si="15"/>
        <v>1</v>
      </c>
      <c r="AO248" s="247">
        <v>45082</v>
      </c>
      <c r="AP248" s="215" t="s">
        <v>273</v>
      </c>
      <c r="AQ248" s="187" t="s">
        <v>896</v>
      </c>
      <c r="AR248" s="187" t="s">
        <v>148</v>
      </c>
      <c r="AS248" s="194"/>
      <c r="AT248" s="188"/>
      <c r="AU248" s="189"/>
      <c r="AV248" s="189"/>
      <c r="AW248" s="189"/>
      <c r="AX248" s="190"/>
      <c r="AY248" s="191"/>
      <c r="AZ248" s="192"/>
      <c r="BA248" s="91"/>
      <c r="BB248" s="91"/>
      <c r="BC248" s="91"/>
    </row>
    <row r="249" spans="1:55" ht="28" hidden="1" customHeight="1">
      <c r="A249" s="219">
        <v>244</v>
      </c>
      <c r="B249" s="226" t="s">
        <v>870</v>
      </c>
      <c r="C249" s="87" t="s">
        <v>134</v>
      </c>
      <c r="D249" s="87" t="s">
        <v>135</v>
      </c>
      <c r="E249" s="87" t="s">
        <v>136</v>
      </c>
      <c r="F249" s="211" t="s">
        <v>668</v>
      </c>
      <c r="G249" s="211" t="s">
        <v>874</v>
      </c>
      <c r="H249" s="211" t="s">
        <v>110</v>
      </c>
      <c r="I249" s="220" t="s">
        <v>875</v>
      </c>
      <c r="J249" s="221" t="s">
        <v>876</v>
      </c>
      <c r="K249" s="211"/>
      <c r="L249" s="211" t="s">
        <v>226</v>
      </c>
      <c r="M249" s="211" t="s">
        <v>154</v>
      </c>
      <c r="N249" s="220"/>
      <c r="O249" s="220" t="s">
        <v>155</v>
      </c>
      <c r="P249" s="187"/>
      <c r="Q249" s="187"/>
      <c r="R249" s="236">
        <f>0</f>
        <v>0</v>
      </c>
      <c r="S249" s="102"/>
      <c r="T249" s="102"/>
      <c r="U249" s="102"/>
      <c r="V249" s="102"/>
      <c r="W249" s="196">
        <v>1</v>
      </c>
      <c r="X249" s="102"/>
      <c r="Y249" s="102"/>
      <c r="Z249" s="102"/>
      <c r="AA249" s="238"/>
      <c r="AB249" s="240"/>
      <c r="AC249" s="102"/>
      <c r="AD249" s="102"/>
      <c r="AE249" s="102"/>
      <c r="AF249" s="102"/>
      <c r="AG249" s="102"/>
      <c r="AH249" s="102"/>
      <c r="AI249" s="102"/>
      <c r="AJ249" s="102"/>
      <c r="AK249" s="238"/>
      <c r="AL249" s="263">
        <f t="shared" si="14"/>
        <v>1</v>
      </c>
      <c r="AM249" s="111">
        <f>0</f>
        <v>0</v>
      </c>
      <c r="AN249" s="264">
        <f t="shared" si="15"/>
        <v>1</v>
      </c>
      <c r="AO249" s="247">
        <v>45082</v>
      </c>
      <c r="AP249" s="215" t="s">
        <v>273</v>
      </c>
      <c r="AQ249" s="187" t="s">
        <v>896</v>
      </c>
      <c r="AR249" s="187" t="s">
        <v>148</v>
      </c>
      <c r="AS249" s="194"/>
      <c r="AT249" s="188"/>
      <c r="AU249" s="189"/>
      <c r="AV249" s="189"/>
      <c r="AW249" s="189"/>
      <c r="AX249" s="190"/>
      <c r="AY249" s="191"/>
      <c r="AZ249" s="192"/>
      <c r="BA249" s="91"/>
      <c r="BB249" s="91"/>
      <c r="BC249" s="91"/>
    </row>
    <row r="250" spans="1:55" ht="28" hidden="1" customHeight="1">
      <c r="A250" s="219">
        <v>245</v>
      </c>
      <c r="B250" s="226" t="s">
        <v>870</v>
      </c>
      <c r="C250" s="87" t="s">
        <v>134</v>
      </c>
      <c r="D250" s="87" t="s">
        <v>135</v>
      </c>
      <c r="E250" s="87" t="s">
        <v>136</v>
      </c>
      <c r="F250" s="211" t="s">
        <v>668</v>
      </c>
      <c r="G250" s="211" t="s">
        <v>877</v>
      </c>
      <c r="H250" s="211" t="s">
        <v>110</v>
      </c>
      <c r="I250" s="220" t="s">
        <v>878</v>
      </c>
      <c r="J250" s="221" t="s">
        <v>879</v>
      </c>
      <c r="K250" s="211"/>
      <c r="L250" s="211" t="s">
        <v>880</v>
      </c>
      <c r="M250" s="211" t="s">
        <v>154</v>
      </c>
      <c r="N250" s="220"/>
      <c r="O250" s="220" t="s">
        <v>80</v>
      </c>
      <c r="P250" s="187"/>
      <c r="Q250" s="187"/>
      <c r="R250" s="236">
        <f>0</f>
        <v>0</v>
      </c>
      <c r="S250" s="102"/>
      <c r="T250" s="102"/>
      <c r="U250" s="102"/>
      <c r="V250" s="102"/>
      <c r="W250" s="196">
        <v>1</v>
      </c>
      <c r="X250" s="102"/>
      <c r="Y250" s="102"/>
      <c r="Z250" s="102"/>
      <c r="AA250" s="238"/>
      <c r="AB250" s="240"/>
      <c r="AC250" s="102"/>
      <c r="AD250" s="102"/>
      <c r="AE250" s="102"/>
      <c r="AF250" s="102"/>
      <c r="AG250" s="102"/>
      <c r="AH250" s="102"/>
      <c r="AI250" s="102"/>
      <c r="AJ250" s="102"/>
      <c r="AK250" s="238"/>
      <c r="AL250" s="263">
        <f t="shared" si="14"/>
        <v>1</v>
      </c>
      <c r="AM250" s="111">
        <f>0</f>
        <v>0</v>
      </c>
      <c r="AN250" s="264">
        <f t="shared" si="15"/>
        <v>1</v>
      </c>
      <c r="AO250" s="247">
        <v>45082</v>
      </c>
      <c r="AP250" s="215" t="s">
        <v>273</v>
      </c>
      <c r="AQ250" s="187" t="s">
        <v>896</v>
      </c>
      <c r="AR250" s="187" t="s">
        <v>148</v>
      </c>
      <c r="AS250" s="194"/>
      <c r="AT250" s="188"/>
      <c r="AU250" s="189"/>
      <c r="AV250" s="189"/>
      <c r="AW250" s="189"/>
      <c r="AX250" s="190"/>
      <c r="AY250" s="191"/>
      <c r="AZ250" s="192"/>
      <c r="BA250" s="91"/>
      <c r="BB250" s="91"/>
      <c r="BC250" s="91"/>
    </row>
    <row r="251" spans="1:55" ht="28" hidden="1" customHeight="1">
      <c r="A251" s="219">
        <v>246</v>
      </c>
      <c r="B251" s="226" t="s">
        <v>870</v>
      </c>
      <c r="C251" s="87" t="s">
        <v>134</v>
      </c>
      <c r="D251" s="87" t="s">
        <v>135</v>
      </c>
      <c r="E251" s="87" t="s">
        <v>136</v>
      </c>
      <c r="F251" s="211" t="s">
        <v>668</v>
      </c>
      <c r="G251" s="211" t="s">
        <v>881</v>
      </c>
      <c r="H251" s="211" t="s">
        <v>110</v>
      </c>
      <c r="I251" s="220" t="s">
        <v>882</v>
      </c>
      <c r="J251" s="221" t="s">
        <v>883</v>
      </c>
      <c r="K251" s="211"/>
      <c r="L251" s="211" t="s">
        <v>842</v>
      </c>
      <c r="M251" s="211" t="s">
        <v>154</v>
      </c>
      <c r="N251" s="220"/>
      <c r="O251" s="220" t="s">
        <v>149</v>
      </c>
      <c r="P251" s="187"/>
      <c r="Q251" s="187"/>
      <c r="R251" s="236">
        <f>0</f>
        <v>0</v>
      </c>
      <c r="S251" s="102"/>
      <c r="T251" s="102"/>
      <c r="U251" s="102"/>
      <c r="V251" s="102"/>
      <c r="W251" s="196">
        <v>1</v>
      </c>
      <c r="X251" s="102"/>
      <c r="Y251" s="102"/>
      <c r="Z251" s="102"/>
      <c r="AA251" s="238"/>
      <c r="AB251" s="240"/>
      <c r="AC251" s="102"/>
      <c r="AD251" s="102"/>
      <c r="AE251" s="102"/>
      <c r="AF251" s="102"/>
      <c r="AG251" s="102"/>
      <c r="AH251" s="102"/>
      <c r="AI251" s="102"/>
      <c r="AJ251" s="102"/>
      <c r="AK251" s="238"/>
      <c r="AL251" s="263">
        <f t="shared" si="14"/>
        <v>1</v>
      </c>
      <c r="AM251" s="111">
        <f>0</f>
        <v>0</v>
      </c>
      <c r="AN251" s="264">
        <f t="shared" si="15"/>
        <v>1</v>
      </c>
      <c r="AO251" s="247">
        <v>45082</v>
      </c>
      <c r="AP251" s="215" t="s">
        <v>273</v>
      </c>
      <c r="AQ251" s="187" t="s">
        <v>896</v>
      </c>
      <c r="AR251" s="187" t="s">
        <v>148</v>
      </c>
      <c r="AS251" s="194"/>
      <c r="AT251" s="188"/>
      <c r="AU251" s="189"/>
      <c r="AV251" s="189"/>
      <c r="AW251" s="189"/>
      <c r="AX251" s="190"/>
      <c r="AY251" s="191"/>
      <c r="AZ251" s="192"/>
      <c r="BA251" s="91"/>
      <c r="BB251" s="91"/>
      <c r="BC251" s="91"/>
    </row>
    <row r="252" spans="1:55" ht="28" hidden="1" customHeight="1">
      <c r="A252" s="219">
        <v>247</v>
      </c>
      <c r="B252" s="226" t="s">
        <v>870</v>
      </c>
      <c r="C252" s="87" t="s">
        <v>134</v>
      </c>
      <c r="D252" s="87" t="s">
        <v>135</v>
      </c>
      <c r="E252" s="87" t="s">
        <v>136</v>
      </c>
      <c r="F252" s="211" t="s">
        <v>668</v>
      </c>
      <c r="G252" s="211" t="s">
        <v>884</v>
      </c>
      <c r="H252" s="211" t="s">
        <v>110</v>
      </c>
      <c r="I252" s="220" t="s">
        <v>885</v>
      </c>
      <c r="J252" s="221" t="s">
        <v>886</v>
      </c>
      <c r="K252" s="211"/>
      <c r="L252" s="211" t="s">
        <v>226</v>
      </c>
      <c r="M252" s="211" t="s">
        <v>154</v>
      </c>
      <c r="N252" s="220"/>
      <c r="O252" s="220" t="s">
        <v>155</v>
      </c>
      <c r="P252" s="187"/>
      <c r="Q252" s="187"/>
      <c r="R252" s="236">
        <f>0</f>
        <v>0</v>
      </c>
      <c r="S252" s="102"/>
      <c r="T252" s="102"/>
      <c r="U252" s="102"/>
      <c r="V252" s="102"/>
      <c r="W252" s="196">
        <v>1</v>
      </c>
      <c r="X252" s="102"/>
      <c r="Y252" s="102"/>
      <c r="Z252" s="102"/>
      <c r="AA252" s="238"/>
      <c r="AB252" s="240"/>
      <c r="AC252" s="102"/>
      <c r="AD252" s="102"/>
      <c r="AE252" s="102"/>
      <c r="AF252" s="102"/>
      <c r="AG252" s="102"/>
      <c r="AH252" s="102"/>
      <c r="AI252" s="102"/>
      <c r="AJ252" s="102"/>
      <c r="AK252" s="238"/>
      <c r="AL252" s="263">
        <f t="shared" si="14"/>
        <v>1</v>
      </c>
      <c r="AM252" s="111">
        <f>0</f>
        <v>0</v>
      </c>
      <c r="AN252" s="264">
        <f t="shared" si="15"/>
        <v>1</v>
      </c>
      <c r="AO252" s="247">
        <v>45082</v>
      </c>
      <c r="AP252" s="215" t="s">
        <v>273</v>
      </c>
      <c r="AQ252" s="187" t="s">
        <v>896</v>
      </c>
      <c r="AR252" s="187" t="s">
        <v>148</v>
      </c>
      <c r="AS252" s="194"/>
      <c r="AT252" s="188"/>
      <c r="AU252" s="189"/>
      <c r="AV252" s="189"/>
      <c r="AW252" s="189"/>
      <c r="AX252" s="190"/>
      <c r="AY252" s="191"/>
      <c r="AZ252" s="192"/>
      <c r="BA252" s="91"/>
      <c r="BB252" s="91"/>
      <c r="BC252" s="91"/>
    </row>
    <row r="253" spans="1:55" ht="28" hidden="1" customHeight="1">
      <c r="A253" s="219">
        <v>248</v>
      </c>
      <c r="B253" s="226" t="s">
        <v>870</v>
      </c>
      <c r="C253" s="87" t="s">
        <v>134</v>
      </c>
      <c r="D253" s="87" t="s">
        <v>135</v>
      </c>
      <c r="E253" s="87" t="s">
        <v>136</v>
      </c>
      <c r="F253" s="211" t="s">
        <v>668</v>
      </c>
      <c r="G253" s="211" t="s">
        <v>887</v>
      </c>
      <c r="H253" s="211" t="s">
        <v>110</v>
      </c>
      <c r="I253" s="220" t="s">
        <v>888</v>
      </c>
      <c r="J253" s="221" t="s">
        <v>889</v>
      </c>
      <c r="K253" s="211"/>
      <c r="L253" s="211" t="s">
        <v>880</v>
      </c>
      <c r="M253" s="211" t="s">
        <v>154</v>
      </c>
      <c r="N253" s="220"/>
      <c r="O253" s="220" t="s">
        <v>80</v>
      </c>
      <c r="P253" s="187"/>
      <c r="Q253" s="187"/>
      <c r="R253" s="236">
        <f>0</f>
        <v>0</v>
      </c>
      <c r="S253" s="102"/>
      <c r="T253" s="102"/>
      <c r="U253" s="102"/>
      <c r="V253" s="102"/>
      <c r="W253" s="196">
        <v>1</v>
      </c>
      <c r="X253" s="102"/>
      <c r="Y253" s="102"/>
      <c r="Z253" s="102"/>
      <c r="AA253" s="238"/>
      <c r="AB253" s="240"/>
      <c r="AC253" s="102"/>
      <c r="AD253" s="102"/>
      <c r="AE253" s="102"/>
      <c r="AF253" s="102"/>
      <c r="AG253" s="102"/>
      <c r="AH253" s="102"/>
      <c r="AI253" s="102"/>
      <c r="AJ253" s="102"/>
      <c r="AK253" s="238"/>
      <c r="AL253" s="263">
        <f t="shared" si="14"/>
        <v>1</v>
      </c>
      <c r="AM253" s="111">
        <f>0</f>
        <v>0</v>
      </c>
      <c r="AN253" s="264">
        <f t="shared" si="15"/>
        <v>1</v>
      </c>
      <c r="AO253" s="247">
        <v>45082</v>
      </c>
      <c r="AP253" s="215" t="s">
        <v>273</v>
      </c>
      <c r="AQ253" s="187" t="s">
        <v>896</v>
      </c>
      <c r="AR253" s="187" t="s">
        <v>148</v>
      </c>
      <c r="AS253" s="194"/>
      <c r="AT253" s="188"/>
      <c r="AU253" s="189"/>
      <c r="AV253" s="189"/>
      <c r="AW253" s="189"/>
      <c r="AX253" s="190"/>
      <c r="AY253" s="191"/>
      <c r="AZ253" s="192"/>
      <c r="BA253" s="91"/>
      <c r="BB253" s="91"/>
      <c r="BC253" s="91"/>
    </row>
    <row r="254" spans="1:55" ht="28" hidden="1" customHeight="1">
      <c r="A254" s="219">
        <v>249</v>
      </c>
      <c r="B254" s="226" t="s">
        <v>870</v>
      </c>
      <c r="C254" s="87" t="s">
        <v>134</v>
      </c>
      <c r="D254" s="87" t="s">
        <v>135</v>
      </c>
      <c r="E254" s="87" t="s">
        <v>136</v>
      </c>
      <c r="F254" s="211" t="s">
        <v>668</v>
      </c>
      <c r="G254" s="211" t="s">
        <v>890</v>
      </c>
      <c r="H254" s="211" t="s">
        <v>110</v>
      </c>
      <c r="I254" s="220" t="s">
        <v>891</v>
      </c>
      <c r="J254" s="221" t="s">
        <v>892</v>
      </c>
      <c r="K254" s="211"/>
      <c r="L254" s="211" t="s">
        <v>193</v>
      </c>
      <c r="M254" s="211" t="s">
        <v>154</v>
      </c>
      <c r="N254" s="220" t="s">
        <v>214</v>
      </c>
      <c r="O254" s="220" t="s">
        <v>149</v>
      </c>
      <c r="P254" s="187"/>
      <c r="Q254" s="187"/>
      <c r="R254" s="236">
        <f>0</f>
        <v>0</v>
      </c>
      <c r="S254" s="102"/>
      <c r="T254" s="102"/>
      <c r="U254" s="102"/>
      <c r="V254" s="102"/>
      <c r="W254" s="196">
        <v>1</v>
      </c>
      <c r="X254" s="102"/>
      <c r="Y254" s="102"/>
      <c r="Z254" s="102"/>
      <c r="AA254" s="238"/>
      <c r="AB254" s="240"/>
      <c r="AC254" s="102"/>
      <c r="AD254" s="102"/>
      <c r="AE254" s="102"/>
      <c r="AF254" s="102"/>
      <c r="AG254" s="102"/>
      <c r="AH254" s="102"/>
      <c r="AI254" s="102"/>
      <c r="AJ254" s="102"/>
      <c r="AK254" s="238"/>
      <c r="AL254" s="263">
        <f t="shared" si="14"/>
        <v>1</v>
      </c>
      <c r="AM254" s="111">
        <f>0</f>
        <v>0</v>
      </c>
      <c r="AN254" s="264">
        <f t="shared" si="15"/>
        <v>1</v>
      </c>
      <c r="AO254" s="247">
        <v>45082</v>
      </c>
      <c r="AP254" s="215" t="s">
        <v>273</v>
      </c>
      <c r="AQ254" s="187" t="s">
        <v>896</v>
      </c>
      <c r="AR254" s="187" t="s">
        <v>148</v>
      </c>
      <c r="AS254" s="194"/>
      <c r="AT254" s="188"/>
      <c r="AU254" s="189"/>
      <c r="AV254" s="189"/>
      <c r="AW254" s="189"/>
      <c r="AX254" s="190"/>
      <c r="AY254" s="191"/>
      <c r="AZ254" s="192"/>
      <c r="BA254" s="91"/>
      <c r="BB254" s="91"/>
      <c r="BC254" s="91"/>
    </row>
    <row r="255" spans="1:55" ht="28" hidden="1" customHeight="1">
      <c r="A255" s="219">
        <v>250</v>
      </c>
      <c r="B255" s="226" t="s">
        <v>870</v>
      </c>
      <c r="C255" s="87" t="s">
        <v>134</v>
      </c>
      <c r="D255" s="87" t="s">
        <v>135</v>
      </c>
      <c r="E255" s="87" t="s">
        <v>136</v>
      </c>
      <c r="F255" s="211" t="s">
        <v>668</v>
      </c>
      <c r="G255" s="211" t="s">
        <v>893</v>
      </c>
      <c r="H255" s="211" t="s">
        <v>110</v>
      </c>
      <c r="I255" s="220" t="s">
        <v>894</v>
      </c>
      <c r="J255" s="221" t="s">
        <v>895</v>
      </c>
      <c r="K255" s="211"/>
      <c r="L255" s="211" t="s">
        <v>209</v>
      </c>
      <c r="M255" s="211" t="s">
        <v>114</v>
      </c>
      <c r="N255" s="220"/>
      <c r="O255" s="220"/>
      <c r="P255" s="187"/>
      <c r="Q255" s="187"/>
      <c r="R255" s="236">
        <f>0</f>
        <v>0</v>
      </c>
      <c r="S255" s="102"/>
      <c r="T255" s="102"/>
      <c r="U255" s="102"/>
      <c r="V255" s="102"/>
      <c r="W255" s="196">
        <v>1</v>
      </c>
      <c r="X255" s="102"/>
      <c r="Y255" s="102"/>
      <c r="Z255" s="102"/>
      <c r="AA255" s="238"/>
      <c r="AB255" s="240"/>
      <c r="AC255" s="102"/>
      <c r="AD255" s="102"/>
      <c r="AE255" s="102"/>
      <c r="AF255" s="102"/>
      <c r="AG255" s="102"/>
      <c r="AH255" s="102"/>
      <c r="AI255" s="102"/>
      <c r="AJ255" s="102"/>
      <c r="AK255" s="238"/>
      <c r="AL255" s="263">
        <f t="shared" si="14"/>
        <v>1</v>
      </c>
      <c r="AM255" s="111">
        <f>0</f>
        <v>0</v>
      </c>
      <c r="AN255" s="264">
        <f t="shared" si="15"/>
        <v>1</v>
      </c>
      <c r="AO255" s="248">
        <v>45082</v>
      </c>
      <c r="AP255" s="215" t="s">
        <v>273</v>
      </c>
      <c r="AQ255" s="214" t="s">
        <v>898</v>
      </c>
      <c r="AR255" s="214" t="s">
        <v>276</v>
      </c>
      <c r="AS255" s="194"/>
      <c r="AT255" s="188"/>
      <c r="AU255" s="189"/>
      <c r="AV255" s="189"/>
      <c r="AW255" s="189"/>
      <c r="AX255" s="190"/>
      <c r="AY255" s="191"/>
      <c r="AZ255" s="192"/>
      <c r="BA255" s="91"/>
      <c r="BB255" s="91"/>
      <c r="BC255" s="91"/>
    </row>
    <row r="256" spans="1:55" ht="28" hidden="1" customHeight="1">
      <c r="A256" s="219">
        <v>251</v>
      </c>
      <c r="B256" s="182">
        <v>45084</v>
      </c>
      <c r="C256" s="328" t="s">
        <v>134</v>
      </c>
      <c r="D256" s="328" t="s">
        <v>135</v>
      </c>
      <c r="E256" s="328" t="s">
        <v>136</v>
      </c>
      <c r="F256" s="329" t="s">
        <v>1184</v>
      </c>
      <c r="G256" s="329" t="s">
        <v>900</v>
      </c>
      <c r="H256" s="329" t="s">
        <v>110</v>
      </c>
      <c r="I256" s="330" t="s">
        <v>220</v>
      </c>
      <c r="J256" s="331" t="s">
        <v>901</v>
      </c>
      <c r="K256" s="329" t="s">
        <v>80</v>
      </c>
      <c r="L256" s="329" t="s">
        <v>222</v>
      </c>
      <c r="M256" s="329" t="s">
        <v>154</v>
      </c>
      <c r="N256" s="330" t="s">
        <v>80</v>
      </c>
      <c r="O256" s="330" t="s">
        <v>1218</v>
      </c>
      <c r="P256" s="177" t="s">
        <v>80</v>
      </c>
      <c r="Q256" s="177" t="s">
        <v>80</v>
      </c>
      <c r="R256" s="319">
        <f>0</f>
        <v>0</v>
      </c>
      <c r="S256" s="320">
        <v>0</v>
      </c>
      <c r="T256" s="320">
        <v>0</v>
      </c>
      <c r="U256" s="320">
        <v>0</v>
      </c>
      <c r="V256" s="320">
        <v>0</v>
      </c>
      <c r="W256" s="320">
        <v>0</v>
      </c>
      <c r="X256" s="320">
        <v>0</v>
      </c>
      <c r="Y256" s="320">
        <v>0</v>
      </c>
      <c r="Z256" s="229">
        <v>2</v>
      </c>
      <c r="AA256" s="321">
        <v>0</v>
      </c>
      <c r="AB256" s="322">
        <v>0</v>
      </c>
      <c r="AC256" s="320">
        <v>0</v>
      </c>
      <c r="AD256" s="320">
        <v>0</v>
      </c>
      <c r="AE256" s="320">
        <v>0</v>
      </c>
      <c r="AF256" s="320">
        <v>0</v>
      </c>
      <c r="AG256" s="320">
        <v>0</v>
      </c>
      <c r="AH256" s="320">
        <v>0</v>
      </c>
      <c r="AI256" s="320">
        <v>0</v>
      </c>
      <c r="AJ256" s="320">
        <v>0</v>
      </c>
      <c r="AK256" s="321">
        <v>0</v>
      </c>
      <c r="AL256" s="332">
        <f t="shared" si="14"/>
        <v>2</v>
      </c>
      <c r="AM256" s="333">
        <f>0</f>
        <v>0</v>
      </c>
      <c r="AN256" s="334">
        <f t="shared" si="15"/>
        <v>2</v>
      </c>
      <c r="AO256" s="247">
        <v>45090</v>
      </c>
      <c r="AP256" s="186" t="s">
        <v>273</v>
      </c>
      <c r="AQ256" s="187" t="s">
        <v>1288</v>
      </c>
      <c r="AR256" s="187" t="s">
        <v>148</v>
      </c>
      <c r="AS256" s="188"/>
      <c r="AT256" s="188"/>
      <c r="AU256" s="189"/>
      <c r="AV256" s="189"/>
      <c r="AW256" s="189"/>
      <c r="AX256" s="190"/>
      <c r="AY256" s="191"/>
      <c r="AZ256" s="192"/>
    </row>
    <row r="257" spans="1:52" ht="28" hidden="1" customHeight="1">
      <c r="A257" s="108">
        <v>252</v>
      </c>
      <c r="B257" s="101">
        <v>45084</v>
      </c>
      <c r="C257" s="87" t="s">
        <v>134</v>
      </c>
      <c r="D257" s="87" t="s">
        <v>135</v>
      </c>
      <c r="E257" s="87" t="s">
        <v>136</v>
      </c>
      <c r="F257" s="316" t="s">
        <v>1184</v>
      </c>
      <c r="G257" s="316" t="s">
        <v>902</v>
      </c>
      <c r="H257" s="316" t="s">
        <v>110</v>
      </c>
      <c r="I257" s="317" t="s">
        <v>903</v>
      </c>
      <c r="J257" s="318" t="s">
        <v>904</v>
      </c>
      <c r="K257" s="316" t="s">
        <v>80</v>
      </c>
      <c r="L257" s="316" t="s">
        <v>168</v>
      </c>
      <c r="M257" s="316" t="s">
        <v>154</v>
      </c>
      <c r="N257" s="317" t="s">
        <v>80</v>
      </c>
      <c r="O257" s="317" t="s">
        <v>149</v>
      </c>
      <c r="P257" s="177" t="s">
        <v>80</v>
      </c>
      <c r="Q257" s="177" t="s">
        <v>80</v>
      </c>
      <c r="R257" s="319">
        <f>0</f>
        <v>0</v>
      </c>
      <c r="S257" s="320">
        <v>0</v>
      </c>
      <c r="T257" s="320">
        <v>0</v>
      </c>
      <c r="U257" s="320">
        <v>0</v>
      </c>
      <c r="V257" s="320">
        <v>0</v>
      </c>
      <c r="W257" s="320">
        <v>0</v>
      </c>
      <c r="X257" s="320">
        <v>0</v>
      </c>
      <c r="Y257" s="320">
        <v>0</v>
      </c>
      <c r="Z257" s="229">
        <v>1</v>
      </c>
      <c r="AA257" s="321">
        <v>0</v>
      </c>
      <c r="AB257" s="322">
        <v>0</v>
      </c>
      <c r="AC257" s="320">
        <v>0</v>
      </c>
      <c r="AD257" s="320">
        <v>0</v>
      </c>
      <c r="AE257" s="320">
        <v>0</v>
      </c>
      <c r="AF257" s="320">
        <v>0</v>
      </c>
      <c r="AG257" s="320">
        <v>0</v>
      </c>
      <c r="AH257" s="320">
        <v>0</v>
      </c>
      <c r="AI257" s="320">
        <v>0</v>
      </c>
      <c r="AJ257" s="320">
        <v>0</v>
      </c>
      <c r="AK257" s="321">
        <v>0</v>
      </c>
      <c r="AL257" s="323">
        <f t="shared" si="14"/>
        <v>1</v>
      </c>
      <c r="AM257" s="324">
        <f>0</f>
        <v>0</v>
      </c>
      <c r="AN257" s="325">
        <f t="shared" si="15"/>
        <v>1</v>
      </c>
      <c r="AO257" s="250">
        <v>45092</v>
      </c>
      <c r="AP257" s="178"/>
      <c r="AQ257" s="269"/>
      <c r="AR257" s="177" t="s">
        <v>148</v>
      </c>
      <c r="AS257" s="99"/>
      <c r="AT257" s="99"/>
      <c r="AU257" s="98"/>
      <c r="AV257" s="98"/>
      <c r="AW257" s="98"/>
      <c r="AX257" s="105"/>
      <c r="AY257" s="106"/>
      <c r="AZ257" s="107"/>
    </row>
    <row r="258" spans="1:52" ht="28" hidden="1" customHeight="1">
      <c r="A258" s="219">
        <v>253</v>
      </c>
      <c r="B258" s="182">
        <v>45084</v>
      </c>
      <c r="C258" s="328" t="s">
        <v>134</v>
      </c>
      <c r="D258" s="328" t="s">
        <v>135</v>
      </c>
      <c r="E258" s="328" t="s">
        <v>136</v>
      </c>
      <c r="F258" s="329" t="s">
        <v>1184</v>
      </c>
      <c r="G258" s="329" t="s">
        <v>905</v>
      </c>
      <c r="H258" s="329" t="s">
        <v>110</v>
      </c>
      <c r="I258" s="330" t="s">
        <v>906</v>
      </c>
      <c r="J258" s="331" t="s">
        <v>907</v>
      </c>
      <c r="K258" s="329" t="s">
        <v>80</v>
      </c>
      <c r="L258" s="329" t="s">
        <v>189</v>
      </c>
      <c r="M258" s="329" t="s">
        <v>154</v>
      </c>
      <c r="N258" s="330" t="s">
        <v>80</v>
      </c>
      <c r="O258" s="330" t="s">
        <v>1217</v>
      </c>
      <c r="P258" s="177" t="s">
        <v>80</v>
      </c>
      <c r="Q258" s="177" t="s">
        <v>80</v>
      </c>
      <c r="R258" s="319">
        <f>0</f>
        <v>0</v>
      </c>
      <c r="S258" s="320">
        <v>0</v>
      </c>
      <c r="T258" s="320">
        <v>0</v>
      </c>
      <c r="U258" s="320">
        <v>0</v>
      </c>
      <c r="V258" s="320">
        <v>0</v>
      </c>
      <c r="W258" s="320">
        <v>0</v>
      </c>
      <c r="X258" s="320">
        <v>0</v>
      </c>
      <c r="Y258" s="320">
        <v>0</v>
      </c>
      <c r="Z258" s="229">
        <v>1</v>
      </c>
      <c r="AA258" s="321">
        <v>0</v>
      </c>
      <c r="AB258" s="322">
        <v>0</v>
      </c>
      <c r="AC258" s="320">
        <v>0</v>
      </c>
      <c r="AD258" s="320">
        <v>0</v>
      </c>
      <c r="AE258" s="320">
        <v>0</v>
      </c>
      <c r="AF258" s="320">
        <v>0</v>
      </c>
      <c r="AG258" s="320">
        <v>0</v>
      </c>
      <c r="AH258" s="320">
        <v>0</v>
      </c>
      <c r="AI258" s="320">
        <v>0</v>
      </c>
      <c r="AJ258" s="320">
        <v>0</v>
      </c>
      <c r="AK258" s="321">
        <v>0</v>
      </c>
      <c r="AL258" s="332">
        <f t="shared" si="14"/>
        <v>1</v>
      </c>
      <c r="AM258" s="333">
        <f>0</f>
        <v>0</v>
      </c>
      <c r="AN258" s="334">
        <f t="shared" si="15"/>
        <v>1</v>
      </c>
      <c r="AO258" s="247">
        <v>45090</v>
      </c>
      <c r="AP258" s="186" t="s">
        <v>273</v>
      </c>
      <c r="AQ258" s="187" t="s">
        <v>1288</v>
      </c>
      <c r="AR258" s="187" t="s">
        <v>148</v>
      </c>
      <c r="AS258" s="188"/>
      <c r="AT258" s="188"/>
      <c r="AU258" s="189"/>
      <c r="AV258" s="189"/>
      <c r="AW258" s="189"/>
      <c r="AX258" s="190"/>
      <c r="AY258" s="191"/>
      <c r="AZ258" s="192"/>
    </row>
    <row r="259" spans="1:52" ht="28" hidden="1" customHeight="1">
      <c r="A259" s="219">
        <v>254</v>
      </c>
      <c r="B259" s="182">
        <v>45084</v>
      </c>
      <c r="C259" s="328" t="s">
        <v>134</v>
      </c>
      <c r="D259" s="328" t="s">
        <v>135</v>
      </c>
      <c r="E259" s="328" t="s">
        <v>136</v>
      </c>
      <c r="F259" s="329" t="s">
        <v>1184</v>
      </c>
      <c r="G259" s="329" t="s">
        <v>908</v>
      </c>
      <c r="H259" s="329" t="s">
        <v>110</v>
      </c>
      <c r="I259" s="330" t="s">
        <v>909</v>
      </c>
      <c r="J259" s="331" t="s">
        <v>910</v>
      </c>
      <c r="K259" s="329" t="s">
        <v>80</v>
      </c>
      <c r="L259" s="329" t="s">
        <v>193</v>
      </c>
      <c r="M259" s="329" t="s">
        <v>154</v>
      </c>
      <c r="N259" s="330" t="s">
        <v>212</v>
      </c>
      <c r="O259" s="330" t="s">
        <v>149</v>
      </c>
      <c r="P259" s="177" t="s">
        <v>80</v>
      </c>
      <c r="Q259" s="177" t="s">
        <v>80</v>
      </c>
      <c r="R259" s="319">
        <f>0</f>
        <v>0</v>
      </c>
      <c r="S259" s="320">
        <v>0</v>
      </c>
      <c r="T259" s="320">
        <v>0</v>
      </c>
      <c r="U259" s="320">
        <v>0</v>
      </c>
      <c r="V259" s="320">
        <v>0</v>
      </c>
      <c r="W259" s="320">
        <v>0</v>
      </c>
      <c r="X259" s="320">
        <v>0</v>
      </c>
      <c r="Y259" s="320">
        <v>0</v>
      </c>
      <c r="Z259" s="229">
        <v>1</v>
      </c>
      <c r="AA259" s="321">
        <v>0</v>
      </c>
      <c r="AB259" s="322">
        <v>0</v>
      </c>
      <c r="AC259" s="320">
        <v>0</v>
      </c>
      <c r="AD259" s="320">
        <v>0</v>
      </c>
      <c r="AE259" s="320">
        <v>0</v>
      </c>
      <c r="AF259" s="320">
        <v>0</v>
      </c>
      <c r="AG259" s="320">
        <v>0</v>
      </c>
      <c r="AH259" s="320">
        <v>0</v>
      </c>
      <c r="AI259" s="320">
        <v>0</v>
      </c>
      <c r="AJ259" s="320">
        <v>0</v>
      </c>
      <c r="AK259" s="321">
        <v>0</v>
      </c>
      <c r="AL259" s="332">
        <f t="shared" ref="AL259:AL290" si="16">SUM(R259:AK259)</f>
        <v>1</v>
      </c>
      <c r="AM259" s="333">
        <f>0</f>
        <v>0</v>
      </c>
      <c r="AN259" s="334">
        <f t="shared" ref="AN259:AN290" si="17">AL259-AM259</f>
        <v>1</v>
      </c>
      <c r="AO259" s="247">
        <v>45090</v>
      </c>
      <c r="AP259" s="186" t="s">
        <v>273</v>
      </c>
      <c r="AQ259" s="187" t="s">
        <v>1288</v>
      </c>
      <c r="AR259" s="187" t="s">
        <v>148</v>
      </c>
      <c r="AS259" s="188"/>
      <c r="AT259" s="188"/>
      <c r="AU259" s="189"/>
      <c r="AV259" s="189"/>
      <c r="AW259" s="189"/>
      <c r="AX259" s="190"/>
      <c r="AY259" s="191"/>
      <c r="AZ259" s="192"/>
    </row>
    <row r="260" spans="1:52" ht="28" hidden="1" customHeight="1">
      <c r="A260" s="219">
        <v>255</v>
      </c>
      <c r="B260" s="182">
        <v>45084</v>
      </c>
      <c r="C260" s="328" t="s">
        <v>134</v>
      </c>
      <c r="D260" s="328" t="s">
        <v>135</v>
      </c>
      <c r="E260" s="328" t="s">
        <v>136</v>
      </c>
      <c r="F260" s="329" t="s">
        <v>1184</v>
      </c>
      <c r="G260" s="329" t="s">
        <v>911</v>
      </c>
      <c r="H260" s="329" t="s">
        <v>110</v>
      </c>
      <c r="I260" s="330" t="s">
        <v>903</v>
      </c>
      <c r="J260" s="331" t="s">
        <v>912</v>
      </c>
      <c r="K260" s="329" t="s">
        <v>80</v>
      </c>
      <c r="L260" s="329" t="s">
        <v>193</v>
      </c>
      <c r="M260" s="329" t="s">
        <v>154</v>
      </c>
      <c r="N260" s="330" t="s">
        <v>212</v>
      </c>
      <c r="O260" s="330" t="s">
        <v>149</v>
      </c>
      <c r="P260" s="177" t="s">
        <v>80</v>
      </c>
      <c r="Q260" s="177" t="s">
        <v>80</v>
      </c>
      <c r="R260" s="319">
        <f>0</f>
        <v>0</v>
      </c>
      <c r="S260" s="320">
        <v>0</v>
      </c>
      <c r="T260" s="320">
        <v>0</v>
      </c>
      <c r="U260" s="320">
        <v>0</v>
      </c>
      <c r="V260" s="320">
        <v>0</v>
      </c>
      <c r="W260" s="320">
        <v>0</v>
      </c>
      <c r="X260" s="320">
        <v>0</v>
      </c>
      <c r="Y260" s="320">
        <v>0</v>
      </c>
      <c r="Z260" s="229">
        <v>1</v>
      </c>
      <c r="AA260" s="321">
        <v>0</v>
      </c>
      <c r="AB260" s="322">
        <v>0</v>
      </c>
      <c r="AC260" s="320">
        <v>0</v>
      </c>
      <c r="AD260" s="320">
        <v>0</v>
      </c>
      <c r="AE260" s="320">
        <v>0</v>
      </c>
      <c r="AF260" s="320">
        <v>0</v>
      </c>
      <c r="AG260" s="320">
        <v>0</v>
      </c>
      <c r="AH260" s="320">
        <v>0</v>
      </c>
      <c r="AI260" s="320">
        <v>0</v>
      </c>
      <c r="AJ260" s="320">
        <v>0</v>
      </c>
      <c r="AK260" s="321">
        <v>0</v>
      </c>
      <c r="AL260" s="332">
        <f t="shared" si="16"/>
        <v>1</v>
      </c>
      <c r="AM260" s="333">
        <f>0</f>
        <v>0</v>
      </c>
      <c r="AN260" s="334">
        <f t="shared" si="17"/>
        <v>1</v>
      </c>
      <c r="AO260" s="247">
        <v>45090</v>
      </c>
      <c r="AP260" s="186" t="s">
        <v>273</v>
      </c>
      <c r="AQ260" s="187" t="s">
        <v>1288</v>
      </c>
      <c r="AR260" s="187" t="s">
        <v>148</v>
      </c>
      <c r="AS260" s="188"/>
      <c r="AT260" s="188"/>
      <c r="AU260" s="189"/>
      <c r="AV260" s="189"/>
      <c r="AW260" s="189"/>
      <c r="AX260" s="190"/>
      <c r="AY260" s="191"/>
      <c r="AZ260" s="192"/>
    </row>
    <row r="261" spans="1:52" ht="28" hidden="1" customHeight="1">
      <c r="A261" s="219">
        <v>256</v>
      </c>
      <c r="B261" s="182">
        <v>45084</v>
      </c>
      <c r="C261" s="328" t="s">
        <v>134</v>
      </c>
      <c r="D261" s="328" t="s">
        <v>135</v>
      </c>
      <c r="E261" s="328" t="s">
        <v>136</v>
      </c>
      <c r="F261" s="329" t="s">
        <v>1184</v>
      </c>
      <c r="G261" s="329" t="s">
        <v>913</v>
      </c>
      <c r="H261" s="329" t="s">
        <v>110</v>
      </c>
      <c r="I261" s="330" t="s">
        <v>914</v>
      </c>
      <c r="J261" s="331" t="s">
        <v>915</v>
      </c>
      <c r="K261" s="329" t="s">
        <v>80</v>
      </c>
      <c r="L261" s="329" t="s">
        <v>168</v>
      </c>
      <c r="M261" s="329" t="s">
        <v>154</v>
      </c>
      <c r="N261" s="330" t="s">
        <v>212</v>
      </c>
      <c r="O261" s="330" t="s">
        <v>149</v>
      </c>
      <c r="P261" s="177" t="s">
        <v>80</v>
      </c>
      <c r="Q261" s="177" t="s">
        <v>80</v>
      </c>
      <c r="R261" s="319">
        <f>0</f>
        <v>0</v>
      </c>
      <c r="S261" s="320">
        <v>0</v>
      </c>
      <c r="T261" s="320">
        <v>0</v>
      </c>
      <c r="U261" s="320">
        <v>0</v>
      </c>
      <c r="V261" s="320">
        <v>0</v>
      </c>
      <c r="W261" s="320">
        <v>0</v>
      </c>
      <c r="X261" s="320">
        <v>0</v>
      </c>
      <c r="Y261" s="320">
        <v>0</v>
      </c>
      <c r="Z261" s="229">
        <v>1</v>
      </c>
      <c r="AA261" s="321">
        <v>0</v>
      </c>
      <c r="AB261" s="322">
        <v>0</v>
      </c>
      <c r="AC261" s="320">
        <v>0</v>
      </c>
      <c r="AD261" s="320">
        <v>0</v>
      </c>
      <c r="AE261" s="320">
        <v>0</v>
      </c>
      <c r="AF261" s="320">
        <v>0</v>
      </c>
      <c r="AG261" s="320">
        <v>0</v>
      </c>
      <c r="AH261" s="320">
        <v>0</v>
      </c>
      <c r="AI261" s="320">
        <v>0</v>
      </c>
      <c r="AJ261" s="320">
        <v>0</v>
      </c>
      <c r="AK261" s="321">
        <v>0</v>
      </c>
      <c r="AL261" s="332">
        <f t="shared" si="16"/>
        <v>1</v>
      </c>
      <c r="AM261" s="333">
        <f>0</f>
        <v>0</v>
      </c>
      <c r="AN261" s="334">
        <f t="shared" si="17"/>
        <v>1</v>
      </c>
      <c r="AO261" s="247">
        <v>45090</v>
      </c>
      <c r="AP261" s="186" t="s">
        <v>273</v>
      </c>
      <c r="AQ261" s="187" t="s">
        <v>1288</v>
      </c>
      <c r="AR261" s="187" t="s">
        <v>148</v>
      </c>
      <c r="AS261" s="188"/>
      <c r="AT261" s="188"/>
      <c r="AU261" s="189"/>
      <c r="AV261" s="189"/>
      <c r="AW261" s="189"/>
      <c r="AX261" s="190"/>
      <c r="AY261" s="191"/>
      <c r="AZ261" s="192"/>
    </row>
    <row r="262" spans="1:52" ht="28" hidden="1" customHeight="1">
      <c r="A262" s="219">
        <v>257</v>
      </c>
      <c r="B262" s="182">
        <v>45084</v>
      </c>
      <c r="C262" s="328" t="s">
        <v>134</v>
      </c>
      <c r="D262" s="328" t="s">
        <v>135</v>
      </c>
      <c r="E262" s="328" t="s">
        <v>136</v>
      </c>
      <c r="F262" s="329" t="s">
        <v>1184</v>
      </c>
      <c r="G262" s="329" t="s">
        <v>916</v>
      </c>
      <c r="H262" s="329" t="s">
        <v>110</v>
      </c>
      <c r="I262" s="330" t="s">
        <v>917</v>
      </c>
      <c r="J262" s="331" t="s">
        <v>918</v>
      </c>
      <c r="K262" s="329" t="s">
        <v>919</v>
      </c>
      <c r="L262" s="329" t="s">
        <v>920</v>
      </c>
      <c r="M262" s="329" t="s">
        <v>154</v>
      </c>
      <c r="N262" s="330" t="s">
        <v>80</v>
      </c>
      <c r="O262" s="330" t="s">
        <v>1218</v>
      </c>
      <c r="P262" s="177" t="s">
        <v>80</v>
      </c>
      <c r="Q262" s="177" t="s">
        <v>80</v>
      </c>
      <c r="R262" s="319">
        <f>0</f>
        <v>0</v>
      </c>
      <c r="S262" s="320">
        <v>0</v>
      </c>
      <c r="T262" s="320">
        <v>0</v>
      </c>
      <c r="U262" s="320">
        <v>0</v>
      </c>
      <c r="V262" s="320">
        <v>0</v>
      </c>
      <c r="W262" s="320">
        <v>0</v>
      </c>
      <c r="X262" s="320">
        <v>0</v>
      </c>
      <c r="Y262" s="320">
        <v>0</v>
      </c>
      <c r="Z262" s="229">
        <v>1</v>
      </c>
      <c r="AA262" s="321">
        <v>0</v>
      </c>
      <c r="AB262" s="322">
        <v>0</v>
      </c>
      <c r="AC262" s="320">
        <v>0</v>
      </c>
      <c r="AD262" s="320">
        <v>0</v>
      </c>
      <c r="AE262" s="320">
        <v>0</v>
      </c>
      <c r="AF262" s="320">
        <v>0</v>
      </c>
      <c r="AG262" s="320">
        <v>0</v>
      </c>
      <c r="AH262" s="320">
        <v>0</v>
      </c>
      <c r="AI262" s="320">
        <v>0</v>
      </c>
      <c r="AJ262" s="320">
        <v>0</v>
      </c>
      <c r="AK262" s="321">
        <v>0</v>
      </c>
      <c r="AL262" s="332">
        <f t="shared" si="16"/>
        <v>1</v>
      </c>
      <c r="AM262" s="333">
        <f>0</f>
        <v>0</v>
      </c>
      <c r="AN262" s="334">
        <f t="shared" si="17"/>
        <v>1</v>
      </c>
      <c r="AO262" s="247">
        <v>45090</v>
      </c>
      <c r="AP262" s="186" t="s">
        <v>273</v>
      </c>
      <c r="AQ262" s="187" t="s">
        <v>1288</v>
      </c>
      <c r="AR262" s="187" t="s">
        <v>148</v>
      </c>
      <c r="AS262" s="188"/>
      <c r="AT262" s="188"/>
      <c r="AU262" s="189"/>
      <c r="AV262" s="189"/>
      <c r="AW262" s="189"/>
      <c r="AX262" s="190"/>
      <c r="AY262" s="191"/>
      <c r="AZ262" s="192"/>
    </row>
    <row r="263" spans="1:52" ht="28" hidden="1" customHeight="1">
      <c r="A263" s="219">
        <v>258</v>
      </c>
      <c r="B263" s="182">
        <v>45084</v>
      </c>
      <c r="C263" s="328" t="s">
        <v>134</v>
      </c>
      <c r="D263" s="328" t="s">
        <v>135</v>
      </c>
      <c r="E263" s="328" t="s">
        <v>136</v>
      </c>
      <c r="F263" s="329" t="s">
        <v>1184</v>
      </c>
      <c r="G263" s="329" t="s">
        <v>921</v>
      </c>
      <c r="H263" s="329" t="s">
        <v>110</v>
      </c>
      <c r="I263" s="330" t="s">
        <v>922</v>
      </c>
      <c r="J263" s="331" t="s">
        <v>923</v>
      </c>
      <c r="K263" s="329" t="s">
        <v>80</v>
      </c>
      <c r="L263" s="329" t="s">
        <v>222</v>
      </c>
      <c r="M263" s="329" t="s">
        <v>154</v>
      </c>
      <c r="N263" s="330" t="s">
        <v>80</v>
      </c>
      <c r="O263" s="330" t="s">
        <v>149</v>
      </c>
      <c r="P263" s="177" t="s">
        <v>80</v>
      </c>
      <c r="Q263" s="177" t="s">
        <v>80</v>
      </c>
      <c r="R263" s="319">
        <f>0</f>
        <v>0</v>
      </c>
      <c r="S263" s="320">
        <v>0</v>
      </c>
      <c r="T263" s="320">
        <v>0</v>
      </c>
      <c r="U263" s="320">
        <v>0</v>
      </c>
      <c r="V263" s="320">
        <v>0</v>
      </c>
      <c r="W263" s="320">
        <v>0</v>
      </c>
      <c r="X263" s="320">
        <v>0</v>
      </c>
      <c r="Y263" s="320">
        <v>0</v>
      </c>
      <c r="Z263" s="229">
        <v>1</v>
      </c>
      <c r="AA263" s="321">
        <v>0</v>
      </c>
      <c r="AB263" s="322">
        <v>0</v>
      </c>
      <c r="AC263" s="320">
        <v>0</v>
      </c>
      <c r="AD263" s="320">
        <v>0</v>
      </c>
      <c r="AE263" s="320">
        <v>0</v>
      </c>
      <c r="AF263" s="320">
        <v>0</v>
      </c>
      <c r="AG263" s="320">
        <v>0</v>
      </c>
      <c r="AH263" s="320">
        <v>0</v>
      </c>
      <c r="AI263" s="320">
        <v>0</v>
      </c>
      <c r="AJ263" s="320">
        <v>0</v>
      </c>
      <c r="AK263" s="321">
        <v>0</v>
      </c>
      <c r="AL263" s="332">
        <f t="shared" si="16"/>
        <v>1</v>
      </c>
      <c r="AM263" s="333">
        <f>0</f>
        <v>0</v>
      </c>
      <c r="AN263" s="334">
        <f t="shared" si="17"/>
        <v>1</v>
      </c>
      <c r="AO263" s="247">
        <v>45090</v>
      </c>
      <c r="AP263" s="186" t="s">
        <v>273</v>
      </c>
      <c r="AQ263" s="187" t="s">
        <v>1288</v>
      </c>
      <c r="AR263" s="187" t="s">
        <v>148</v>
      </c>
      <c r="AS263" s="188"/>
      <c r="AT263" s="188"/>
      <c r="AU263" s="189"/>
      <c r="AV263" s="189"/>
      <c r="AW263" s="189"/>
      <c r="AX263" s="190"/>
      <c r="AY263" s="191"/>
      <c r="AZ263" s="192"/>
    </row>
    <row r="264" spans="1:52" ht="28" hidden="1" customHeight="1">
      <c r="A264" s="219">
        <v>259</v>
      </c>
      <c r="B264" s="182">
        <v>45084</v>
      </c>
      <c r="C264" s="328" t="s">
        <v>134</v>
      </c>
      <c r="D264" s="328" t="s">
        <v>135</v>
      </c>
      <c r="E264" s="328" t="s">
        <v>136</v>
      </c>
      <c r="F264" s="329" t="s">
        <v>1184</v>
      </c>
      <c r="G264" s="329" t="s">
        <v>924</v>
      </c>
      <c r="H264" s="329" t="s">
        <v>110</v>
      </c>
      <c r="I264" s="330" t="s">
        <v>925</v>
      </c>
      <c r="J264" s="331" t="s">
        <v>926</v>
      </c>
      <c r="K264" s="329"/>
      <c r="L264" s="329" t="s">
        <v>222</v>
      </c>
      <c r="M264" s="329" t="s">
        <v>154</v>
      </c>
      <c r="N264" s="330" t="s">
        <v>80</v>
      </c>
      <c r="O264" s="330" t="s">
        <v>149</v>
      </c>
      <c r="P264" s="177" t="s">
        <v>80</v>
      </c>
      <c r="Q264" s="177" t="s">
        <v>80</v>
      </c>
      <c r="R264" s="319">
        <f>0</f>
        <v>0</v>
      </c>
      <c r="S264" s="320">
        <v>0</v>
      </c>
      <c r="T264" s="320">
        <v>0</v>
      </c>
      <c r="U264" s="320">
        <v>0</v>
      </c>
      <c r="V264" s="320">
        <v>0</v>
      </c>
      <c r="W264" s="320">
        <v>0</v>
      </c>
      <c r="X264" s="320">
        <v>0</v>
      </c>
      <c r="Y264" s="320">
        <v>0</v>
      </c>
      <c r="Z264" s="229">
        <v>1</v>
      </c>
      <c r="AA264" s="321">
        <v>0</v>
      </c>
      <c r="AB264" s="322">
        <v>0</v>
      </c>
      <c r="AC264" s="320">
        <v>0</v>
      </c>
      <c r="AD264" s="320">
        <v>0</v>
      </c>
      <c r="AE264" s="320">
        <v>0</v>
      </c>
      <c r="AF264" s="320">
        <v>0</v>
      </c>
      <c r="AG264" s="320">
        <v>0</v>
      </c>
      <c r="AH264" s="320">
        <v>0</v>
      </c>
      <c r="AI264" s="320">
        <v>0</v>
      </c>
      <c r="AJ264" s="320">
        <v>0</v>
      </c>
      <c r="AK264" s="321">
        <v>0</v>
      </c>
      <c r="AL264" s="332">
        <f t="shared" si="16"/>
        <v>1</v>
      </c>
      <c r="AM264" s="333">
        <f>0</f>
        <v>0</v>
      </c>
      <c r="AN264" s="334">
        <f t="shared" si="17"/>
        <v>1</v>
      </c>
      <c r="AO264" s="247">
        <v>45090</v>
      </c>
      <c r="AP264" s="186" t="s">
        <v>273</v>
      </c>
      <c r="AQ264" s="187" t="s">
        <v>1288</v>
      </c>
      <c r="AR264" s="187" t="s">
        <v>148</v>
      </c>
      <c r="AS264" s="188"/>
      <c r="AT264" s="188"/>
      <c r="AU264" s="189"/>
      <c r="AV264" s="189"/>
      <c r="AW264" s="189"/>
      <c r="AX264" s="190"/>
      <c r="AY264" s="191"/>
      <c r="AZ264" s="192"/>
    </row>
    <row r="265" spans="1:52" ht="28" hidden="1" customHeight="1">
      <c r="A265" s="219">
        <v>260</v>
      </c>
      <c r="B265" s="182">
        <v>45084</v>
      </c>
      <c r="C265" s="328" t="s">
        <v>134</v>
      </c>
      <c r="D265" s="328" t="s">
        <v>135</v>
      </c>
      <c r="E265" s="328" t="s">
        <v>136</v>
      </c>
      <c r="F265" s="329" t="s">
        <v>1184</v>
      </c>
      <c r="G265" s="329" t="s">
        <v>927</v>
      </c>
      <c r="H265" s="329" t="s">
        <v>287</v>
      </c>
      <c r="I265" s="330" t="s">
        <v>1185</v>
      </c>
      <c r="J265" s="331" t="s">
        <v>1186</v>
      </c>
      <c r="K265" s="329" t="s">
        <v>80</v>
      </c>
      <c r="L265" s="329" t="s">
        <v>304</v>
      </c>
      <c r="M265" s="329" t="s">
        <v>154</v>
      </c>
      <c r="N265" s="330" t="s">
        <v>80</v>
      </c>
      <c r="O265" s="330" t="s">
        <v>704</v>
      </c>
      <c r="P265" s="177" t="s">
        <v>80</v>
      </c>
      <c r="Q265" s="177" t="s">
        <v>80</v>
      </c>
      <c r="R265" s="319">
        <f>0</f>
        <v>0</v>
      </c>
      <c r="S265" s="320">
        <v>0</v>
      </c>
      <c r="T265" s="320">
        <v>0</v>
      </c>
      <c r="U265" s="320">
        <v>0</v>
      </c>
      <c r="V265" s="320">
        <v>0</v>
      </c>
      <c r="W265" s="320">
        <v>0</v>
      </c>
      <c r="X265" s="320">
        <v>0</v>
      </c>
      <c r="Y265" s="320">
        <v>0</v>
      </c>
      <c r="Z265" s="229">
        <v>1</v>
      </c>
      <c r="AA265" s="321">
        <v>0</v>
      </c>
      <c r="AB265" s="322">
        <v>0</v>
      </c>
      <c r="AC265" s="320">
        <v>0</v>
      </c>
      <c r="AD265" s="320">
        <v>0</v>
      </c>
      <c r="AE265" s="320">
        <v>0</v>
      </c>
      <c r="AF265" s="320">
        <v>0</v>
      </c>
      <c r="AG265" s="320">
        <v>0</v>
      </c>
      <c r="AH265" s="320">
        <v>0</v>
      </c>
      <c r="AI265" s="320">
        <v>0</v>
      </c>
      <c r="AJ265" s="320">
        <v>0</v>
      </c>
      <c r="AK265" s="321">
        <v>0</v>
      </c>
      <c r="AL265" s="332">
        <f t="shared" si="16"/>
        <v>1</v>
      </c>
      <c r="AM265" s="333">
        <f>0</f>
        <v>0</v>
      </c>
      <c r="AN265" s="334">
        <f t="shared" si="17"/>
        <v>1</v>
      </c>
      <c r="AO265" s="247">
        <v>45090</v>
      </c>
      <c r="AP265" s="186" t="s">
        <v>273</v>
      </c>
      <c r="AQ265" s="187" t="s">
        <v>1288</v>
      </c>
      <c r="AR265" s="187" t="s">
        <v>148</v>
      </c>
      <c r="AS265" s="188"/>
      <c r="AT265" s="188"/>
      <c r="AU265" s="189"/>
      <c r="AV265" s="189"/>
      <c r="AW265" s="189"/>
      <c r="AX265" s="190"/>
      <c r="AY265" s="191"/>
      <c r="AZ265" s="192"/>
    </row>
    <row r="266" spans="1:52" ht="28" hidden="1" customHeight="1">
      <c r="A266" s="219">
        <v>261</v>
      </c>
      <c r="B266" s="182">
        <v>45084</v>
      </c>
      <c r="C266" s="189"/>
      <c r="D266" s="188"/>
      <c r="E266" s="328" t="s">
        <v>136</v>
      </c>
      <c r="F266" s="329" t="s">
        <v>1184</v>
      </c>
      <c r="G266" s="329" t="s">
        <v>928</v>
      </c>
      <c r="H266" s="329" t="s">
        <v>287</v>
      </c>
      <c r="I266" s="330" t="s">
        <v>1187</v>
      </c>
      <c r="J266" s="331" t="s">
        <v>1188</v>
      </c>
      <c r="K266" s="329" t="s">
        <v>80</v>
      </c>
      <c r="L266" s="329" t="s">
        <v>304</v>
      </c>
      <c r="M266" s="329" t="s">
        <v>154</v>
      </c>
      <c r="N266" s="330" t="s">
        <v>80</v>
      </c>
      <c r="O266" s="330" t="s">
        <v>704</v>
      </c>
      <c r="P266" s="177" t="s">
        <v>80</v>
      </c>
      <c r="Q266" s="177" t="s">
        <v>80</v>
      </c>
      <c r="R266" s="319">
        <f>0</f>
        <v>0</v>
      </c>
      <c r="S266" s="320">
        <v>0</v>
      </c>
      <c r="T266" s="320">
        <v>0</v>
      </c>
      <c r="U266" s="320">
        <v>0</v>
      </c>
      <c r="V266" s="320">
        <v>0</v>
      </c>
      <c r="W266" s="320">
        <v>0</v>
      </c>
      <c r="X266" s="320">
        <v>0</v>
      </c>
      <c r="Y266" s="320">
        <v>0</v>
      </c>
      <c r="Z266" s="229">
        <v>1</v>
      </c>
      <c r="AA266" s="321">
        <v>0</v>
      </c>
      <c r="AB266" s="322">
        <v>0</v>
      </c>
      <c r="AC266" s="320">
        <v>0</v>
      </c>
      <c r="AD266" s="320">
        <v>0</v>
      </c>
      <c r="AE266" s="320">
        <v>0</v>
      </c>
      <c r="AF266" s="320">
        <v>0</v>
      </c>
      <c r="AG266" s="320">
        <v>0</v>
      </c>
      <c r="AH266" s="320">
        <v>0</v>
      </c>
      <c r="AI266" s="320">
        <v>0</v>
      </c>
      <c r="AJ266" s="320">
        <v>0</v>
      </c>
      <c r="AK266" s="321">
        <v>0</v>
      </c>
      <c r="AL266" s="332">
        <f t="shared" si="16"/>
        <v>1</v>
      </c>
      <c r="AM266" s="333">
        <f>0</f>
        <v>0</v>
      </c>
      <c r="AN266" s="334">
        <f t="shared" si="17"/>
        <v>1</v>
      </c>
      <c r="AO266" s="247">
        <v>45090</v>
      </c>
      <c r="AP266" s="186" t="s">
        <v>273</v>
      </c>
      <c r="AQ266" s="187" t="s">
        <v>1288</v>
      </c>
      <c r="AR266" s="187" t="s">
        <v>148</v>
      </c>
      <c r="AS266" s="188"/>
      <c r="AT266" s="188"/>
      <c r="AU266" s="189"/>
      <c r="AV266" s="189"/>
      <c r="AW266" s="189"/>
      <c r="AX266" s="190"/>
      <c r="AY266" s="191"/>
      <c r="AZ266" s="192"/>
    </row>
    <row r="267" spans="1:52" ht="28" hidden="1" customHeight="1">
      <c r="A267" s="219">
        <v>262</v>
      </c>
      <c r="B267" s="182">
        <v>45084</v>
      </c>
      <c r="C267" s="328" t="s">
        <v>134</v>
      </c>
      <c r="D267" s="328" t="s">
        <v>135</v>
      </c>
      <c r="E267" s="328" t="s">
        <v>136</v>
      </c>
      <c r="F267" s="329" t="s">
        <v>1184</v>
      </c>
      <c r="G267" s="329" t="s">
        <v>929</v>
      </c>
      <c r="H267" s="329" t="s">
        <v>110</v>
      </c>
      <c r="I267" s="330" t="s">
        <v>1185</v>
      </c>
      <c r="J267" s="331" t="s">
        <v>1189</v>
      </c>
      <c r="K267" s="329" t="s">
        <v>80</v>
      </c>
      <c r="L267" s="329" t="s">
        <v>304</v>
      </c>
      <c r="M267" s="329" t="s">
        <v>154</v>
      </c>
      <c r="N267" s="330" t="s">
        <v>80</v>
      </c>
      <c r="O267" s="330" t="s">
        <v>704</v>
      </c>
      <c r="P267" s="177" t="s">
        <v>80</v>
      </c>
      <c r="Q267" s="177" t="s">
        <v>80</v>
      </c>
      <c r="R267" s="319">
        <f>0</f>
        <v>0</v>
      </c>
      <c r="S267" s="320">
        <v>0</v>
      </c>
      <c r="T267" s="320">
        <v>0</v>
      </c>
      <c r="U267" s="320">
        <v>0</v>
      </c>
      <c r="V267" s="320">
        <v>0</v>
      </c>
      <c r="W267" s="320">
        <v>0</v>
      </c>
      <c r="X267" s="320">
        <v>0</v>
      </c>
      <c r="Y267" s="320">
        <v>0</v>
      </c>
      <c r="Z267" s="229">
        <v>1</v>
      </c>
      <c r="AA267" s="321">
        <v>0</v>
      </c>
      <c r="AB267" s="322">
        <v>0</v>
      </c>
      <c r="AC267" s="320">
        <v>0</v>
      </c>
      <c r="AD267" s="320">
        <v>0</v>
      </c>
      <c r="AE267" s="320">
        <v>0</v>
      </c>
      <c r="AF267" s="320">
        <v>0</v>
      </c>
      <c r="AG267" s="320">
        <v>0</v>
      </c>
      <c r="AH267" s="320">
        <v>0</v>
      </c>
      <c r="AI267" s="320">
        <v>0</v>
      </c>
      <c r="AJ267" s="320">
        <v>0</v>
      </c>
      <c r="AK267" s="321">
        <v>0</v>
      </c>
      <c r="AL267" s="332">
        <f t="shared" si="16"/>
        <v>1</v>
      </c>
      <c r="AM267" s="333">
        <f>0</f>
        <v>0</v>
      </c>
      <c r="AN267" s="334">
        <f t="shared" si="17"/>
        <v>1</v>
      </c>
      <c r="AO267" s="247">
        <v>45090</v>
      </c>
      <c r="AP267" s="186" t="s">
        <v>273</v>
      </c>
      <c r="AQ267" s="187" t="s">
        <v>1288</v>
      </c>
      <c r="AR267" s="187" t="s">
        <v>148</v>
      </c>
      <c r="AS267" s="188"/>
      <c r="AT267" s="188"/>
      <c r="AU267" s="189"/>
      <c r="AV267" s="189"/>
      <c r="AW267" s="189"/>
      <c r="AX267" s="190"/>
      <c r="AY267" s="191"/>
      <c r="AZ267" s="192"/>
    </row>
    <row r="268" spans="1:52" ht="28" hidden="1" customHeight="1">
      <c r="A268" s="219">
        <v>263</v>
      </c>
      <c r="B268" s="182">
        <v>45084</v>
      </c>
      <c r="C268" s="189"/>
      <c r="D268" s="188"/>
      <c r="E268" s="328" t="s">
        <v>136</v>
      </c>
      <c r="F268" s="329" t="s">
        <v>1184</v>
      </c>
      <c r="G268" s="329" t="s">
        <v>930</v>
      </c>
      <c r="H268" s="329" t="s">
        <v>110</v>
      </c>
      <c r="I268" s="330" t="s">
        <v>1187</v>
      </c>
      <c r="J268" s="331" t="s">
        <v>1190</v>
      </c>
      <c r="K268" s="329" t="s">
        <v>80</v>
      </c>
      <c r="L268" s="329" t="s">
        <v>304</v>
      </c>
      <c r="M268" s="329" t="s">
        <v>154</v>
      </c>
      <c r="N268" s="330" t="s">
        <v>80</v>
      </c>
      <c r="O268" s="330" t="s">
        <v>704</v>
      </c>
      <c r="P268" s="177" t="s">
        <v>80</v>
      </c>
      <c r="Q268" s="177" t="s">
        <v>80</v>
      </c>
      <c r="R268" s="319">
        <f>0</f>
        <v>0</v>
      </c>
      <c r="S268" s="320">
        <v>0</v>
      </c>
      <c r="T268" s="320">
        <v>0</v>
      </c>
      <c r="U268" s="320">
        <v>0</v>
      </c>
      <c r="V268" s="320">
        <v>0</v>
      </c>
      <c r="W268" s="320">
        <v>0</v>
      </c>
      <c r="X268" s="320">
        <v>0</v>
      </c>
      <c r="Y268" s="320">
        <v>0</v>
      </c>
      <c r="Z268" s="229">
        <v>1</v>
      </c>
      <c r="AA268" s="321">
        <v>0</v>
      </c>
      <c r="AB268" s="322">
        <v>0</v>
      </c>
      <c r="AC268" s="320">
        <v>0</v>
      </c>
      <c r="AD268" s="320">
        <v>0</v>
      </c>
      <c r="AE268" s="320">
        <v>0</v>
      </c>
      <c r="AF268" s="320">
        <v>0</v>
      </c>
      <c r="AG268" s="320">
        <v>0</v>
      </c>
      <c r="AH268" s="320">
        <v>0</v>
      </c>
      <c r="AI268" s="320">
        <v>0</v>
      </c>
      <c r="AJ268" s="320">
        <v>0</v>
      </c>
      <c r="AK268" s="321">
        <v>0</v>
      </c>
      <c r="AL268" s="332">
        <f t="shared" si="16"/>
        <v>1</v>
      </c>
      <c r="AM268" s="333">
        <f>0</f>
        <v>0</v>
      </c>
      <c r="AN268" s="334">
        <f t="shared" si="17"/>
        <v>1</v>
      </c>
      <c r="AO268" s="247">
        <v>45090</v>
      </c>
      <c r="AP268" s="186" t="s">
        <v>273</v>
      </c>
      <c r="AQ268" s="187" t="s">
        <v>1288</v>
      </c>
      <c r="AR268" s="187" t="s">
        <v>148</v>
      </c>
      <c r="AS268" s="188"/>
      <c r="AT268" s="188"/>
      <c r="AU268" s="189"/>
      <c r="AV268" s="189"/>
      <c r="AW268" s="189"/>
      <c r="AX268" s="190"/>
      <c r="AY268" s="191"/>
      <c r="AZ268" s="192"/>
    </row>
    <row r="269" spans="1:52" ht="28" hidden="1" customHeight="1">
      <c r="A269" s="219">
        <v>264</v>
      </c>
      <c r="B269" s="182">
        <v>45084</v>
      </c>
      <c r="C269" s="328" t="s">
        <v>134</v>
      </c>
      <c r="D269" s="328" t="s">
        <v>135</v>
      </c>
      <c r="E269" s="328" t="s">
        <v>136</v>
      </c>
      <c r="F269" s="329" t="s">
        <v>1184</v>
      </c>
      <c r="G269" s="329" t="s">
        <v>931</v>
      </c>
      <c r="H269" s="329" t="s">
        <v>283</v>
      </c>
      <c r="I269" s="330" t="s">
        <v>1185</v>
      </c>
      <c r="J269" s="331" t="s">
        <v>1191</v>
      </c>
      <c r="K269" s="329" t="s">
        <v>80</v>
      </c>
      <c r="L269" s="329" t="s">
        <v>304</v>
      </c>
      <c r="M269" s="329" t="s">
        <v>154</v>
      </c>
      <c r="N269" s="330" t="s">
        <v>80</v>
      </c>
      <c r="O269" s="330" t="s">
        <v>704</v>
      </c>
      <c r="P269" s="177" t="s">
        <v>80</v>
      </c>
      <c r="Q269" s="177" t="s">
        <v>80</v>
      </c>
      <c r="R269" s="319">
        <f>0</f>
        <v>0</v>
      </c>
      <c r="S269" s="320">
        <v>0</v>
      </c>
      <c r="T269" s="320">
        <v>0</v>
      </c>
      <c r="U269" s="320">
        <v>0</v>
      </c>
      <c r="V269" s="320">
        <v>0</v>
      </c>
      <c r="W269" s="320">
        <v>0</v>
      </c>
      <c r="X269" s="320">
        <v>0</v>
      </c>
      <c r="Y269" s="320">
        <v>0</v>
      </c>
      <c r="Z269" s="229">
        <v>1</v>
      </c>
      <c r="AA269" s="321">
        <v>0</v>
      </c>
      <c r="AB269" s="322">
        <v>0</v>
      </c>
      <c r="AC269" s="320">
        <v>0</v>
      </c>
      <c r="AD269" s="320">
        <v>0</v>
      </c>
      <c r="AE269" s="320">
        <v>0</v>
      </c>
      <c r="AF269" s="320">
        <v>0</v>
      </c>
      <c r="AG269" s="320">
        <v>0</v>
      </c>
      <c r="AH269" s="320">
        <v>0</v>
      </c>
      <c r="AI269" s="320">
        <v>0</v>
      </c>
      <c r="AJ269" s="320">
        <v>0</v>
      </c>
      <c r="AK269" s="321">
        <v>0</v>
      </c>
      <c r="AL269" s="332">
        <f t="shared" si="16"/>
        <v>1</v>
      </c>
      <c r="AM269" s="333">
        <f>0</f>
        <v>0</v>
      </c>
      <c r="AN269" s="334">
        <f t="shared" si="17"/>
        <v>1</v>
      </c>
      <c r="AO269" s="247">
        <v>45090</v>
      </c>
      <c r="AP269" s="186" t="s">
        <v>273</v>
      </c>
      <c r="AQ269" s="187" t="s">
        <v>1288</v>
      </c>
      <c r="AR269" s="187" t="s">
        <v>148</v>
      </c>
      <c r="AS269" s="188"/>
      <c r="AT269" s="188"/>
      <c r="AU269" s="189"/>
      <c r="AV269" s="189"/>
      <c r="AW269" s="189"/>
      <c r="AX269" s="190"/>
      <c r="AY269" s="191"/>
      <c r="AZ269" s="192"/>
    </row>
    <row r="270" spans="1:52" ht="28" hidden="1" customHeight="1">
      <c r="A270" s="219">
        <v>265</v>
      </c>
      <c r="B270" s="182">
        <v>45084</v>
      </c>
      <c r="C270" s="189"/>
      <c r="D270" s="188"/>
      <c r="E270" s="188"/>
      <c r="F270" s="329" t="s">
        <v>1184</v>
      </c>
      <c r="G270" s="329" t="s">
        <v>932</v>
      </c>
      <c r="H270" s="329" t="s">
        <v>283</v>
      </c>
      <c r="I270" s="330" t="s">
        <v>1187</v>
      </c>
      <c r="J270" s="331" t="s">
        <v>1192</v>
      </c>
      <c r="K270" s="329" t="s">
        <v>80</v>
      </c>
      <c r="L270" s="329" t="s">
        <v>304</v>
      </c>
      <c r="M270" s="329" t="s">
        <v>154</v>
      </c>
      <c r="N270" s="330" t="s">
        <v>80</v>
      </c>
      <c r="O270" s="330" t="s">
        <v>704</v>
      </c>
      <c r="P270" s="177" t="s">
        <v>80</v>
      </c>
      <c r="Q270" s="177" t="s">
        <v>80</v>
      </c>
      <c r="R270" s="319">
        <f>0</f>
        <v>0</v>
      </c>
      <c r="S270" s="320">
        <v>0</v>
      </c>
      <c r="T270" s="320">
        <v>0</v>
      </c>
      <c r="U270" s="320">
        <v>0</v>
      </c>
      <c r="V270" s="320">
        <v>0</v>
      </c>
      <c r="W270" s="320">
        <v>0</v>
      </c>
      <c r="X270" s="320">
        <v>0</v>
      </c>
      <c r="Y270" s="320">
        <v>0</v>
      </c>
      <c r="Z270" s="229">
        <v>1</v>
      </c>
      <c r="AA270" s="321">
        <v>0</v>
      </c>
      <c r="AB270" s="322">
        <v>0</v>
      </c>
      <c r="AC270" s="320">
        <v>0</v>
      </c>
      <c r="AD270" s="320">
        <v>0</v>
      </c>
      <c r="AE270" s="320">
        <v>0</v>
      </c>
      <c r="AF270" s="320">
        <v>0</v>
      </c>
      <c r="AG270" s="320">
        <v>0</v>
      </c>
      <c r="AH270" s="320">
        <v>0</v>
      </c>
      <c r="AI270" s="320">
        <v>0</v>
      </c>
      <c r="AJ270" s="320">
        <v>0</v>
      </c>
      <c r="AK270" s="321">
        <v>0</v>
      </c>
      <c r="AL270" s="332">
        <f t="shared" si="16"/>
        <v>1</v>
      </c>
      <c r="AM270" s="333">
        <f>0</f>
        <v>0</v>
      </c>
      <c r="AN270" s="334">
        <f t="shared" si="17"/>
        <v>1</v>
      </c>
      <c r="AO270" s="247">
        <v>45090</v>
      </c>
      <c r="AP270" s="186" t="s">
        <v>273</v>
      </c>
      <c r="AQ270" s="187" t="s">
        <v>1288</v>
      </c>
      <c r="AR270" s="187" t="s">
        <v>148</v>
      </c>
      <c r="AS270" s="188"/>
      <c r="AT270" s="188"/>
      <c r="AU270" s="189"/>
      <c r="AV270" s="189"/>
      <c r="AW270" s="189"/>
      <c r="AX270" s="190"/>
      <c r="AY270" s="191"/>
      <c r="AZ270" s="192"/>
    </row>
    <row r="271" spans="1:52" ht="28" hidden="1" customHeight="1">
      <c r="A271" s="219">
        <v>266</v>
      </c>
      <c r="B271" s="182">
        <v>45084</v>
      </c>
      <c r="C271" s="328" t="s">
        <v>134</v>
      </c>
      <c r="D271" s="328" t="s">
        <v>135</v>
      </c>
      <c r="E271" s="328" t="s">
        <v>136</v>
      </c>
      <c r="F271" s="329" t="s">
        <v>1184</v>
      </c>
      <c r="G271" s="329" t="s">
        <v>933</v>
      </c>
      <c r="H271" s="329" t="s">
        <v>110</v>
      </c>
      <c r="I271" s="330" t="s">
        <v>1185</v>
      </c>
      <c r="J271" s="331" t="s">
        <v>1193</v>
      </c>
      <c r="K271" s="329" t="s">
        <v>80</v>
      </c>
      <c r="L271" s="329" t="s">
        <v>304</v>
      </c>
      <c r="M271" s="329" t="s">
        <v>154</v>
      </c>
      <c r="N271" s="330" t="s">
        <v>80</v>
      </c>
      <c r="O271" s="330" t="s">
        <v>704</v>
      </c>
      <c r="P271" s="177" t="s">
        <v>80</v>
      </c>
      <c r="Q271" s="177" t="s">
        <v>80</v>
      </c>
      <c r="R271" s="319">
        <f>0</f>
        <v>0</v>
      </c>
      <c r="S271" s="320">
        <v>0</v>
      </c>
      <c r="T271" s="320">
        <v>0</v>
      </c>
      <c r="U271" s="320">
        <v>0</v>
      </c>
      <c r="V271" s="320">
        <v>0</v>
      </c>
      <c r="W271" s="320">
        <v>0</v>
      </c>
      <c r="X271" s="320">
        <v>0</v>
      </c>
      <c r="Y271" s="320">
        <v>0</v>
      </c>
      <c r="Z271" s="229">
        <v>1</v>
      </c>
      <c r="AA271" s="321">
        <v>0</v>
      </c>
      <c r="AB271" s="322">
        <v>0</v>
      </c>
      <c r="AC271" s="320">
        <v>0</v>
      </c>
      <c r="AD271" s="320">
        <v>0</v>
      </c>
      <c r="AE271" s="320">
        <v>0</v>
      </c>
      <c r="AF271" s="320">
        <v>0</v>
      </c>
      <c r="AG271" s="320">
        <v>0</v>
      </c>
      <c r="AH271" s="320">
        <v>0</v>
      </c>
      <c r="AI271" s="320">
        <v>0</v>
      </c>
      <c r="AJ271" s="320">
        <v>0</v>
      </c>
      <c r="AK271" s="321">
        <v>0</v>
      </c>
      <c r="AL271" s="332">
        <f t="shared" si="16"/>
        <v>1</v>
      </c>
      <c r="AM271" s="333">
        <f>0</f>
        <v>0</v>
      </c>
      <c r="AN271" s="334">
        <f t="shared" si="17"/>
        <v>1</v>
      </c>
      <c r="AO271" s="247">
        <v>45090</v>
      </c>
      <c r="AP271" s="186" t="s">
        <v>273</v>
      </c>
      <c r="AQ271" s="187" t="s">
        <v>1288</v>
      </c>
      <c r="AR271" s="187" t="s">
        <v>148</v>
      </c>
      <c r="AS271" s="188"/>
      <c r="AT271" s="188"/>
      <c r="AU271" s="189"/>
      <c r="AV271" s="189"/>
      <c r="AW271" s="189"/>
      <c r="AX271" s="190"/>
      <c r="AY271" s="191"/>
      <c r="AZ271" s="192"/>
    </row>
    <row r="272" spans="1:52" ht="28" hidden="1" customHeight="1">
      <c r="A272" s="219">
        <v>267</v>
      </c>
      <c r="B272" s="182">
        <v>45084</v>
      </c>
      <c r="C272" s="189"/>
      <c r="D272" s="188"/>
      <c r="E272" s="328" t="s">
        <v>136</v>
      </c>
      <c r="F272" s="329" t="s">
        <v>1184</v>
      </c>
      <c r="G272" s="329" t="s">
        <v>934</v>
      </c>
      <c r="H272" s="329" t="s">
        <v>110</v>
      </c>
      <c r="I272" s="330" t="s">
        <v>1187</v>
      </c>
      <c r="J272" s="331" t="s">
        <v>1194</v>
      </c>
      <c r="K272" s="329" t="s">
        <v>80</v>
      </c>
      <c r="L272" s="329" t="s">
        <v>304</v>
      </c>
      <c r="M272" s="329" t="s">
        <v>154</v>
      </c>
      <c r="N272" s="330" t="s">
        <v>80</v>
      </c>
      <c r="O272" s="330" t="s">
        <v>704</v>
      </c>
      <c r="P272" s="177" t="s">
        <v>80</v>
      </c>
      <c r="Q272" s="177" t="s">
        <v>80</v>
      </c>
      <c r="R272" s="319">
        <f>0</f>
        <v>0</v>
      </c>
      <c r="S272" s="320">
        <v>0</v>
      </c>
      <c r="T272" s="320">
        <v>0</v>
      </c>
      <c r="U272" s="320">
        <v>0</v>
      </c>
      <c r="V272" s="320">
        <v>0</v>
      </c>
      <c r="W272" s="320">
        <v>0</v>
      </c>
      <c r="X272" s="320">
        <v>0</v>
      </c>
      <c r="Y272" s="320">
        <v>0</v>
      </c>
      <c r="Z272" s="229">
        <v>1</v>
      </c>
      <c r="AA272" s="321">
        <v>0</v>
      </c>
      <c r="AB272" s="322">
        <v>0</v>
      </c>
      <c r="AC272" s="320">
        <v>0</v>
      </c>
      <c r="AD272" s="320">
        <v>0</v>
      </c>
      <c r="AE272" s="320">
        <v>0</v>
      </c>
      <c r="AF272" s="320">
        <v>0</v>
      </c>
      <c r="AG272" s="320">
        <v>0</v>
      </c>
      <c r="AH272" s="320">
        <v>0</v>
      </c>
      <c r="AI272" s="320">
        <v>0</v>
      </c>
      <c r="AJ272" s="320">
        <v>0</v>
      </c>
      <c r="AK272" s="321">
        <v>0</v>
      </c>
      <c r="AL272" s="332">
        <f t="shared" si="16"/>
        <v>1</v>
      </c>
      <c r="AM272" s="333">
        <f>0</f>
        <v>0</v>
      </c>
      <c r="AN272" s="334">
        <f t="shared" si="17"/>
        <v>1</v>
      </c>
      <c r="AO272" s="247">
        <v>45090</v>
      </c>
      <c r="AP272" s="186" t="s">
        <v>273</v>
      </c>
      <c r="AQ272" s="187" t="s">
        <v>1288</v>
      </c>
      <c r="AR272" s="187" t="s">
        <v>148</v>
      </c>
      <c r="AS272" s="188"/>
      <c r="AT272" s="188"/>
      <c r="AU272" s="189"/>
      <c r="AV272" s="189"/>
      <c r="AW272" s="189"/>
      <c r="AX272" s="190"/>
      <c r="AY272" s="191"/>
      <c r="AZ272" s="192"/>
    </row>
    <row r="273" spans="1:52" ht="28" hidden="1" customHeight="1">
      <c r="A273" s="219">
        <v>268</v>
      </c>
      <c r="B273" s="182">
        <v>45084</v>
      </c>
      <c r="C273" s="328" t="s">
        <v>134</v>
      </c>
      <c r="D273" s="328" t="s">
        <v>135</v>
      </c>
      <c r="E273" s="328" t="s">
        <v>136</v>
      </c>
      <c r="F273" s="329" t="s">
        <v>1184</v>
      </c>
      <c r="G273" s="329" t="s">
        <v>935</v>
      </c>
      <c r="H273" s="329" t="s">
        <v>110</v>
      </c>
      <c r="I273" s="330" t="s">
        <v>1185</v>
      </c>
      <c r="J273" s="331" t="s">
        <v>1195</v>
      </c>
      <c r="K273" s="329" t="s">
        <v>80</v>
      </c>
      <c r="L273" s="329" t="s">
        <v>304</v>
      </c>
      <c r="M273" s="329" t="s">
        <v>154</v>
      </c>
      <c r="N273" s="330" t="s">
        <v>80</v>
      </c>
      <c r="O273" s="330" t="s">
        <v>704</v>
      </c>
      <c r="P273" s="177" t="s">
        <v>80</v>
      </c>
      <c r="Q273" s="177" t="s">
        <v>80</v>
      </c>
      <c r="R273" s="319">
        <f>0</f>
        <v>0</v>
      </c>
      <c r="S273" s="320">
        <v>0</v>
      </c>
      <c r="T273" s="320">
        <v>0</v>
      </c>
      <c r="U273" s="320">
        <v>0</v>
      </c>
      <c r="V273" s="320">
        <v>0</v>
      </c>
      <c r="W273" s="320">
        <v>0</v>
      </c>
      <c r="X273" s="320">
        <v>0</v>
      </c>
      <c r="Y273" s="320">
        <v>0</v>
      </c>
      <c r="Z273" s="229">
        <v>1</v>
      </c>
      <c r="AA273" s="321">
        <v>0</v>
      </c>
      <c r="AB273" s="322">
        <v>0</v>
      </c>
      <c r="AC273" s="320">
        <v>0</v>
      </c>
      <c r="AD273" s="320">
        <v>0</v>
      </c>
      <c r="AE273" s="320">
        <v>0</v>
      </c>
      <c r="AF273" s="320">
        <v>0</v>
      </c>
      <c r="AG273" s="320">
        <v>0</v>
      </c>
      <c r="AH273" s="320">
        <v>0</v>
      </c>
      <c r="AI273" s="320">
        <v>0</v>
      </c>
      <c r="AJ273" s="320">
        <v>0</v>
      </c>
      <c r="AK273" s="321">
        <v>0</v>
      </c>
      <c r="AL273" s="332">
        <f t="shared" si="16"/>
        <v>1</v>
      </c>
      <c r="AM273" s="333">
        <f>0</f>
        <v>0</v>
      </c>
      <c r="AN273" s="334">
        <f t="shared" si="17"/>
        <v>1</v>
      </c>
      <c r="AO273" s="247">
        <v>45090</v>
      </c>
      <c r="AP273" s="186" t="s">
        <v>273</v>
      </c>
      <c r="AQ273" s="187" t="s">
        <v>1288</v>
      </c>
      <c r="AR273" s="187" t="s">
        <v>148</v>
      </c>
      <c r="AS273" s="188"/>
      <c r="AT273" s="188"/>
      <c r="AU273" s="189"/>
      <c r="AV273" s="189"/>
      <c r="AW273" s="189"/>
      <c r="AX273" s="190"/>
      <c r="AY273" s="191"/>
      <c r="AZ273" s="192"/>
    </row>
    <row r="274" spans="1:52" ht="28" hidden="1" customHeight="1">
      <c r="A274" s="219">
        <v>269</v>
      </c>
      <c r="B274" s="182">
        <v>45084</v>
      </c>
      <c r="C274" s="189"/>
      <c r="D274" s="188"/>
      <c r="E274" s="328" t="s">
        <v>136</v>
      </c>
      <c r="F274" s="329" t="s">
        <v>1184</v>
      </c>
      <c r="G274" s="329" t="s">
        <v>936</v>
      </c>
      <c r="H274" s="329" t="s">
        <v>110</v>
      </c>
      <c r="I274" s="330" t="s">
        <v>1187</v>
      </c>
      <c r="J274" s="331" t="s">
        <v>1196</v>
      </c>
      <c r="K274" s="329" t="s">
        <v>80</v>
      </c>
      <c r="L274" s="329" t="s">
        <v>304</v>
      </c>
      <c r="M274" s="329" t="s">
        <v>154</v>
      </c>
      <c r="N274" s="330" t="s">
        <v>80</v>
      </c>
      <c r="O274" s="330" t="s">
        <v>704</v>
      </c>
      <c r="P274" s="177" t="s">
        <v>80</v>
      </c>
      <c r="Q274" s="177" t="s">
        <v>80</v>
      </c>
      <c r="R274" s="319">
        <f>0</f>
        <v>0</v>
      </c>
      <c r="S274" s="320">
        <v>0</v>
      </c>
      <c r="T274" s="320">
        <v>0</v>
      </c>
      <c r="U274" s="320">
        <v>0</v>
      </c>
      <c r="V274" s="320">
        <v>0</v>
      </c>
      <c r="W274" s="320">
        <v>0</v>
      </c>
      <c r="X274" s="320">
        <v>0</v>
      </c>
      <c r="Y274" s="320">
        <v>0</v>
      </c>
      <c r="Z274" s="229">
        <v>1</v>
      </c>
      <c r="AA274" s="321">
        <v>0</v>
      </c>
      <c r="AB274" s="322">
        <v>0</v>
      </c>
      <c r="AC274" s="320">
        <v>0</v>
      </c>
      <c r="AD274" s="320">
        <v>0</v>
      </c>
      <c r="AE274" s="320">
        <v>0</v>
      </c>
      <c r="AF274" s="320">
        <v>0</v>
      </c>
      <c r="AG274" s="320">
        <v>0</v>
      </c>
      <c r="AH274" s="320">
        <v>0</v>
      </c>
      <c r="AI274" s="320">
        <v>0</v>
      </c>
      <c r="AJ274" s="320">
        <v>0</v>
      </c>
      <c r="AK274" s="321">
        <v>0</v>
      </c>
      <c r="AL274" s="332">
        <f t="shared" si="16"/>
        <v>1</v>
      </c>
      <c r="AM274" s="333">
        <f>0</f>
        <v>0</v>
      </c>
      <c r="AN274" s="334">
        <f t="shared" si="17"/>
        <v>1</v>
      </c>
      <c r="AO274" s="247">
        <v>45090</v>
      </c>
      <c r="AP274" s="186" t="s">
        <v>273</v>
      </c>
      <c r="AQ274" s="187" t="s">
        <v>1288</v>
      </c>
      <c r="AR274" s="187" t="s">
        <v>148</v>
      </c>
      <c r="AS274" s="188"/>
      <c r="AT274" s="188"/>
      <c r="AU274" s="189"/>
      <c r="AV274" s="189"/>
      <c r="AW274" s="189"/>
      <c r="AX274" s="190"/>
      <c r="AY274" s="191"/>
      <c r="AZ274" s="192"/>
    </row>
    <row r="275" spans="1:52" ht="28" hidden="1" customHeight="1">
      <c r="A275" s="219">
        <v>270</v>
      </c>
      <c r="B275" s="182">
        <v>45084</v>
      </c>
      <c r="C275" s="328" t="s">
        <v>134</v>
      </c>
      <c r="D275" s="328" t="s">
        <v>135</v>
      </c>
      <c r="E275" s="328" t="s">
        <v>136</v>
      </c>
      <c r="F275" s="329" t="s">
        <v>1184</v>
      </c>
      <c r="G275" s="329" t="s">
        <v>937</v>
      </c>
      <c r="H275" s="329" t="s">
        <v>110</v>
      </c>
      <c r="I275" s="330" t="s">
        <v>1185</v>
      </c>
      <c r="J275" s="331" t="s">
        <v>1197</v>
      </c>
      <c r="K275" s="329" t="s">
        <v>80</v>
      </c>
      <c r="L275" s="329" t="s">
        <v>304</v>
      </c>
      <c r="M275" s="329" t="s">
        <v>154</v>
      </c>
      <c r="N275" s="330" t="s">
        <v>80</v>
      </c>
      <c r="O275" s="330" t="s">
        <v>704</v>
      </c>
      <c r="P275" s="177" t="s">
        <v>80</v>
      </c>
      <c r="Q275" s="177" t="s">
        <v>80</v>
      </c>
      <c r="R275" s="319">
        <f>0</f>
        <v>0</v>
      </c>
      <c r="S275" s="320">
        <v>0</v>
      </c>
      <c r="T275" s="320">
        <v>0</v>
      </c>
      <c r="U275" s="320">
        <v>0</v>
      </c>
      <c r="V275" s="320">
        <v>0</v>
      </c>
      <c r="W275" s="320">
        <v>0</v>
      </c>
      <c r="X275" s="320">
        <v>0</v>
      </c>
      <c r="Y275" s="320">
        <v>0</v>
      </c>
      <c r="Z275" s="229">
        <v>1</v>
      </c>
      <c r="AA275" s="321">
        <v>0</v>
      </c>
      <c r="AB275" s="322">
        <v>0</v>
      </c>
      <c r="AC275" s="320">
        <v>0</v>
      </c>
      <c r="AD275" s="320">
        <v>0</v>
      </c>
      <c r="AE275" s="320">
        <v>0</v>
      </c>
      <c r="AF275" s="320">
        <v>0</v>
      </c>
      <c r="AG275" s="320">
        <v>0</v>
      </c>
      <c r="AH275" s="320">
        <v>0</v>
      </c>
      <c r="AI275" s="320">
        <v>0</v>
      </c>
      <c r="AJ275" s="320">
        <v>0</v>
      </c>
      <c r="AK275" s="321">
        <v>0</v>
      </c>
      <c r="AL275" s="332">
        <f t="shared" si="16"/>
        <v>1</v>
      </c>
      <c r="AM275" s="333">
        <f>0</f>
        <v>0</v>
      </c>
      <c r="AN275" s="334">
        <f t="shared" si="17"/>
        <v>1</v>
      </c>
      <c r="AO275" s="247">
        <v>45090</v>
      </c>
      <c r="AP275" s="186" t="s">
        <v>273</v>
      </c>
      <c r="AQ275" s="187" t="s">
        <v>1288</v>
      </c>
      <c r="AR275" s="187" t="s">
        <v>148</v>
      </c>
      <c r="AS275" s="188"/>
      <c r="AT275" s="188"/>
      <c r="AU275" s="189"/>
      <c r="AV275" s="189"/>
      <c r="AW275" s="189"/>
      <c r="AX275" s="190"/>
      <c r="AY275" s="191"/>
      <c r="AZ275" s="192"/>
    </row>
    <row r="276" spans="1:52" ht="28" hidden="1" customHeight="1">
      <c r="A276" s="219">
        <v>271</v>
      </c>
      <c r="B276" s="182">
        <v>45084</v>
      </c>
      <c r="C276" s="189"/>
      <c r="D276" s="188"/>
      <c r="E276" s="328" t="s">
        <v>136</v>
      </c>
      <c r="F276" s="329" t="s">
        <v>1184</v>
      </c>
      <c r="G276" s="329" t="s">
        <v>938</v>
      </c>
      <c r="H276" s="329" t="s">
        <v>110</v>
      </c>
      <c r="I276" s="330" t="s">
        <v>1187</v>
      </c>
      <c r="J276" s="331" t="s">
        <v>1198</v>
      </c>
      <c r="K276" s="329" t="s">
        <v>80</v>
      </c>
      <c r="L276" s="329" t="s">
        <v>304</v>
      </c>
      <c r="M276" s="329" t="s">
        <v>154</v>
      </c>
      <c r="N276" s="330" t="s">
        <v>80</v>
      </c>
      <c r="O276" s="330" t="s">
        <v>704</v>
      </c>
      <c r="P276" s="177" t="s">
        <v>80</v>
      </c>
      <c r="Q276" s="177" t="s">
        <v>80</v>
      </c>
      <c r="R276" s="319">
        <f>0</f>
        <v>0</v>
      </c>
      <c r="S276" s="320">
        <v>0</v>
      </c>
      <c r="T276" s="320">
        <v>0</v>
      </c>
      <c r="U276" s="320">
        <v>0</v>
      </c>
      <c r="V276" s="320">
        <v>0</v>
      </c>
      <c r="W276" s="320">
        <v>0</v>
      </c>
      <c r="X276" s="320">
        <v>0</v>
      </c>
      <c r="Y276" s="320">
        <v>0</v>
      </c>
      <c r="Z276" s="229">
        <v>1</v>
      </c>
      <c r="AA276" s="321">
        <v>0</v>
      </c>
      <c r="AB276" s="322">
        <v>0</v>
      </c>
      <c r="AC276" s="320">
        <v>0</v>
      </c>
      <c r="AD276" s="320">
        <v>0</v>
      </c>
      <c r="AE276" s="320">
        <v>0</v>
      </c>
      <c r="AF276" s="320">
        <v>0</v>
      </c>
      <c r="AG276" s="320">
        <v>0</v>
      </c>
      <c r="AH276" s="320">
        <v>0</v>
      </c>
      <c r="AI276" s="320">
        <v>0</v>
      </c>
      <c r="AJ276" s="320">
        <v>0</v>
      </c>
      <c r="AK276" s="321">
        <v>0</v>
      </c>
      <c r="AL276" s="332">
        <f t="shared" si="16"/>
        <v>1</v>
      </c>
      <c r="AM276" s="333">
        <f>0</f>
        <v>0</v>
      </c>
      <c r="AN276" s="334">
        <f t="shared" si="17"/>
        <v>1</v>
      </c>
      <c r="AO276" s="247">
        <v>45090</v>
      </c>
      <c r="AP276" s="186" t="s">
        <v>273</v>
      </c>
      <c r="AQ276" s="187" t="s">
        <v>1288</v>
      </c>
      <c r="AR276" s="187" t="s">
        <v>148</v>
      </c>
      <c r="AS276" s="188"/>
      <c r="AT276" s="188"/>
      <c r="AU276" s="189"/>
      <c r="AV276" s="189"/>
      <c r="AW276" s="189"/>
      <c r="AX276" s="190"/>
      <c r="AY276" s="191"/>
      <c r="AZ276" s="192"/>
    </row>
    <row r="277" spans="1:52" ht="28" hidden="1" customHeight="1">
      <c r="A277" s="108">
        <v>272</v>
      </c>
      <c r="B277" s="101">
        <v>45084</v>
      </c>
      <c r="C277" s="87" t="s">
        <v>134</v>
      </c>
      <c r="D277" s="87" t="s">
        <v>135</v>
      </c>
      <c r="E277" s="87" t="s">
        <v>136</v>
      </c>
      <c r="F277" s="316" t="s">
        <v>1184</v>
      </c>
      <c r="G277" s="316" t="s">
        <v>939</v>
      </c>
      <c r="H277" s="316" t="s">
        <v>110</v>
      </c>
      <c r="I277" s="317" t="s">
        <v>126</v>
      </c>
      <c r="J277" s="318" t="s">
        <v>940</v>
      </c>
      <c r="K277" s="316" t="s">
        <v>80</v>
      </c>
      <c r="L277" s="316" t="s">
        <v>113</v>
      </c>
      <c r="M277" s="316" t="s">
        <v>126</v>
      </c>
      <c r="N277" s="317" t="s">
        <v>80</v>
      </c>
      <c r="O277" s="317" t="s">
        <v>1217</v>
      </c>
      <c r="P277" s="177" t="s">
        <v>80</v>
      </c>
      <c r="Q277" s="177" t="s">
        <v>80</v>
      </c>
      <c r="R277" s="319">
        <f>0</f>
        <v>0</v>
      </c>
      <c r="S277" s="320">
        <v>0</v>
      </c>
      <c r="T277" s="320">
        <v>0</v>
      </c>
      <c r="U277" s="320">
        <v>0</v>
      </c>
      <c r="V277" s="320">
        <v>0</v>
      </c>
      <c r="W277" s="320">
        <v>0</v>
      </c>
      <c r="X277" s="320">
        <v>0</v>
      </c>
      <c r="Y277" s="320">
        <v>0</v>
      </c>
      <c r="Z277" s="229">
        <v>1</v>
      </c>
      <c r="AA277" s="321">
        <v>0</v>
      </c>
      <c r="AB277" s="322">
        <v>0</v>
      </c>
      <c r="AC277" s="320">
        <v>0</v>
      </c>
      <c r="AD277" s="320">
        <v>0</v>
      </c>
      <c r="AE277" s="320">
        <v>0</v>
      </c>
      <c r="AF277" s="320">
        <v>0</v>
      </c>
      <c r="AG277" s="320">
        <v>0</v>
      </c>
      <c r="AH277" s="320">
        <v>0</v>
      </c>
      <c r="AI277" s="320">
        <v>0</v>
      </c>
      <c r="AJ277" s="320">
        <v>0</v>
      </c>
      <c r="AK277" s="321">
        <v>0</v>
      </c>
      <c r="AL277" s="323">
        <f t="shared" si="16"/>
        <v>1</v>
      </c>
      <c r="AM277" s="324">
        <f>0</f>
        <v>0</v>
      </c>
      <c r="AN277" s="325">
        <f t="shared" si="17"/>
        <v>1</v>
      </c>
      <c r="AO277" s="252"/>
      <c r="AP277" s="104"/>
      <c r="AQ277" s="99"/>
      <c r="AR277" s="316" t="s">
        <v>271</v>
      </c>
      <c r="AS277" s="99"/>
      <c r="AT277" s="99"/>
      <c r="AU277" s="98"/>
      <c r="AV277" s="98"/>
      <c r="AW277" s="98"/>
      <c r="AX277" s="105"/>
      <c r="AY277" s="106"/>
      <c r="AZ277" s="107"/>
    </row>
    <row r="278" spans="1:52" ht="28" hidden="1" customHeight="1">
      <c r="A278" s="219">
        <v>273</v>
      </c>
      <c r="B278" s="182">
        <v>45084</v>
      </c>
      <c r="C278" s="328" t="s">
        <v>134</v>
      </c>
      <c r="D278" s="328" t="s">
        <v>135</v>
      </c>
      <c r="E278" s="328" t="s">
        <v>136</v>
      </c>
      <c r="F278" s="329" t="s">
        <v>1184</v>
      </c>
      <c r="G278" s="329" t="s">
        <v>941</v>
      </c>
      <c r="H278" s="329" t="s">
        <v>110</v>
      </c>
      <c r="I278" s="330" t="s">
        <v>1199</v>
      </c>
      <c r="J278" s="331" t="s">
        <v>942</v>
      </c>
      <c r="K278" s="329" t="s">
        <v>80</v>
      </c>
      <c r="L278" s="329" t="s">
        <v>226</v>
      </c>
      <c r="M278" s="329" t="s">
        <v>154</v>
      </c>
      <c r="N278" s="330" t="s">
        <v>80</v>
      </c>
      <c r="O278" s="330" t="s">
        <v>155</v>
      </c>
      <c r="P278" s="177" t="s">
        <v>80</v>
      </c>
      <c r="Q278" s="177" t="s">
        <v>80</v>
      </c>
      <c r="R278" s="319">
        <f>0</f>
        <v>0</v>
      </c>
      <c r="S278" s="320">
        <v>0</v>
      </c>
      <c r="T278" s="320">
        <v>0</v>
      </c>
      <c r="U278" s="320">
        <v>0</v>
      </c>
      <c r="V278" s="320">
        <v>0</v>
      </c>
      <c r="W278" s="320">
        <v>0</v>
      </c>
      <c r="X278" s="320">
        <v>0</v>
      </c>
      <c r="Y278" s="320">
        <v>0</v>
      </c>
      <c r="Z278" s="229">
        <v>1</v>
      </c>
      <c r="AA278" s="321">
        <v>0</v>
      </c>
      <c r="AB278" s="322">
        <v>0</v>
      </c>
      <c r="AC278" s="320">
        <v>0</v>
      </c>
      <c r="AD278" s="320">
        <v>0</v>
      </c>
      <c r="AE278" s="320">
        <v>0</v>
      </c>
      <c r="AF278" s="320">
        <v>0</v>
      </c>
      <c r="AG278" s="320">
        <v>0</v>
      </c>
      <c r="AH278" s="320">
        <v>0</v>
      </c>
      <c r="AI278" s="320">
        <v>0</v>
      </c>
      <c r="AJ278" s="320">
        <v>0</v>
      </c>
      <c r="AK278" s="321">
        <v>0</v>
      </c>
      <c r="AL278" s="332">
        <f t="shared" si="16"/>
        <v>1</v>
      </c>
      <c r="AM278" s="333">
        <f>0</f>
        <v>0</v>
      </c>
      <c r="AN278" s="334">
        <f t="shared" si="17"/>
        <v>1</v>
      </c>
      <c r="AO278" s="247">
        <v>45090</v>
      </c>
      <c r="AP278" s="186" t="s">
        <v>273</v>
      </c>
      <c r="AQ278" s="187" t="s">
        <v>1288</v>
      </c>
      <c r="AR278" s="187" t="s">
        <v>148</v>
      </c>
      <c r="AS278" s="188"/>
      <c r="AT278" s="188"/>
      <c r="AU278" s="189"/>
      <c r="AV278" s="189"/>
      <c r="AW278" s="189"/>
      <c r="AX278" s="190"/>
      <c r="AY278" s="191"/>
      <c r="AZ278" s="192"/>
    </row>
    <row r="279" spans="1:52" ht="28" hidden="1" customHeight="1">
      <c r="A279" s="219">
        <v>274</v>
      </c>
      <c r="B279" s="182">
        <v>45084</v>
      </c>
      <c r="C279" s="328" t="s">
        <v>134</v>
      </c>
      <c r="D279" s="328" t="s">
        <v>135</v>
      </c>
      <c r="E279" s="328" t="s">
        <v>136</v>
      </c>
      <c r="F279" s="329" t="s">
        <v>1184</v>
      </c>
      <c r="G279" s="329" t="s">
        <v>943</v>
      </c>
      <c r="H279" s="329" t="s">
        <v>287</v>
      </c>
      <c r="I279" s="330" t="s">
        <v>1200</v>
      </c>
      <c r="J279" s="331" t="s">
        <v>944</v>
      </c>
      <c r="K279" s="329" t="s">
        <v>80</v>
      </c>
      <c r="L279" s="329" t="s">
        <v>226</v>
      </c>
      <c r="M279" s="329" t="s">
        <v>154</v>
      </c>
      <c r="N279" s="330" t="s">
        <v>80</v>
      </c>
      <c r="O279" s="330" t="s">
        <v>155</v>
      </c>
      <c r="P279" s="177" t="s">
        <v>80</v>
      </c>
      <c r="Q279" s="177" t="s">
        <v>80</v>
      </c>
      <c r="R279" s="319">
        <f>0</f>
        <v>0</v>
      </c>
      <c r="S279" s="320">
        <v>0</v>
      </c>
      <c r="T279" s="320">
        <v>0</v>
      </c>
      <c r="U279" s="320">
        <v>0</v>
      </c>
      <c r="V279" s="320">
        <v>0</v>
      </c>
      <c r="W279" s="320">
        <v>0</v>
      </c>
      <c r="X279" s="320">
        <v>0</v>
      </c>
      <c r="Y279" s="320">
        <v>0</v>
      </c>
      <c r="Z279" s="229">
        <v>1</v>
      </c>
      <c r="AA279" s="321">
        <v>0</v>
      </c>
      <c r="AB279" s="322">
        <v>0</v>
      </c>
      <c r="AC279" s="320">
        <v>0</v>
      </c>
      <c r="AD279" s="320">
        <v>0</v>
      </c>
      <c r="AE279" s="320">
        <v>0</v>
      </c>
      <c r="AF279" s="320">
        <v>0</v>
      </c>
      <c r="AG279" s="320">
        <v>0</v>
      </c>
      <c r="AH279" s="320">
        <v>0</v>
      </c>
      <c r="AI279" s="320">
        <v>0</v>
      </c>
      <c r="AJ279" s="320">
        <v>0</v>
      </c>
      <c r="AK279" s="321">
        <v>0</v>
      </c>
      <c r="AL279" s="332">
        <f t="shared" si="16"/>
        <v>1</v>
      </c>
      <c r="AM279" s="333">
        <f>0</f>
        <v>0</v>
      </c>
      <c r="AN279" s="334">
        <f t="shared" si="17"/>
        <v>1</v>
      </c>
      <c r="AO279" s="247">
        <v>45090</v>
      </c>
      <c r="AP279" s="186" t="s">
        <v>273</v>
      </c>
      <c r="AQ279" s="187" t="s">
        <v>1288</v>
      </c>
      <c r="AR279" s="187" t="s">
        <v>148</v>
      </c>
      <c r="AS279" s="188"/>
      <c r="AT279" s="188"/>
      <c r="AU279" s="189"/>
      <c r="AV279" s="189"/>
      <c r="AW279" s="189"/>
      <c r="AX279" s="190"/>
      <c r="AY279" s="191"/>
      <c r="AZ279" s="192"/>
    </row>
    <row r="280" spans="1:52" ht="28" hidden="1" customHeight="1">
      <c r="A280" s="219">
        <v>275</v>
      </c>
      <c r="B280" s="182">
        <v>45084</v>
      </c>
      <c r="C280" s="328" t="s">
        <v>134</v>
      </c>
      <c r="D280" s="328" t="s">
        <v>135</v>
      </c>
      <c r="E280" s="328" t="s">
        <v>136</v>
      </c>
      <c r="F280" s="329" t="s">
        <v>1184</v>
      </c>
      <c r="G280" s="329" t="s">
        <v>945</v>
      </c>
      <c r="H280" s="329" t="s">
        <v>283</v>
      </c>
      <c r="I280" s="330" t="s">
        <v>946</v>
      </c>
      <c r="J280" s="331" t="s">
        <v>947</v>
      </c>
      <c r="K280" s="329" t="s">
        <v>80</v>
      </c>
      <c r="L280" s="329" t="s">
        <v>226</v>
      </c>
      <c r="M280" s="329" t="s">
        <v>154</v>
      </c>
      <c r="N280" s="330" t="s">
        <v>80</v>
      </c>
      <c r="O280" s="330" t="s">
        <v>155</v>
      </c>
      <c r="P280" s="177" t="s">
        <v>80</v>
      </c>
      <c r="Q280" s="177" t="s">
        <v>80</v>
      </c>
      <c r="R280" s="319">
        <f>0</f>
        <v>0</v>
      </c>
      <c r="S280" s="320">
        <v>0</v>
      </c>
      <c r="T280" s="320">
        <v>0</v>
      </c>
      <c r="U280" s="320">
        <v>0</v>
      </c>
      <c r="V280" s="320">
        <v>0</v>
      </c>
      <c r="W280" s="320">
        <v>0</v>
      </c>
      <c r="X280" s="320">
        <v>0</v>
      </c>
      <c r="Y280" s="320">
        <v>0</v>
      </c>
      <c r="Z280" s="229">
        <v>1</v>
      </c>
      <c r="AA280" s="321">
        <v>0</v>
      </c>
      <c r="AB280" s="322">
        <v>0</v>
      </c>
      <c r="AC280" s="320">
        <v>0</v>
      </c>
      <c r="AD280" s="320">
        <v>0</v>
      </c>
      <c r="AE280" s="320">
        <v>0</v>
      </c>
      <c r="AF280" s="320">
        <v>0</v>
      </c>
      <c r="AG280" s="320">
        <v>0</v>
      </c>
      <c r="AH280" s="320">
        <v>0</v>
      </c>
      <c r="AI280" s="320">
        <v>0</v>
      </c>
      <c r="AJ280" s="320">
        <v>0</v>
      </c>
      <c r="AK280" s="321">
        <v>0</v>
      </c>
      <c r="AL280" s="332">
        <f t="shared" si="16"/>
        <v>1</v>
      </c>
      <c r="AM280" s="333">
        <f>0</f>
        <v>0</v>
      </c>
      <c r="AN280" s="334">
        <f t="shared" si="17"/>
        <v>1</v>
      </c>
      <c r="AO280" s="247">
        <v>45090</v>
      </c>
      <c r="AP280" s="186" t="s">
        <v>273</v>
      </c>
      <c r="AQ280" s="187" t="s">
        <v>1288</v>
      </c>
      <c r="AR280" s="187" t="s">
        <v>148</v>
      </c>
      <c r="AS280" s="188"/>
      <c r="AT280" s="188"/>
      <c r="AU280" s="189"/>
      <c r="AV280" s="189"/>
      <c r="AW280" s="189"/>
      <c r="AX280" s="190"/>
      <c r="AY280" s="191"/>
      <c r="AZ280" s="192"/>
    </row>
    <row r="281" spans="1:52" ht="28" hidden="1" customHeight="1">
      <c r="A281" s="219">
        <v>276</v>
      </c>
      <c r="B281" s="182">
        <v>45084</v>
      </c>
      <c r="C281" s="328" t="s">
        <v>134</v>
      </c>
      <c r="D281" s="328" t="s">
        <v>135</v>
      </c>
      <c r="E281" s="328" t="s">
        <v>136</v>
      </c>
      <c r="F281" s="329" t="s">
        <v>1184</v>
      </c>
      <c r="G281" s="329" t="s">
        <v>948</v>
      </c>
      <c r="H281" s="329" t="s">
        <v>110</v>
      </c>
      <c r="I281" s="330" t="s">
        <v>949</v>
      </c>
      <c r="J281" s="331" t="s">
        <v>950</v>
      </c>
      <c r="K281" s="329" t="s">
        <v>80</v>
      </c>
      <c r="L281" s="329" t="s">
        <v>153</v>
      </c>
      <c r="M281" s="329" t="s">
        <v>154</v>
      </c>
      <c r="N281" s="330" t="s">
        <v>80</v>
      </c>
      <c r="O281" s="330" t="s">
        <v>1217</v>
      </c>
      <c r="P281" s="177" t="s">
        <v>80</v>
      </c>
      <c r="Q281" s="177" t="s">
        <v>80</v>
      </c>
      <c r="R281" s="319">
        <f>0</f>
        <v>0</v>
      </c>
      <c r="S281" s="320">
        <v>0</v>
      </c>
      <c r="T281" s="320">
        <v>0</v>
      </c>
      <c r="U281" s="320">
        <v>0</v>
      </c>
      <c r="V281" s="320">
        <v>0</v>
      </c>
      <c r="W281" s="320">
        <v>0</v>
      </c>
      <c r="X281" s="320">
        <v>0</v>
      </c>
      <c r="Y281" s="320">
        <v>0</v>
      </c>
      <c r="Z281" s="229">
        <v>1</v>
      </c>
      <c r="AA281" s="321">
        <v>0</v>
      </c>
      <c r="AB281" s="322">
        <v>0</v>
      </c>
      <c r="AC281" s="320">
        <v>0</v>
      </c>
      <c r="AD281" s="320">
        <v>0</v>
      </c>
      <c r="AE281" s="320">
        <v>0</v>
      </c>
      <c r="AF281" s="320">
        <v>0</v>
      </c>
      <c r="AG281" s="320">
        <v>0</v>
      </c>
      <c r="AH281" s="320">
        <v>0</v>
      </c>
      <c r="AI281" s="320">
        <v>0</v>
      </c>
      <c r="AJ281" s="320">
        <v>0</v>
      </c>
      <c r="AK281" s="321">
        <v>0</v>
      </c>
      <c r="AL281" s="332">
        <f t="shared" si="16"/>
        <v>1</v>
      </c>
      <c r="AM281" s="333">
        <f>0</f>
        <v>0</v>
      </c>
      <c r="AN281" s="334">
        <f t="shared" si="17"/>
        <v>1</v>
      </c>
      <c r="AO281" s="247">
        <v>45090</v>
      </c>
      <c r="AP281" s="186" t="s">
        <v>273</v>
      </c>
      <c r="AQ281" s="187" t="s">
        <v>1288</v>
      </c>
      <c r="AR281" s="187" t="s">
        <v>148</v>
      </c>
      <c r="AS281" s="188"/>
      <c r="AT281" s="188"/>
      <c r="AU281" s="189"/>
      <c r="AV281" s="189"/>
      <c r="AW281" s="189"/>
      <c r="AX281" s="190"/>
      <c r="AY281" s="191"/>
      <c r="AZ281" s="192"/>
    </row>
    <row r="282" spans="1:52" ht="28" hidden="1" customHeight="1">
      <c r="A282" s="219">
        <v>277</v>
      </c>
      <c r="B282" s="182">
        <v>45084</v>
      </c>
      <c r="C282" s="328" t="s">
        <v>134</v>
      </c>
      <c r="D282" s="328" t="s">
        <v>135</v>
      </c>
      <c r="E282" s="328" t="s">
        <v>136</v>
      </c>
      <c r="F282" s="329" t="s">
        <v>1184</v>
      </c>
      <c r="G282" s="329" t="s">
        <v>951</v>
      </c>
      <c r="H282" s="329" t="s">
        <v>110</v>
      </c>
      <c r="I282" s="330" t="s">
        <v>239</v>
      </c>
      <c r="J282" s="331" t="s">
        <v>952</v>
      </c>
      <c r="K282" s="329" t="s">
        <v>80</v>
      </c>
      <c r="L282" s="329" t="s">
        <v>153</v>
      </c>
      <c r="M282" s="329" t="s">
        <v>154</v>
      </c>
      <c r="N282" s="330" t="s">
        <v>80</v>
      </c>
      <c r="O282" s="330" t="s">
        <v>1217</v>
      </c>
      <c r="P282" s="177" t="s">
        <v>80</v>
      </c>
      <c r="Q282" s="177" t="s">
        <v>80</v>
      </c>
      <c r="R282" s="319">
        <f>0</f>
        <v>0</v>
      </c>
      <c r="S282" s="320">
        <v>0</v>
      </c>
      <c r="T282" s="320">
        <v>0</v>
      </c>
      <c r="U282" s="320">
        <v>0</v>
      </c>
      <c r="V282" s="320">
        <v>0</v>
      </c>
      <c r="W282" s="320">
        <v>0</v>
      </c>
      <c r="X282" s="320">
        <v>0</v>
      </c>
      <c r="Y282" s="320">
        <v>0</v>
      </c>
      <c r="Z282" s="229">
        <v>1</v>
      </c>
      <c r="AA282" s="321">
        <v>0</v>
      </c>
      <c r="AB282" s="322">
        <v>0</v>
      </c>
      <c r="AC282" s="320">
        <v>0</v>
      </c>
      <c r="AD282" s="320">
        <v>0</v>
      </c>
      <c r="AE282" s="320">
        <v>0</v>
      </c>
      <c r="AF282" s="320">
        <v>0</v>
      </c>
      <c r="AG282" s="320">
        <v>0</v>
      </c>
      <c r="AH282" s="320">
        <v>0</v>
      </c>
      <c r="AI282" s="320">
        <v>0</v>
      </c>
      <c r="AJ282" s="320">
        <v>0</v>
      </c>
      <c r="AK282" s="321">
        <v>0</v>
      </c>
      <c r="AL282" s="332">
        <f t="shared" si="16"/>
        <v>1</v>
      </c>
      <c r="AM282" s="333">
        <f>0</f>
        <v>0</v>
      </c>
      <c r="AN282" s="334">
        <f t="shared" si="17"/>
        <v>1</v>
      </c>
      <c r="AO282" s="247">
        <v>45090</v>
      </c>
      <c r="AP282" s="186" t="s">
        <v>273</v>
      </c>
      <c r="AQ282" s="187" t="s">
        <v>1288</v>
      </c>
      <c r="AR282" s="187" t="s">
        <v>148</v>
      </c>
      <c r="AS282" s="188"/>
      <c r="AT282" s="188"/>
      <c r="AU282" s="189"/>
      <c r="AV282" s="189"/>
      <c r="AW282" s="189"/>
      <c r="AX282" s="190"/>
      <c r="AY282" s="191"/>
      <c r="AZ282" s="192"/>
    </row>
    <row r="283" spans="1:52" ht="28" hidden="1" customHeight="1">
      <c r="A283" s="219">
        <v>278</v>
      </c>
      <c r="B283" s="182">
        <v>45084</v>
      </c>
      <c r="C283" s="328" t="s">
        <v>134</v>
      </c>
      <c r="D283" s="328" t="s">
        <v>135</v>
      </c>
      <c r="E283" s="328" t="s">
        <v>136</v>
      </c>
      <c r="F283" s="329" t="s">
        <v>1184</v>
      </c>
      <c r="G283" s="329" t="s">
        <v>953</v>
      </c>
      <c r="H283" s="329" t="s">
        <v>110</v>
      </c>
      <c r="I283" s="330" t="s">
        <v>954</v>
      </c>
      <c r="J283" s="331" t="s">
        <v>955</v>
      </c>
      <c r="K283" s="329" t="s">
        <v>80</v>
      </c>
      <c r="L283" s="329" t="s">
        <v>153</v>
      </c>
      <c r="M283" s="329" t="s">
        <v>154</v>
      </c>
      <c r="N283" s="330" t="s">
        <v>80</v>
      </c>
      <c r="O283" s="330" t="s">
        <v>155</v>
      </c>
      <c r="P283" s="177" t="s">
        <v>80</v>
      </c>
      <c r="Q283" s="177" t="s">
        <v>80</v>
      </c>
      <c r="R283" s="319">
        <f>0</f>
        <v>0</v>
      </c>
      <c r="S283" s="320">
        <v>0</v>
      </c>
      <c r="T283" s="320">
        <v>0</v>
      </c>
      <c r="U283" s="320">
        <v>0</v>
      </c>
      <c r="V283" s="320">
        <v>0</v>
      </c>
      <c r="W283" s="320">
        <v>0</v>
      </c>
      <c r="X283" s="320">
        <v>0</v>
      </c>
      <c r="Y283" s="320">
        <v>0</v>
      </c>
      <c r="Z283" s="229">
        <v>2</v>
      </c>
      <c r="AA283" s="321">
        <v>0</v>
      </c>
      <c r="AB283" s="322">
        <v>0</v>
      </c>
      <c r="AC283" s="320">
        <v>0</v>
      </c>
      <c r="AD283" s="320">
        <v>0</v>
      </c>
      <c r="AE283" s="320">
        <v>0</v>
      </c>
      <c r="AF283" s="320">
        <v>0</v>
      </c>
      <c r="AG283" s="320">
        <v>0</v>
      </c>
      <c r="AH283" s="320">
        <v>0</v>
      </c>
      <c r="AI283" s="320">
        <v>0</v>
      </c>
      <c r="AJ283" s="320">
        <v>0</v>
      </c>
      <c r="AK283" s="321">
        <v>0</v>
      </c>
      <c r="AL283" s="332">
        <f t="shared" si="16"/>
        <v>2</v>
      </c>
      <c r="AM283" s="333">
        <f>0</f>
        <v>0</v>
      </c>
      <c r="AN283" s="334">
        <f t="shared" si="17"/>
        <v>2</v>
      </c>
      <c r="AO283" s="247">
        <v>45090</v>
      </c>
      <c r="AP283" s="186" t="s">
        <v>273</v>
      </c>
      <c r="AQ283" s="187" t="s">
        <v>1288</v>
      </c>
      <c r="AR283" s="187" t="s">
        <v>148</v>
      </c>
      <c r="AS283" s="188"/>
      <c r="AT283" s="188"/>
      <c r="AU283" s="189"/>
      <c r="AV283" s="189"/>
      <c r="AW283" s="189"/>
      <c r="AX283" s="190"/>
      <c r="AY283" s="191"/>
      <c r="AZ283" s="192"/>
    </row>
    <row r="284" spans="1:52" ht="28" hidden="1" customHeight="1">
      <c r="A284" s="219">
        <v>279</v>
      </c>
      <c r="B284" s="182">
        <v>45084</v>
      </c>
      <c r="C284" s="328" t="s">
        <v>134</v>
      </c>
      <c r="D284" s="328" t="s">
        <v>135</v>
      </c>
      <c r="E284" s="328" t="s">
        <v>136</v>
      </c>
      <c r="F284" s="329" t="s">
        <v>1184</v>
      </c>
      <c r="G284" s="329" t="s">
        <v>956</v>
      </c>
      <c r="H284" s="329" t="s">
        <v>287</v>
      </c>
      <c r="I284" s="330" t="s">
        <v>497</v>
      </c>
      <c r="J284" s="331" t="s">
        <v>957</v>
      </c>
      <c r="K284" s="329"/>
      <c r="L284" s="329" t="s">
        <v>153</v>
      </c>
      <c r="M284" s="329" t="s">
        <v>154</v>
      </c>
      <c r="N284" s="330" t="s">
        <v>80</v>
      </c>
      <c r="O284" s="330" t="s">
        <v>155</v>
      </c>
      <c r="P284" s="177" t="s">
        <v>80</v>
      </c>
      <c r="Q284" s="177" t="s">
        <v>80</v>
      </c>
      <c r="R284" s="319">
        <f>0</f>
        <v>0</v>
      </c>
      <c r="S284" s="320">
        <v>0</v>
      </c>
      <c r="T284" s="320">
        <v>0</v>
      </c>
      <c r="U284" s="320">
        <v>0</v>
      </c>
      <c r="V284" s="320">
        <v>0</v>
      </c>
      <c r="W284" s="320">
        <v>0</v>
      </c>
      <c r="X284" s="320">
        <v>0</v>
      </c>
      <c r="Y284" s="320">
        <v>0</v>
      </c>
      <c r="Z284" s="229">
        <v>1</v>
      </c>
      <c r="AA284" s="321">
        <v>0</v>
      </c>
      <c r="AB284" s="322">
        <v>0</v>
      </c>
      <c r="AC284" s="320">
        <v>0</v>
      </c>
      <c r="AD284" s="320">
        <v>0</v>
      </c>
      <c r="AE284" s="320">
        <v>0</v>
      </c>
      <c r="AF284" s="320">
        <v>0</v>
      </c>
      <c r="AG284" s="320">
        <v>0</v>
      </c>
      <c r="AH284" s="320">
        <v>0</v>
      </c>
      <c r="AI284" s="320">
        <v>0</v>
      </c>
      <c r="AJ284" s="320">
        <v>0</v>
      </c>
      <c r="AK284" s="321">
        <v>0</v>
      </c>
      <c r="AL284" s="332">
        <f t="shared" si="16"/>
        <v>1</v>
      </c>
      <c r="AM284" s="333">
        <f>0</f>
        <v>0</v>
      </c>
      <c r="AN284" s="334">
        <f t="shared" si="17"/>
        <v>1</v>
      </c>
      <c r="AO284" s="247">
        <v>45090</v>
      </c>
      <c r="AP284" s="186" t="s">
        <v>273</v>
      </c>
      <c r="AQ284" s="187" t="s">
        <v>1288</v>
      </c>
      <c r="AR284" s="187" t="s">
        <v>148</v>
      </c>
      <c r="AS284" s="188"/>
      <c r="AT284" s="188"/>
      <c r="AU284" s="189"/>
      <c r="AV284" s="189"/>
      <c r="AW284" s="189"/>
      <c r="AX284" s="190"/>
      <c r="AY284" s="191"/>
      <c r="AZ284" s="192"/>
    </row>
    <row r="285" spans="1:52" ht="28" hidden="1" customHeight="1">
      <c r="A285" s="219">
        <v>280</v>
      </c>
      <c r="B285" s="182">
        <v>45084</v>
      </c>
      <c r="C285" s="328" t="s">
        <v>134</v>
      </c>
      <c r="D285" s="328" t="s">
        <v>135</v>
      </c>
      <c r="E285" s="328" t="s">
        <v>136</v>
      </c>
      <c r="F285" s="329" t="s">
        <v>1184</v>
      </c>
      <c r="G285" s="329" t="s">
        <v>958</v>
      </c>
      <c r="H285" s="329" t="s">
        <v>110</v>
      </c>
      <c r="I285" s="330" t="s">
        <v>954</v>
      </c>
      <c r="J285" s="331" t="s">
        <v>959</v>
      </c>
      <c r="K285" s="329" t="s">
        <v>80</v>
      </c>
      <c r="L285" s="329" t="s">
        <v>153</v>
      </c>
      <c r="M285" s="329" t="s">
        <v>154</v>
      </c>
      <c r="N285" s="330" t="s">
        <v>80</v>
      </c>
      <c r="O285" s="330" t="s">
        <v>155</v>
      </c>
      <c r="P285" s="177" t="s">
        <v>80</v>
      </c>
      <c r="Q285" s="177" t="s">
        <v>80</v>
      </c>
      <c r="R285" s="319">
        <f>0</f>
        <v>0</v>
      </c>
      <c r="S285" s="320">
        <v>0</v>
      </c>
      <c r="T285" s="320">
        <v>0</v>
      </c>
      <c r="U285" s="320">
        <v>0</v>
      </c>
      <c r="V285" s="320">
        <v>0</v>
      </c>
      <c r="W285" s="320">
        <v>0</v>
      </c>
      <c r="X285" s="320">
        <v>0</v>
      </c>
      <c r="Y285" s="320">
        <v>0</v>
      </c>
      <c r="Z285" s="229">
        <v>1</v>
      </c>
      <c r="AA285" s="321">
        <v>0</v>
      </c>
      <c r="AB285" s="322">
        <v>0</v>
      </c>
      <c r="AC285" s="320">
        <v>0</v>
      </c>
      <c r="AD285" s="320">
        <v>0</v>
      </c>
      <c r="AE285" s="320">
        <v>0</v>
      </c>
      <c r="AF285" s="320">
        <v>0</v>
      </c>
      <c r="AG285" s="320">
        <v>0</v>
      </c>
      <c r="AH285" s="320">
        <v>0</v>
      </c>
      <c r="AI285" s="320">
        <v>0</v>
      </c>
      <c r="AJ285" s="320">
        <v>0</v>
      </c>
      <c r="AK285" s="321">
        <v>0</v>
      </c>
      <c r="AL285" s="332">
        <f t="shared" si="16"/>
        <v>1</v>
      </c>
      <c r="AM285" s="333">
        <f>0</f>
        <v>0</v>
      </c>
      <c r="AN285" s="334">
        <f t="shared" si="17"/>
        <v>1</v>
      </c>
      <c r="AO285" s="247">
        <v>45090</v>
      </c>
      <c r="AP285" s="186" t="s">
        <v>273</v>
      </c>
      <c r="AQ285" s="187" t="s">
        <v>1288</v>
      </c>
      <c r="AR285" s="187" t="s">
        <v>148</v>
      </c>
      <c r="AS285" s="188"/>
      <c r="AT285" s="188"/>
      <c r="AU285" s="189"/>
      <c r="AV285" s="189"/>
      <c r="AW285" s="189"/>
      <c r="AX285" s="190"/>
      <c r="AY285" s="191"/>
      <c r="AZ285" s="192"/>
    </row>
    <row r="286" spans="1:52" ht="28" hidden="1" customHeight="1">
      <c r="A286" s="219">
        <v>281</v>
      </c>
      <c r="B286" s="182">
        <v>45084</v>
      </c>
      <c r="C286" s="328" t="s">
        <v>134</v>
      </c>
      <c r="D286" s="328" t="s">
        <v>135</v>
      </c>
      <c r="E286" s="328" t="s">
        <v>136</v>
      </c>
      <c r="F286" s="329" t="s">
        <v>1184</v>
      </c>
      <c r="G286" s="329" t="s">
        <v>960</v>
      </c>
      <c r="H286" s="329" t="s">
        <v>110</v>
      </c>
      <c r="I286" s="330" t="s">
        <v>163</v>
      </c>
      <c r="J286" s="331" t="s">
        <v>961</v>
      </c>
      <c r="K286" s="329" t="s">
        <v>80</v>
      </c>
      <c r="L286" s="329" t="s">
        <v>153</v>
      </c>
      <c r="M286" s="329" t="s">
        <v>154</v>
      </c>
      <c r="N286" s="330" t="s">
        <v>80</v>
      </c>
      <c r="O286" s="330" t="s">
        <v>155</v>
      </c>
      <c r="P286" s="177" t="s">
        <v>80</v>
      </c>
      <c r="Q286" s="177" t="s">
        <v>80</v>
      </c>
      <c r="R286" s="319">
        <f>0</f>
        <v>0</v>
      </c>
      <c r="S286" s="320">
        <v>0</v>
      </c>
      <c r="T286" s="320">
        <v>0</v>
      </c>
      <c r="U286" s="320">
        <v>0</v>
      </c>
      <c r="V286" s="320">
        <v>0</v>
      </c>
      <c r="W286" s="320">
        <v>0</v>
      </c>
      <c r="X286" s="320">
        <v>0</v>
      </c>
      <c r="Y286" s="320">
        <v>0</v>
      </c>
      <c r="Z286" s="229">
        <v>1</v>
      </c>
      <c r="AA286" s="321">
        <v>0</v>
      </c>
      <c r="AB286" s="322">
        <v>0</v>
      </c>
      <c r="AC286" s="320">
        <v>0</v>
      </c>
      <c r="AD286" s="320">
        <v>0</v>
      </c>
      <c r="AE286" s="320">
        <v>0</v>
      </c>
      <c r="AF286" s="320">
        <v>0</v>
      </c>
      <c r="AG286" s="320">
        <v>0</v>
      </c>
      <c r="AH286" s="320">
        <v>0</v>
      </c>
      <c r="AI286" s="320">
        <v>0</v>
      </c>
      <c r="AJ286" s="320">
        <v>0</v>
      </c>
      <c r="AK286" s="321">
        <v>0</v>
      </c>
      <c r="AL286" s="332">
        <f t="shared" si="16"/>
        <v>1</v>
      </c>
      <c r="AM286" s="333">
        <f>0</f>
        <v>0</v>
      </c>
      <c r="AN286" s="334">
        <f t="shared" si="17"/>
        <v>1</v>
      </c>
      <c r="AO286" s="247">
        <v>45090</v>
      </c>
      <c r="AP286" s="186" t="s">
        <v>273</v>
      </c>
      <c r="AQ286" s="187" t="s">
        <v>1288</v>
      </c>
      <c r="AR286" s="187" t="s">
        <v>148</v>
      </c>
      <c r="AS286" s="188"/>
      <c r="AT286" s="188"/>
      <c r="AU286" s="189"/>
      <c r="AV286" s="189"/>
      <c r="AW286" s="189"/>
      <c r="AX286" s="190"/>
      <c r="AY286" s="191"/>
      <c r="AZ286" s="192"/>
    </row>
    <row r="287" spans="1:52" ht="28" hidden="1" customHeight="1">
      <c r="A287" s="219">
        <v>282</v>
      </c>
      <c r="B287" s="182">
        <v>45084</v>
      </c>
      <c r="C287" s="328" t="s">
        <v>134</v>
      </c>
      <c r="D287" s="328" t="s">
        <v>135</v>
      </c>
      <c r="E287" s="328" t="s">
        <v>136</v>
      </c>
      <c r="F287" s="329" t="s">
        <v>1184</v>
      </c>
      <c r="G287" s="329" t="s">
        <v>962</v>
      </c>
      <c r="H287" s="329" t="s">
        <v>110</v>
      </c>
      <c r="I287" s="330" t="s">
        <v>954</v>
      </c>
      <c r="J287" s="331" t="s">
        <v>963</v>
      </c>
      <c r="K287" s="329" t="s">
        <v>80</v>
      </c>
      <c r="L287" s="329" t="s">
        <v>153</v>
      </c>
      <c r="M287" s="329" t="s">
        <v>154</v>
      </c>
      <c r="N287" s="330" t="s">
        <v>80</v>
      </c>
      <c r="O287" s="330" t="s">
        <v>1217</v>
      </c>
      <c r="P287" s="177" t="s">
        <v>80</v>
      </c>
      <c r="Q287" s="177" t="s">
        <v>80</v>
      </c>
      <c r="R287" s="319">
        <f>0</f>
        <v>0</v>
      </c>
      <c r="S287" s="320">
        <v>0</v>
      </c>
      <c r="T287" s="320">
        <v>0</v>
      </c>
      <c r="U287" s="320">
        <v>0</v>
      </c>
      <c r="V287" s="320">
        <v>0</v>
      </c>
      <c r="W287" s="320">
        <v>0</v>
      </c>
      <c r="X287" s="320">
        <v>0</v>
      </c>
      <c r="Y287" s="320">
        <v>0</v>
      </c>
      <c r="Z287" s="229">
        <v>1</v>
      </c>
      <c r="AA287" s="321">
        <v>0</v>
      </c>
      <c r="AB287" s="322">
        <v>0</v>
      </c>
      <c r="AC287" s="320">
        <v>0</v>
      </c>
      <c r="AD287" s="320">
        <v>0</v>
      </c>
      <c r="AE287" s="320">
        <v>0</v>
      </c>
      <c r="AF287" s="320">
        <v>0</v>
      </c>
      <c r="AG287" s="320">
        <v>0</v>
      </c>
      <c r="AH287" s="320">
        <v>0</v>
      </c>
      <c r="AI287" s="320">
        <v>0</v>
      </c>
      <c r="AJ287" s="320">
        <v>0</v>
      </c>
      <c r="AK287" s="321">
        <v>0</v>
      </c>
      <c r="AL287" s="332">
        <f t="shared" si="16"/>
        <v>1</v>
      </c>
      <c r="AM287" s="333">
        <f>0</f>
        <v>0</v>
      </c>
      <c r="AN287" s="334">
        <f t="shared" si="17"/>
        <v>1</v>
      </c>
      <c r="AO287" s="247">
        <v>45090</v>
      </c>
      <c r="AP287" s="186" t="s">
        <v>273</v>
      </c>
      <c r="AQ287" s="187" t="s">
        <v>1288</v>
      </c>
      <c r="AR287" s="187" t="s">
        <v>148</v>
      </c>
      <c r="AS287" s="188"/>
      <c r="AT287" s="188"/>
      <c r="AU287" s="189"/>
      <c r="AV287" s="189"/>
      <c r="AW287" s="189"/>
      <c r="AX287" s="190"/>
      <c r="AY287" s="191"/>
      <c r="AZ287" s="192"/>
    </row>
    <row r="288" spans="1:52" ht="28" hidden="1" customHeight="1">
      <c r="A288" s="219">
        <v>283</v>
      </c>
      <c r="B288" s="182">
        <v>45084</v>
      </c>
      <c r="C288" s="328" t="s">
        <v>134</v>
      </c>
      <c r="D288" s="328" t="s">
        <v>135</v>
      </c>
      <c r="E288" s="328" t="s">
        <v>136</v>
      </c>
      <c r="F288" s="329" t="s">
        <v>1184</v>
      </c>
      <c r="G288" s="329" t="s">
        <v>964</v>
      </c>
      <c r="H288" s="329" t="s">
        <v>110</v>
      </c>
      <c r="I288" s="330" t="s">
        <v>965</v>
      </c>
      <c r="J288" s="331" t="s">
        <v>966</v>
      </c>
      <c r="K288" s="329" t="s">
        <v>80</v>
      </c>
      <c r="L288" s="329" t="s">
        <v>153</v>
      </c>
      <c r="M288" s="329" t="s">
        <v>154</v>
      </c>
      <c r="N288" s="330" t="s">
        <v>80</v>
      </c>
      <c r="O288" s="330" t="s">
        <v>1217</v>
      </c>
      <c r="P288" s="177" t="s">
        <v>80</v>
      </c>
      <c r="Q288" s="177" t="s">
        <v>80</v>
      </c>
      <c r="R288" s="319">
        <f>0</f>
        <v>0</v>
      </c>
      <c r="S288" s="320">
        <v>0</v>
      </c>
      <c r="T288" s="320">
        <v>0</v>
      </c>
      <c r="U288" s="320">
        <v>0</v>
      </c>
      <c r="V288" s="320">
        <v>0</v>
      </c>
      <c r="W288" s="320">
        <v>0</v>
      </c>
      <c r="X288" s="320">
        <v>0</v>
      </c>
      <c r="Y288" s="320">
        <v>0</v>
      </c>
      <c r="Z288" s="229">
        <v>1</v>
      </c>
      <c r="AA288" s="321">
        <v>0</v>
      </c>
      <c r="AB288" s="322">
        <v>0</v>
      </c>
      <c r="AC288" s="320">
        <v>0</v>
      </c>
      <c r="AD288" s="320">
        <v>0</v>
      </c>
      <c r="AE288" s="320">
        <v>0</v>
      </c>
      <c r="AF288" s="320">
        <v>0</v>
      </c>
      <c r="AG288" s="320">
        <v>0</v>
      </c>
      <c r="AH288" s="320">
        <v>0</v>
      </c>
      <c r="AI288" s="320">
        <v>0</v>
      </c>
      <c r="AJ288" s="320">
        <v>0</v>
      </c>
      <c r="AK288" s="321">
        <v>0</v>
      </c>
      <c r="AL288" s="332">
        <f t="shared" si="16"/>
        <v>1</v>
      </c>
      <c r="AM288" s="333">
        <f>0</f>
        <v>0</v>
      </c>
      <c r="AN288" s="334">
        <f t="shared" si="17"/>
        <v>1</v>
      </c>
      <c r="AO288" s="247">
        <v>45090</v>
      </c>
      <c r="AP288" s="186" t="s">
        <v>273</v>
      </c>
      <c r="AQ288" s="187" t="s">
        <v>1288</v>
      </c>
      <c r="AR288" s="187" t="s">
        <v>148</v>
      </c>
      <c r="AS288" s="188"/>
      <c r="AT288" s="188"/>
      <c r="AU288" s="189"/>
      <c r="AV288" s="189"/>
      <c r="AW288" s="189"/>
      <c r="AX288" s="190"/>
      <c r="AY288" s="191"/>
      <c r="AZ288" s="192"/>
    </row>
    <row r="289" spans="1:52" ht="28" hidden="1" customHeight="1">
      <c r="A289" s="219">
        <v>284</v>
      </c>
      <c r="B289" s="182">
        <v>45084</v>
      </c>
      <c r="C289" s="328" t="s">
        <v>134</v>
      </c>
      <c r="D289" s="328" t="s">
        <v>135</v>
      </c>
      <c r="E289" s="328" t="s">
        <v>136</v>
      </c>
      <c r="F289" s="329" t="s">
        <v>1184</v>
      </c>
      <c r="G289" s="329" t="s">
        <v>967</v>
      </c>
      <c r="H289" s="329" t="s">
        <v>110</v>
      </c>
      <c r="I289" s="330" t="s">
        <v>245</v>
      </c>
      <c r="J289" s="331" t="s">
        <v>968</v>
      </c>
      <c r="K289" s="329" t="s">
        <v>80</v>
      </c>
      <c r="L289" s="329" t="s">
        <v>153</v>
      </c>
      <c r="M289" s="329" t="s">
        <v>154</v>
      </c>
      <c r="N289" s="330" t="s">
        <v>80</v>
      </c>
      <c r="O289" s="330" t="s">
        <v>155</v>
      </c>
      <c r="P289" s="177" t="s">
        <v>80</v>
      </c>
      <c r="Q289" s="177" t="s">
        <v>80</v>
      </c>
      <c r="R289" s="319">
        <f>0</f>
        <v>0</v>
      </c>
      <c r="S289" s="320">
        <v>0</v>
      </c>
      <c r="T289" s="320">
        <v>0</v>
      </c>
      <c r="U289" s="320">
        <v>0</v>
      </c>
      <c r="V289" s="320">
        <v>0</v>
      </c>
      <c r="W289" s="320">
        <v>0</v>
      </c>
      <c r="X289" s="320">
        <v>0</v>
      </c>
      <c r="Y289" s="320">
        <v>0</v>
      </c>
      <c r="Z289" s="229">
        <v>1</v>
      </c>
      <c r="AA289" s="321">
        <v>0</v>
      </c>
      <c r="AB289" s="322">
        <v>0</v>
      </c>
      <c r="AC289" s="320">
        <v>0</v>
      </c>
      <c r="AD289" s="320">
        <v>0</v>
      </c>
      <c r="AE289" s="320">
        <v>0</v>
      </c>
      <c r="AF289" s="320">
        <v>0</v>
      </c>
      <c r="AG289" s="320">
        <v>0</v>
      </c>
      <c r="AH289" s="320">
        <v>0</v>
      </c>
      <c r="AI289" s="320">
        <v>0</v>
      </c>
      <c r="AJ289" s="320">
        <v>0</v>
      </c>
      <c r="AK289" s="321">
        <v>0</v>
      </c>
      <c r="AL289" s="332">
        <f t="shared" si="16"/>
        <v>1</v>
      </c>
      <c r="AM289" s="333">
        <f>0</f>
        <v>0</v>
      </c>
      <c r="AN289" s="334">
        <f t="shared" si="17"/>
        <v>1</v>
      </c>
      <c r="AO289" s="247">
        <v>45090</v>
      </c>
      <c r="AP289" s="186" t="s">
        <v>273</v>
      </c>
      <c r="AQ289" s="187" t="s">
        <v>1288</v>
      </c>
      <c r="AR289" s="187" t="s">
        <v>148</v>
      </c>
      <c r="AS289" s="188"/>
      <c r="AT289" s="188"/>
      <c r="AU289" s="189"/>
      <c r="AV289" s="189"/>
      <c r="AW289" s="189"/>
      <c r="AX289" s="190"/>
      <c r="AY289" s="191"/>
      <c r="AZ289" s="192"/>
    </row>
    <row r="290" spans="1:52" ht="28" hidden="1" customHeight="1">
      <c r="A290" s="219">
        <v>285</v>
      </c>
      <c r="B290" s="182">
        <v>45084</v>
      </c>
      <c r="C290" s="328" t="s">
        <v>134</v>
      </c>
      <c r="D290" s="328" t="s">
        <v>135</v>
      </c>
      <c r="E290" s="328" t="s">
        <v>136</v>
      </c>
      <c r="F290" s="329" t="s">
        <v>1184</v>
      </c>
      <c r="G290" s="329" t="s">
        <v>969</v>
      </c>
      <c r="H290" s="329" t="s">
        <v>110</v>
      </c>
      <c r="I290" s="330" t="s">
        <v>230</v>
      </c>
      <c r="J290" s="331" t="s">
        <v>970</v>
      </c>
      <c r="K290" s="329" t="s">
        <v>80</v>
      </c>
      <c r="L290" s="329" t="s">
        <v>153</v>
      </c>
      <c r="M290" s="329" t="s">
        <v>154</v>
      </c>
      <c r="N290" s="330" t="s">
        <v>80</v>
      </c>
      <c r="O290" s="330" t="s">
        <v>155</v>
      </c>
      <c r="P290" s="177" t="s">
        <v>80</v>
      </c>
      <c r="Q290" s="177" t="s">
        <v>80</v>
      </c>
      <c r="R290" s="319">
        <f>0</f>
        <v>0</v>
      </c>
      <c r="S290" s="320">
        <v>0</v>
      </c>
      <c r="T290" s="320">
        <v>0</v>
      </c>
      <c r="U290" s="320">
        <v>0</v>
      </c>
      <c r="V290" s="320">
        <v>0</v>
      </c>
      <c r="W290" s="320">
        <v>0</v>
      </c>
      <c r="X290" s="320">
        <v>0</v>
      </c>
      <c r="Y290" s="320">
        <v>0</v>
      </c>
      <c r="Z290" s="229">
        <v>1</v>
      </c>
      <c r="AA290" s="321">
        <v>0</v>
      </c>
      <c r="AB290" s="322">
        <v>0</v>
      </c>
      <c r="AC290" s="320">
        <v>0</v>
      </c>
      <c r="AD290" s="320">
        <v>0</v>
      </c>
      <c r="AE290" s="320">
        <v>0</v>
      </c>
      <c r="AF290" s="320">
        <v>0</v>
      </c>
      <c r="AG290" s="320">
        <v>0</v>
      </c>
      <c r="AH290" s="320">
        <v>0</v>
      </c>
      <c r="AI290" s="320">
        <v>0</v>
      </c>
      <c r="AJ290" s="320">
        <v>0</v>
      </c>
      <c r="AK290" s="321">
        <v>0</v>
      </c>
      <c r="AL290" s="332">
        <f t="shared" si="16"/>
        <v>1</v>
      </c>
      <c r="AM290" s="333">
        <f>0</f>
        <v>0</v>
      </c>
      <c r="AN290" s="334">
        <f t="shared" si="17"/>
        <v>1</v>
      </c>
      <c r="AO290" s="247">
        <v>45090</v>
      </c>
      <c r="AP290" s="186" t="s">
        <v>273</v>
      </c>
      <c r="AQ290" s="187" t="s">
        <v>1288</v>
      </c>
      <c r="AR290" s="187" t="s">
        <v>148</v>
      </c>
      <c r="AS290" s="188"/>
      <c r="AT290" s="188"/>
      <c r="AU290" s="189"/>
      <c r="AV290" s="189"/>
      <c r="AW290" s="189"/>
      <c r="AX290" s="190"/>
      <c r="AY290" s="191"/>
      <c r="AZ290" s="192"/>
    </row>
    <row r="291" spans="1:52" ht="28" hidden="1" customHeight="1">
      <c r="A291" s="219">
        <v>286</v>
      </c>
      <c r="B291" s="182">
        <v>45084</v>
      </c>
      <c r="C291" s="328" t="s">
        <v>134</v>
      </c>
      <c r="D291" s="328" t="s">
        <v>135</v>
      </c>
      <c r="E291" s="328" t="s">
        <v>136</v>
      </c>
      <c r="F291" s="329" t="s">
        <v>1184</v>
      </c>
      <c r="G291" s="329" t="s">
        <v>971</v>
      </c>
      <c r="H291" s="329" t="s">
        <v>110</v>
      </c>
      <c r="I291" s="330" t="s">
        <v>224</v>
      </c>
      <c r="J291" s="331" t="s">
        <v>972</v>
      </c>
      <c r="K291" s="329" t="s">
        <v>80</v>
      </c>
      <c r="L291" s="329" t="s">
        <v>153</v>
      </c>
      <c r="M291" s="329" t="s">
        <v>154</v>
      </c>
      <c r="N291" s="330" t="s">
        <v>80</v>
      </c>
      <c r="O291" s="330" t="s">
        <v>155</v>
      </c>
      <c r="P291" s="177" t="s">
        <v>80</v>
      </c>
      <c r="Q291" s="177" t="s">
        <v>80</v>
      </c>
      <c r="R291" s="319">
        <f>0</f>
        <v>0</v>
      </c>
      <c r="S291" s="320">
        <v>0</v>
      </c>
      <c r="T291" s="320">
        <v>0</v>
      </c>
      <c r="U291" s="320">
        <v>0</v>
      </c>
      <c r="V291" s="320">
        <v>0</v>
      </c>
      <c r="W291" s="320">
        <v>0</v>
      </c>
      <c r="X291" s="320">
        <v>0</v>
      </c>
      <c r="Y291" s="320">
        <v>0</v>
      </c>
      <c r="Z291" s="229">
        <v>1</v>
      </c>
      <c r="AA291" s="321">
        <v>0</v>
      </c>
      <c r="AB291" s="322">
        <v>0</v>
      </c>
      <c r="AC291" s="320">
        <v>0</v>
      </c>
      <c r="AD291" s="320">
        <v>0</v>
      </c>
      <c r="AE291" s="320">
        <v>0</v>
      </c>
      <c r="AF291" s="320">
        <v>0</v>
      </c>
      <c r="AG291" s="320">
        <v>0</v>
      </c>
      <c r="AH291" s="320">
        <v>0</v>
      </c>
      <c r="AI291" s="320">
        <v>0</v>
      </c>
      <c r="AJ291" s="320">
        <v>0</v>
      </c>
      <c r="AK291" s="321">
        <v>0</v>
      </c>
      <c r="AL291" s="332">
        <f t="shared" ref="AL291:AL322" si="18">SUM(R291:AK291)</f>
        <v>1</v>
      </c>
      <c r="AM291" s="333">
        <f>0</f>
        <v>0</v>
      </c>
      <c r="AN291" s="334">
        <f t="shared" ref="AN291:AN322" si="19">AL291-AM291</f>
        <v>1</v>
      </c>
      <c r="AO291" s="247">
        <v>45090</v>
      </c>
      <c r="AP291" s="186" t="s">
        <v>273</v>
      </c>
      <c r="AQ291" s="187" t="s">
        <v>1288</v>
      </c>
      <c r="AR291" s="187" t="s">
        <v>148</v>
      </c>
      <c r="AS291" s="188"/>
      <c r="AT291" s="188"/>
      <c r="AU291" s="189"/>
      <c r="AV291" s="189"/>
      <c r="AW291" s="189"/>
      <c r="AX291" s="190"/>
      <c r="AY291" s="191"/>
      <c r="AZ291" s="192"/>
    </row>
    <row r="292" spans="1:52" ht="28" hidden="1" customHeight="1">
      <c r="A292" s="219">
        <v>287</v>
      </c>
      <c r="B292" s="182">
        <v>45084</v>
      </c>
      <c r="C292" s="328" t="s">
        <v>134</v>
      </c>
      <c r="D292" s="328" t="s">
        <v>135</v>
      </c>
      <c r="E292" s="328" t="s">
        <v>136</v>
      </c>
      <c r="F292" s="329" t="s">
        <v>1184</v>
      </c>
      <c r="G292" s="329" t="s">
        <v>973</v>
      </c>
      <c r="H292" s="329" t="s">
        <v>110</v>
      </c>
      <c r="I292" s="330" t="s">
        <v>253</v>
      </c>
      <c r="J292" s="331" t="s">
        <v>974</v>
      </c>
      <c r="K292" s="329" t="s">
        <v>80</v>
      </c>
      <c r="L292" s="329" t="s">
        <v>153</v>
      </c>
      <c r="M292" s="329" t="s">
        <v>154</v>
      </c>
      <c r="N292" s="330" t="s">
        <v>80</v>
      </c>
      <c r="O292" s="330" t="s">
        <v>155</v>
      </c>
      <c r="P292" s="177" t="s">
        <v>80</v>
      </c>
      <c r="Q292" s="177" t="s">
        <v>80</v>
      </c>
      <c r="R292" s="319">
        <f>0</f>
        <v>0</v>
      </c>
      <c r="S292" s="320">
        <v>0</v>
      </c>
      <c r="T292" s="320">
        <v>0</v>
      </c>
      <c r="U292" s="320">
        <v>0</v>
      </c>
      <c r="V292" s="320">
        <v>0</v>
      </c>
      <c r="W292" s="320">
        <v>0</v>
      </c>
      <c r="X292" s="320">
        <v>0</v>
      </c>
      <c r="Y292" s="320">
        <v>0</v>
      </c>
      <c r="Z292" s="229">
        <v>1</v>
      </c>
      <c r="AA292" s="321">
        <v>0</v>
      </c>
      <c r="AB292" s="322">
        <v>0</v>
      </c>
      <c r="AC292" s="320">
        <v>0</v>
      </c>
      <c r="AD292" s="320">
        <v>0</v>
      </c>
      <c r="AE292" s="320">
        <v>0</v>
      </c>
      <c r="AF292" s="320">
        <v>0</v>
      </c>
      <c r="AG292" s="320">
        <v>0</v>
      </c>
      <c r="AH292" s="320">
        <v>0</v>
      </c>
      <c r="AI292" s="320">
        <v>0</v>
      </c>
      <c r="AJ292" s="320">
        <v>0</v>
      </c>
      <c r="AK292" s="321">
        <v>0</v>
      </c>
      <c r="AL292" s="332">
        <f t="shared" si="18"/>
        <v>1</v>
      </c>
      <c r="AM292" s="333">
        <f>0</f>
        <v>0</v>
      </c>
      <c r="AN292" s="334">
        <f t="shared" si="19"/>
        <v>1</v>
      </c>
      <c r="AO292" s="247">
        <v>45090</v>
      </c>
      <c r="AP292" s="186" t="s">
        <v>273</v>
      </c>
      <c r="AQ292" s="187" t="s">
        <v>1288</v>
      </c>
      <c r="AR292" s="187" t="s">
        <v>148</v>
      </c>
      <c r="AS292" s="188"/>
      <c r="AT292" s="188"/>
      <c r="AU292" s="189"/>
      <c r="AV292" s="189"/>
      <c r="AW292" s="189"/>
      <c r="AX292" s="190"/>
      <c r="AY292" s="191"/>
      <c r="AZ292" s="192"/>
    </row>
    <row r="293" spans="1:52" ht="28" hidden="1" customHeight="1">
      <c r="A293" s="219">
        <v>288</v>
      </c>
      <c r="B293" s="182">
        <v>45084</v>
      </c>
      <c r="C293" s="328" t="s">
        <v>134</v>
      </c>
      <c r="D293" s="328" t="s">
        <v>135</v>
      </c>
      <c r="E293" s="328" t="s">
        <v>136</v>
      </c>
      <c r="F293" s="329" t="s">
        <v>1184</v>
      </c>
      <c r="G293" s="329" t="s">
        <v>975</v>
      </c>
      <c r="H293" s="329" t="s">
        <v>110</v>
      </c>
      <c r="I293" s="330" t="s">
        <v>497</v>
      </c>
      <c r="J293" s="331" t="s">
        <v>976</v>
      </c>
      <c r="K293" s="329"/>
      <c r="L293" s="329" t="s">
        <v>153</v>
      </c>
      <c r="M293" s="329" t="s">
        <v>154</v>
      </c>
      <c r="N293" s="330" t="s">
        <v>80</v>
      </c>
      <c r="O293" s="330" t="s">
        <v>155</v>
      </c>
      <c r="P293" s="177" t="s">
        <v>80</v>
      </c>
      <c r="Q293" s="177" t="s">
        <v>80</v>
      </c>
      <c r="R293" s="319">
        <f>0</f>
        <v>0</v>
      </c>
      <c r="S293" s="320">
        <v>0</v>
      </c>
      <c r="T293" s="320">
        <v>0</v>
      </c>
      <c r="U293" s="320">
        <v>0</v>
      </c>
      <c r="V293" s="320">
        <v>0</v>
      </c>
      <c r="W293" s="320">
        <v>0</v>
      </c>
      <c r="X293" s="320">
        <v>0</v>
      </c>
      <c r="Y293" s="320">
        <v>0</v>
      </c>
      <c r="Z293" s="229">
        <v>1</v>
      </c>
      <c r="AA293" s="321">
        <v>0</v>
      </c>
      <c r="AB293" s="322">
        <v>0</v>
      </c>
      <c r="AC293" s="320">
        <v>0</v>
      </c>
      <c r="AD293" s="320">
        <v>0</v>
      </c>
      <c r="AE293" s="320">
        <v>0</v>
      </c>
      <c r="AF293" s="320">
        <v>0</v>
      </c>
      <c r="AG293" s="320">
        <v>0</v>
      </c>
      <c r="AH293" s="320">
        <v>0</v>
      </c>
      <c r="AI293" s="320">
        <v>0</v>
      </c>
      <c r="AJ293" s="320">
        <v>0</v>
      </c>
      <c r="AK293" s="321">
        <v>0</v>
      </c>
      <c r="AL293" s="332">
        <f t="shared" si="18"/>
        <v>1</v>
      </c>
      <c r="AM293" s="333">
        <f>0</f>
        <v>0</v>
      </c>
      <c r="AN293" s="334">
        <f t="shared" si="19"/>
        <v>1</v>
      </c>
      <c r="AO293" s="247">
        <v>45090</v>
      </c>
      <c r="AP293" s="186" t="s">
        <v>273</v>
      </c>
      <c r="AQ293" s="187" t="s">
        <v>1288</v>
      </c>
      <c r="AR293" s="187" t="s">
        <v>148</v>
      </c>
      <c r="AS293" s="188"/>
      <c r="AT293" s="188"/>
      <c r="AU293" s="189"/>
      <c r="AV293" s="189"/>
      <c r="AW293" s="189"/>
      <c r="AX293" s="190"/>
      <c r="AY293" s="191"/>
      <c r="AZ293" s="192"/>
    </row>
    <row r="294" spans="1:52" ht="28" hidden="1" customHeight="1">
      <c r="A294" s="219">
        <v>289</v>
      </c>
      <c r="B294" s="182">
        <v>45084</v>
      </c>
      <c r="C294" s="328" t="s">
        <v>134</v>
      </c>
      <c r="D294" s="328" t="s">
        <v>135</v>
      </c>
      <c r="E294" s="328" t="s">
        <v>136</v>
      </c>
      <c r="F294" s="329" t="s">
        <v>1184</v>
      </c>
      <c r="G294" s="329" t="s">
        <v>977</v>
      </c>
      <c r="H294" s="329" t="s">
        <v>110</v>
      </c>
      <c r="I294" s="330" t="s">
        <v>239</v>
      </c>
      <c r="J294" s="331" t="s">
        <v>978</v>
      </c>
      <c r="K294" s="329" t="s">
        <v>80</v>
      </c>
      <c r="L294" s="329" t="s">
        <v>153</v>
      </c>
      <c r="M294" s="329" t="s">
        <v>154</v>
      </c>
      <c r="N294" s="330" t="s">
        <v>80</v>
      </c>
      <c r="O294" s="330" t="s">
        <v>155</v>
      </c>
      <c r="P294" s="177" t="s">
        <v>80</v>
      </c>
      <c r="Q294" s="177" t="s">
        <v>80</v>
      </c>
      <c r="R294" s="319">
        <f>0</f>
        <v>0</v>
      </c>
      <c r="S294" s="320">
        <v>0</v>
      </c>
      <c r="T294" s="320">
        <v>0</v>
      </c>
      <c r="U294" s="320">
        <v>0</v>
      </c>
      <c r="V294" s="320">
        <v>0</v>
      </c>
      <c r="W294" s="320">
        <v>0</v>
      </c>
      <c r="X294" s="320">
        <v>0</v>
      </c>
      <c r="Y294" s="320">
        <v>0</v>
      </c>
      <c r="Z294" s="229">
        <v>1</v>
      </c>
      <c r="AA294" s="321">
        <v>0</v>
      </c>
      <c r="AB294" s="322">
        <v>0</v>
      </c>
      <c r="AC294" s="320">
        <v>0</v>
      </c>
      <c r="AD294" s="320">
        <v>0</v>
      </c>
      <c r="AE294" s="320">
        <v>0</v>
      </c>
      <c r="AF294" s="320">
        <v>0</v>
      </c>
      <c r="AG294" s="320">
        <v>0</v>
      </c>
      <c r="AH294" s="320">
        <v>0</v>
      </c>
      <c r="AI294" s="320">
        <v>0</v>
      </c>
      <c r="AJ294" s="320">
        <v>0</v>
      </c>
      <c r="AK294" s="321">
        <v>0</v>
      </c>
      <c r="AL294" s="332">
        <f t="shared" si="18"/>
        <v>1</v>
      </c>
      <c r="AM294" s="333">
        <f>0</f>
        <v>0</v>
      </c>
      <c r="AN294" s="334">
        <f t="shared" si="19"/>
        <v>1</v>
      </c>
      <c r="AO294" s="247">
        <v>45090</v>
      </c>
      <c r="AP294" s="186" t="s">
        <v>273</v>
      </c>
      <c r="AQ294" s="187" t="s">
        <v>1288</v>
      </c>
      <c r="AR294" s="187" t="s">
        <v>148</v>
      </c>
      <c r="AS294" s="188"/>
      <c r="AT294" s="188"/>
      <c r="AU294" s="189"/>
      <c r="AV294" s="189"/>
      <c r="AW294" s="189"/>
      <c r="AX294" s="190"/>
      <c r="AY294" s="191"/>
      <c r="AZ294" s="192"/>
    </row>
    <row r="295" spans="1:52" ht="28" hidden="1" customHeight="1">
      <c r="A295" s="219">
        <v>290</v>
      </c>
      <c r="B295" s="182">
        <v>45084</v>
      </c>
      <c r="C295" s="328" t="s">
        <v>134</v>
      </c>
      <c r="D295" s="328" t="s">
        <v>135</v>
      </c>
      <c r="E295" s="328" t="s">
        <v>136</v>
      </c>
      <c r="F295" s="329" t="s">
        <v>1184</v>
      </c>
      <c r="G295" s="329" t="s">
        <v>979</v>
      </c>
      <c r="H295" s="329" t="s">
        <v>110</v>
      </c>
      <c r="I295" s="330" t="s">
        <v>980</v>
      </c>
      <c r="J295" s="331" t="s">
        <v>981</v>
      </c>
      <c r="K295" s="329"/>
      <c r="L295" s="329" t="s">
        <v>153</v>
      </c>
      <c r="M295" s="329" t="s">
        <v>154</v>
      </c>
      <c r="N295" s="330" t="s">
        <v>80</v>
      </c>
      <c r="O295" s="330" t="s">
        <v>155</v>
      </c>
      <c r="P295" s="177" t="s">
        <v>80</v>
      </c>
      <c r="Q295" s="177" t="s">
        <v>80</v>
      </c>
      <c r="R295" s="319">
        <f>0</f>
        <v>0</v>
      </c>
      <c r="S295" s="320">
        <v>0</v>
      </c>
      <c r="T295" s="320">
        <v>0</v>
      </c>
      <c r="U295" s="320">
        <v>0</v>
      </c>
      <c r="V295" s="320">
        <v>0</v>
      </c>
      <c r="W295" s="320">
        <v>0</v>
      </c>
      <c r="X295" s="320">
        <v>0</v>
      </c>
      <c r="Y295" s="320">
        <v>0</v>
      </c>
      <c r="Z295" s="229">
        <v>1</v>
      </c>
      <c r="AA295" s="321">
        <v>0</v>
      </c>
      <c r="AB295" s="322">
        <v>0</v>
      </c>
      <c r="AC295" s="320">
        <v>0</v>
      </c>
      <c r="AD295" s="320">
        <v>0</v>
      </c>
      <c r="AE295" s="320">
        <v>0</v>
      </c>
      <c r="AF295" s="320">
        <v>0</v>
      </c>
      <c r="AG295" s="320">
        <v>0</v>
      </c>
      <c r="AH295" s="320">
        <v>0</v>
      </c>
      <c r="AI295" s="320">
        <v>0</v>
      </c>
      <c r="AJ295" s="320">
        <v>0</v>
      </c>
      <c r="AK295" s="321">
        <v>0</v>
      </c>
      <c r="AL295" s="332">
        <f t="shared" si="18"/>
        <v>1</v>
      </c>
      <c r="AM295" s="333">
        <f>0</f>
        <v>0</v>
      </c>
      <c r="AN295" s="334">
        <f t="shared" si="19"/>
        <v>1</v>
      </c>
      <c r="AO295" s="247">
        <v>45090</v>
      </c>
      <c r="AP295" s="186" t="s">
        <v>273</v>
      </c>
      <c r="AQ295" s="187" t="s">
        <v>1288</v>
      </c>
      <c r="AR295" s="187" t="s">
        <v>148</v>
      </c>
      <c r="AS295" s="188"/>
      <c r="AT295" s="188"/>
      <c r="AU295" s="189"/>
      <c r="AV295" s="189"/>
      <c r="AW295" s="189"/>
      <c r="AX295" s="190"/>
      <c r="AY295" s="191"/>
      <c r="AZ295" s="192"/>
    </row>
    <row r="296" spans="1:52" ht="28" hidden="1" customHeight="1">
      <c r="A296" s="219">
        <v>291</v>
      </c>
      <c r="B296" s="182">
        <v>45084</v>
      </c>
      <c r="C296" s="328" t="s">
        <v>134</v>
      </c>
      <c r="D296" s="328" t="s">
        <v>135</v>
      </c>
      <c r="E296" s="328" t="s">
        <v>136</v>
      </c>
      <c r="F296" s="329" t="s">
        <v>1184</v>
      </c>
      <c r="G296" s="329" t="s">
        <v>982</v>
      </c>
      <c r="H296" s="329" t="s">
        <v>110</v>
      </c>
      <c r="I296" s="330" t="s">
        <v>151</v>
      </c>
      <c r="J296" s="331" t="s">
        <v>983</v>
      </c>
      <c r="K296" s="329" t="s">
        <v>80</v>
      </c>
      <c r="L296" s="329" t="s">
        <v>153</v>
      </c>
      <c r="M296" s="329" t="s">
        <v>154</v>
      </c>
      <c r="N296" s="330" t="s">
        <v>80</v>
      </c>
      <c r="O296" s="330" t="s">
        <v>155</v>
      </c>
      <c r="P296" s="177" t="s">
        <v>80</v>
      </c>
      <c r="Q296" s="177" t="s">
        <v>80</v>
      </c>
      <c r="R296" s="319">
        <f>0</f>
        <v>0</v>
      </c>
      <c r="S296" s="320">
        <v>0</v>
      </c>
      <c r="T296" s="320">
        <v>0</v>
      </c>
      <c r="U296" s="320">
        <v>0</v>
      </c>
      <c r="V296" s="320">
        <v>0</v>
      </c>
      <c r="W296" s="320">
        <v>0</v>
      </c>
      <c r="X296" s="320">
        <v>0</v>
      </c>
      <c r="Y296" s="320">
        <v>0</v>
      </c>
      <c r="Z296" s="229">
        <v>1</v>
      </c>
      <c r="AA296" s="321">
        <v>0</v>
      </c>
      <c r="AB296" s="322">
        <v>0</v>
      </c>
      <c r="AC296" s="320">
        <v>0</v>
      </c>
      <c r="AD296" s="320">
        <v>0</v>
      </c>
      <c r="AE296" s="320">
        <v>0</v>
      </c>
      <c r="AF296" s="320">
        <v>0</v>
      </c>
      <c r="AG296" s="320">
        <v>0</v>
      </c>
      <c r="AH296" s="320">
        <v>0</v>
      </c>
      <c r="AI296" s="320">
        <v>0</v>
      </c>
      <c r="AJ296" s="320">
        <v>0</v>
      </c>
      <c r="AK296" s="321">
        <v>0</v>
      </c>
      <c r="AL296" s="332">
        <f t="shared" si="18"/>
        <v>1</v>
      </c>
      <c r="AM296" s="333">
        <f>0</f>
        <v>0</v>
      </c>
      <c r="AN296" s="334">
        <f t="shared" si="19"/>
        <v>1</v>
      </c>
      <c r="AO296" s="247">
        <v>45090</v>
      </c>
      <c r="AP296" s="186" t="s">
        <v>273</v>
      </c>
      <c r="AQ296" s="187" t="s">
        <v>1288</v>
      </c>
      <c r="AR296" s="187" t="s">
        <v>148</v>
      </c>
      <c r="AS296" s="188"/>
      <c r="AT296" s="188"/>
      <c r="AU296" s="189"/>
      <c r="AV296" s="189"/>
      <c r="AW296" s="189"/>
      <c r="AX296" s="190"/>
      <c r="AY296" s="191"/>
      <c r="AZ296" s="192"/>
    </row>
    <row r="297" spans="1:52" ht="28" hidden="1" customHeight="1">
      <c r="A297" s="219">
        <v>292</v>
      </c>
      <c r="B297" s="182">
        <v>45084</v>
      </c>
      <c r="C297" s="328" t="s">
        <v>134</v>
      </c>
      <c r="D297" s="328" t="s">
        <v>135</v>
      </c>
      <c r="E297" s="328" t="s">
        <v>136</v>
      </c>
      <c r="F297" s="329" t="s">
        <v>1184</v>
      </c>
      <c r="G297" s="329" t="s">
        <v>984</v>
      </c>
      <c r="H297" s="329" t="s">
        <v>110</v>
      </c>
      <c r="I297" s="330" t="s">
        <v>1201</v>
      </c>
      <c r="J297" s="331" t="s">
        <v>985</v>
      </c>
      <c r="K297" s="329" t="s">
        <v>80</v>
      </c>
      <c r="L297" s="329" t="s">
        <v>153</v>
      </c>
      <c r="M297" s="329" t="s">
        <v>154</v>
      </c>
      <c r="N297" s="330" t="s">
        <v>80</v>
      </c>
      <c r="O297" s="330" t="s">
        <v>155</v>
      </c>
      <c r="P297" s="177" t="s">
        <v>80</v>
      </c>
      <c r="Q297" s="177" t="s">
        <v>80</v>
      </c>
      <c r="R297" s="319">
        <f>0</f>
        <v>0</v>
      </c>
      <c r="S297" s="320">
        <v>0</v>
      </c>
      <c r="T297" s="320">
        <v>0</v>
      </c>
      <c r="U297" s="320">
        <v>0</v>
      </c>
      <c r="V297" s="320">
        <v>0</v>
      </c>
      <c r="W297" s="320">
        <v>0</v>
      </c>
      <c r="X297" s="320">
        <v>0</v>
      </c>
      <c r="Y297" s="320">
        <v>0</v>
      </c>
      <c r="Z297" s="229">
        <v>1</v>
      </c>
      <c r="AA297" s="321">
        <v>0</v>
      </c>
      <c r="AB297" s="322">
        <v>0</v>
      </c>
      <c r="AC297" s="320">
        <v>0</v>
      </c>
      <c r="AD297" s="320">
        <v>0</v>
      </c>
      <c r="AE297" s="320">
        <v>0</v>
      </c>
      <c r="AF297" s="320">
        <v>0</v>
      </c>
      <c r="AG297" s="320">
        <v>0</v>
      </c>
      <c r="AH297" s="320">
        <v>0</v>
      </c>
      <c r="AI297" s="320">
        <v>0</v>
      </c>
      <c r="AJ297" s="320">
        <v>0</v>
      </c>
      <c r="AK297" s="321">
        <v>0</v>
      </c>
      <c r="AL297" s="332">
        <f t="shared" si="18"/>
        <v>1</v>
      </c>
      <c r="AM297" s="333">
        <f>0</f>
        <v>0</v>
      </c>
      <c r="AN297" s="334">
        <f t="shared" si="19"/>
        <v>1</v>
      </c>
      <c r="AO297" s="247">
        <v>45090</v>
      </c>
      <c r="AP297" s="186" t="s">
        <v>273</v>
      </c>
      <c r="AQ297" s="187" t="s">
        <v>1288</v>
      </c>
      <c r="AR297" s="187" t="s">
        <v>148</v>
      </c>
      <c r="AS297" s="188"/>
      <c r="AT297" s="188"/>
      <c r="AU297" s="189"/>
      <c r="AV297" s="189"/>
      <c r="AW297" s="189"/>
      <c r="AX297" s="190"/>
      <c r="AY297" s="191"/>
      <c r="AZ297" s="192"/>
    </row>
    <row r="298" spans="1:52" ht="28" hidden="1" customHeight="1">
      <c r="A298" s="219">
        <v>293</v>
      </c>
      <c r="B298" s="182">
        <v>45084</v>
      </c>
      <c r="C298" s="328" t="s">
        <v>134</v>
      </c>
      <c r="D298" s="328" t="s">
        <v>135</v>
      </c>
      <c r="E298" s="328" t="s">
        <v>136</v>
      </c>
      <c r="F298" s="329" t="s">
        <v>1184</v>
      </c>
      <c r="G298" s="329" t="s">
        <v>986</v>
      </c>
      <c r="H298" s="329" t="s">
        <v>110</v>
      </c>
      <c r="I298" s="330" t="s">
        <v>163</v>
      </c>
      <c r="J298" s="331" t="s">
        <v>987</v>
      </c>
      <c r="K298" s="329" t="s">
        <v>80</v>
      </c>
      <c r="L298" s="329" t="s">
        <v>153</v>
      </c>
      <c r="M298" s="329" t="s">
        <v>154</v>
      </c>
      <c r="N298" s="330" t="s">
        <v>80</v>
      </c>
      <c r="O298" s="330" t="s">
        <v>155</v>
      </c>
      <c r="P298" s="177" t="s">
        <v>80</v>
      </c>
      <c r="Q298" s="177" t="s">
        <v>80</v>
      </c>
      <c r="R298" s="319">
        <f>0</f>
        <v>0</v>
      </c>
      <c r="S298" s="320">
        <v>0</v>
      </c>
      <c r="T298" s="320">
        <v>0</v>
      </c>
      <c r="U298" s="320">
        <v>0</v>
      </c>
      <c r="V298" s="320">
        <v>0</v>
      </c>
      <c r="W298" s="320">
        <v>0</v>
      </c>
      <c r="X298" s="320">
        <v>0</v>
      </c>
      <c r="Y298" s="320">
        <v>0</v>
      </c>
      <c r="Z298" s="229">
        <v>1</v>
      </c>
      <c r="AA298" s="321">
        <v>0</v>
      </c>
      <c r="AB298" s="322">
        <v>0</v>
      </c>
      <c r="AC298" s="320">
        <v>0</v>
      </c>
      <c r="AD298" s="320">
        <v>0</v>
      </c>
      <c r="AE298" s="320">
        <v>0</v>
      </c>
      <c r="AF298" s="320">
        <v>0</v>
      </c>
      <c r="AG298" s="320">
        <v>0</v>
      </c>
      <c r="AH298" s="320">
        <v>0</v>
      </c>
      <c r="AI298" s="320">
        <v>0</v>
      </c>
      <c r="AJ298" s="320">
        <v>0</v>
      </c>
      <c r="AK298" s="321">
        <v>0</v>
      </c>
      <c r="AL298" s="332">
        <f t="shared" si="18"/>
        <v>1</v>
      </c>
      <c r="AM298" s="333">
        <f>0</f>
        <v>0</v>
      </c>
      <c r="AN298" s="334">
        <f t="shared" si="19"/>
        <v>1</v>
      </c>
      <c r="AO298" s="247">
        <v>45090</v>
      </c>
      <c r="AP298" s="186" t="s">
        <v>273</v>
      </c>
      <c r="AQ298" s="187" t="s">
        <v>1288</v>
      </c>
      <c r="AR298" s="187" t="s">
        <v>148</v>
      </c>
      <c r="AS298" s="188"/>
      <c r="AT298" s="188"/>
      <c r="AU298" s="189"/>
      <c r="AV298" s="189"/>
      <c r="AW298" s="189"/>
      <c r="AX298" s="190"/>
      <c r="AY298" s="191"/>
      <c r="AZ298" s="192"/>
    </row>
    <row r="299" spans="1:52" ht="28" hidden="1" customHeight="1">
      <c r="A299" s="219">
        <v>294</v>
      </c>
      <c r="B299" s="182">
        <v>45084</v>
      </c>
      <c r="C299" s="328" t="s">
        <v>134</v>
      </c>
      <c r="D299" s="328" t="s">
        <v>135</v>
      </c>
      <c r="E299" s="328" t="s">
        <v>136</v>
      </c>
      <c r="F299" s="329" t="s">
        <v>1184</v>
      </c>
      <c r="G299" s="329" t="s">
        <v>988</v>
      </c>
      <c r="H299" s="329" t="s">
        <v>110</v>
      </c>
      <c r="I299" s="330" t="s">
        <v>989</v>
      </c>
      <c r="J299" s="331" t="s">
        <v>990</v>
      </c>
      <c r="K299" s="329"/>
      <c r="L299" s="329" t="s">
        <v>471</v>
      </c>
      <c r="M299" s="329" t="s">
        <v>154</v>
      </c>
      <c r="N299" s="330" t="s">
        <v>212</v>
      </c>
      <c r="O299" s="330" t="s">
        <v>149</v>
      </c>
      <c r="P299" s="177" t="s">
        <v>80</v>
      </c>
      <c r="Q299" s="177" t="s">
        <v>80</v>
      </c>
      <c r="R299" s="319">
        <f>0</f>
        <v>0</v>
      </c>
      <c r="S299" s="320">
        <v>0</v>
      </c>
      <c r="T299" s="320">
        <v>0</v>
      </c>
      <c r="U299" s="320">
        <v>0</v>
      </c>
      <c r="V299" s="320">
        <v>0</v>
      </c>
      <c r="W299" s="320">
        <v>0</v>
      </c>
      <c r="X299" s="320">
        <v>0</v>
      </c>
      <c r="Y299" s="320">
        <v>0</v>
      </c>
      <c r="Z299" s="229">
        <v>1</v>
      </c>
      <c r="AA299" s="321">
        <v>0</v>
      </c>
      <c r="AB299" s="322">
        <v>0</v>
      </c>
      <c r="AC299" s="320">
        <v>0</v>
      </c>
      <c r="AD299" s="320">
        <v>0</v>
      </c>
      <c r="AE299" s="320">
        <v>0</v>
      </c>
      <c r="AF299" s="320">
        <v>0</v>
      </c>
      <c r="AG299" s="320">
        <v>0</v>
      </c>
      <c r="AH299" s="320">
        <v>0</v>
      </c>
      <c r="AI299" s="320">
        <v>0</v>
      </c>
      <c r="AJ299" s="320">
        <v>0</v>
      </c>
      <c r="AK299" s="321">
        <v>0</v>
      </c>
      <c r="AL299" s="332">
        <f t="shared" si="18"/>
        <v>1</v>
      </c>
      <c r="AM299" s="333">
        <f>0</f>
        <v>0</v>
      </c>
      <c r="AN299" s="334">
        <f t="shared" si="19"/>
        <v>1</v>
      </c>
      <c r="AO299" s="247">
        <v>45090</v>
      </c>
      <c r="AP299" s="186" t="s">
        <v>273</v>
      </c>
      <c r="AQ299" s="187" t="s">
        <v>1288</v>
      </c>
      <c r="AR299" s="187" t="s">
        <v>148</v>
      </c>
      <c r="AS299" s="188"/>
      <c r="AT299" s="188"/>
      <c r="AU299" s="189"/>
      <c r="AV299" s="189"/>
      <c r="AW299" s="189"/>
      <c r="AX299" s="190"/>
      <c r="AY299" s="191"/>
      <c r="AZ299" s="192"/>
    </row>
    <row r="300" spans="1:52" ht="28" hidden="1" customHeight="1">
      <c r="A300" s="219">
        <v>295</v>
      </c>
      <c r="B300" s="182">
        <v>45084</v>
      </c>
      <c r="C300" s="328" t="s">
        <v>134</v>
      </c>
      <c r="D300" s="328" t="s">
        <v>135</v>
      </c>
      <c r="E300" s="328" t="s">
        <v>136</v>
      </c>
      <c r="F300" s="329" t="s">
        <v>1184</v>
      </c>
      <c r="G300" s="329" t="s">
        <v>991</v>
      </c>
      <c r="H300" s="329" t="s">
        <v>110</v>
      </c>
      <c r="I300" s="330" t="s">
        <v>992</v>
      </c>
      <c r="J300" s="331" t="s">
        <v>993</v>
      </c>
      <c r="K300" s="329"/>
      <c r="L300" s="329" t="s">
        <v>471</v>
      </c>
      <c r="M300" s="329" t="s">
        <v>154</v>
      </c>
      <c r="N300" s="330" t="s">
        <v>573</v>
      </c>
      <c r="O300" s="330" t="s">
        <v>149</v>
      </c>
      <c r="P300" s="177" t="s">
        <v>80</v>
      </c>
      <c r="Q300" s="177" t="s">
        <v>80</v>
      </c>
      <c r="R300" s="319">
        <f>0</f>
        <v>0</v>
      </c>
      <c r="S300" s="320">
        <v>0</v>
      </c>
      <c r="T300" s="320">
        <v>0</v>
      </c>
      <c r="U300" s="320">
        <v>0</v>
      </c>
      <c r="V300" s="320">
        <v>0</v>
      </c>
      <c r="W300" s="320">
        <v>0</v>
      </c>
      <c r="X300" s="320">
        <v>0</v>
      </c>
      <c r="Y300" s="320">
        <v>0</v>
      </c>
      <c r="Z300" s="229">
        <v>1</v>
      </c>
      <c r="AA300" s="321">
        <v>0</v>
      </c>
      <c r="AB300" s="322">
        <v>0</v>
      </c>
      <c r="AC300" s="320">
        <v>0</v>
      </c>
      <c r="AD300" s="320">
        <v>0</v>
      </c>
      <c r="AE300" s="320">
        <v>0</v>
      </c>
      <c r="AF300" s="320">
        <v>0</v>
      </c>
      <c r="AG300" s="320">
        <v>0</v>
      </c>
      <c r="AH300" s="320">
        <v>0</v>
      </c>
      <c r="AI300" s="320">
        <v>0</v>
      </c>
      <c r="AJ300" s="320">
        <v>0</v>
      </c>
      <c r="AK300" s="321">
        <v>0</v>
      </c>
      <c r="AL300" s="332">
        <f t="shared" si="18"/>
        <v>1</v>
      </c>
      <c r="AM300" s="333">
        <f>0</f>
        <v>0</v>
      </c>
      <c r="AN300" s="334">
        <f t="shared" si="19"/>
        <v>1</v>
      </c>
      <c r="AO300" s="247">
        <v>45090</v>
      </c>
      <c r="AP300" s="186" t="s">
        <v>273</v>
      </c>
      <c r="AQ300" s="187" t="s">
        <v>1288</v>
      </c>
      <c r="AR300" s="187" t="s">
        <v>148</v>
      </c>
      <c r="AS300" s="188"/>
      <c r="AT300" s="188"/>
      <c r="AU300" s="189"/>
      <c r="AV300" s="189"/>
      <c r="AW300" s="189"/>
      <c r="AX300" s="190"/>
      <c r="AY300" s="191"/>
      <c r="AZ300" s="192"/>
    </row>
    <row r="301" spans="1:52" ht="28" hidden="1" customHeight="1">
      <c r="A301" s="219">
        <v>296</v>
      </c>
      <c r="B301" s="182">
        <v>45084</v>
      </c>
      <c r="C301" s="328" t="s">
        <v>134</v>
      </c>
      <c r="D301" s="328" t="s">
        <v>135</v>
      </c>
      <c r="E301" s="328" t="s">
        <v>136</v>
      </c>
      <c r="F301" s="329" t="s">
        <v>1184</v>
      </c>
      <c r="G301" s="329" t="s">
        <v>994</v>
      </c>
      <c r="H301" s="329" t="s">
        <v>110</v>
      </c>
      <c r="I301" s="330" t="s">
        <v>995</v>
      </c>
      <c r="J301" s="331" t="s">
        <v>996</v>
      </c>
      <c r="K301" s="329" t="s">
        <v>80</v>
      </c>
      <c r="L301" s="329" t="s">
        <v>997</v>
      </c>
      <c r="M301" s="329" t="s">
        <v>154</v>
      </c>
      <c r="N301" s="330" t="s">
        <v>212</v>
      </c>
      <c r="O301" s="330" t="s">
        <v>149</v>
      </c>
      <c r="P301" s="177" t="s">
        <v>80</v>
      </c>
      <c r="Q301" s="177" t="s">
        <v>80</v>
      </c>
      <c r="R301" s="319">
        <f>0</f>
        <v>0</v>
      </c>
      <c r="S301" s="320">
        <v>0</v>
      </c>
      <c r="T301" s="320">
        <v>0</v>
      </c>
      <c r="U301" s="320">
        <v>0</v>
      </c>
      <c r="V301" s="320">
        <v>0</v>
      </c>
      <c r="W301" s="320">
        <v>0</v>
      </c>
      <c r="X301" s="320">
        <v>0</v>
      </c>
      <c r="Y301" s="320">
        <v>0</v>
      </c>
      <c r="Z301" s="229">
        <v>1</v>
      </c>
      <c r="AA301" s="321">
        <v>0</v>
      </c>
      <c r="AB301" s="322">
        <v>0</v>
      </c>
      <c r="AC301" s="320">
        <v>0</v>
      </c>
      <c r="AD301" s="320">
        <v>0</v>
      </c>
      <c r="AE301" s="320">
        <v>0</v>
      </c>
      <c r="AF301" s="320">
        <v>0</v>
      </c>
      <c r="AG301" s="320">
        <v>0</v>
      </c>
      <c r="AH301" s="320">
        <v>0</v>
      </c>
      <c r="AI301" s="320">
        <v>0</v>
      </c>
      <c r="AJ301" s="320">
        <v>0</v>
      </c>
      <c r="AK301" s="321">
        <v>0</v>
      </c>
      <c r="AL301" s="332">
        <f t="shared" si="18"/>
        <v>1</v>
      </c>
      <c r="AM301" s="333">
        <f>0</f>
        <v>0</v>
      </c>
      <c r="AN301" s="334">
        <f t="shared" si="19"/>
        <v>1</v>
      </c>
      <c r="AO301" s="247">
        <v>45090</v>
      </c>
      <c r="AP301" s="186" t="s">
        <v>273</v>
      </c>
      <c r="AQ301" s="187" t="s">
        <v>1288</v>
      </c>
      <c r="AR301" s="187" t="s">
        <v>148</v>
      </c>
      <c r="AS301" s="188"/>
      <c r="AT301" s="188"/>
      <c r="AU301" s="189"/>
      <c r="AV301" s="189"/>
      <c r="AW301" s="189"/>
      <c r="AX301" s="190"/>
      <c r="AY301" s="191"/>
      <c r="AZ301" s="192"/>
    </row>
    <row r="302" spans="1:52" ht="28" hidden="1" customHeight="1">
      <c r="A302" s="219">
        <v>297</v>
      </c>
      <c r="B302" s="182">
        <v>45084</v>
      </c>
      <c r="C302" s="328" t="s">
        <v>134</v>
      </c>
      <c r="D302" s="328" t="s">
        <v>135</v>
      </c>
      <c r="E302" s="328" t="s">
        <v>136</v>
      </c>
      <c r="F302" s="329" t="s">
        <v>1184</v>
      </c>
      <c r="G302" s="329" t="s">
        <v>998</v>
      </c>
      <c r="H302" s="329" t="s">
        <v>110</v>
      </c>
      <c r="I302" s="330" t="s">
        <v>1201</v>
      </c>
      <c r="J302" s="331" t="s">
        <v>999</v>
      </c>
      <c r="K302" s="329" t="s">
        <v>80</v>
      </c>
      <c r="L302" s="329" t="s">
        <v>1202</v>
      </c>
      <c r="M302" s="329" t="s">
        <v>154</v>
      </c>
      <c r="N302" s="330" t="s">
        <v>80</v>
      </c>
      <c r="O302" s="330" t="s">
        <v>155</v>
      </c>
      <c r="P302" s="177" t="s">
        <v>80</v>
      </c>
      <c r="Q302" s="177" t="s">
        <v>80</v>
      </c>
      <c r="R302" s="319">
        <f>0</f>
        <v>0</v>
      </c>
      <c r="S302" s="320">
        <v>0</v>
      </c>
      <c r="T302" s="320">
        <v>0</v>
      </c>
      <c r="U302" s="320">
        <v>0</v>
      </c>
      <c r="V302" s="320">
        <v>0</v>
      </c>
      <c r="W302" s="320">
        <v>0</v>
      </c>
      <c r="X302" s="320">
        <v>0</v>
      </c>
      <c r="Y302" s="320">
        <v>0</v>
      </c>
      <c r="Z302" s="229">
        <v>1</v>
      </c>
      <c r="AA302" s="321">
        <v>0</v>
      </c>
      <c r="AB302" s="322">
        <v>0</v>
      </c>
      <c r="AC302" s="320">
        <v>0</v>
      </c>
      <c r="AD302" s="320">
        <v>0</v>
      </c>
      <c r="AE302" s="320">
        <v>0</v>
      </c>
      <c r="AF302" s="320">
        <v>0</v>
      </c>
      <c r="AG302" s="320">
        <v>0</v>
      </c>
      <c r="AH302" s="320">
        <v>0</v>
      </c>
      <c r="AI302" s="320">
        <v>0</v>
      </c>
      <c r="AJ302" s="320">
        <v>0</v>
      </c>
      <c r="AK302" s="321">
        <v>0</v>
      </c>
      <c r="AL302" s="332">
        <f t="shared" si="18"/>
        <v>1</v>
      </c>
      <c r="AM302" s="333">
        <f>0</f>
        <v>0</v>
      </c>
      <c r="AN302" s="334">
        <f t="shared" si="19"/>
        <v>1</v>
      </c>
      <c r="AO302" s="247">
        <v>45090</v>
      </c>
      <c r="AP302" s="186" t="s">
        <v>273</v>
      </c>
      <c r="AQ302" s="187" t="s">
        <v>1288</v>
      </c>
      <c r="AR302" s="187" t="s">
        <v>148</v>
      </c>
      <c r="AS302" s="188"/>
      <c r="AT302" s="188"/>
      <c r="AU302" s="189"/>
      <c r="AV302" s="189"/>
      <c r="AW302" s="189"/>
      <c r="AX302" s="190"/>
      <c r="AY302" s="191"/>
      <c r="AZ302" s="192"/>
    </row>
    <row r="303" spans="1:52" ht="28" hidden="1" customHeight="1">
      <c r="A303" s="219">
        <v>298</v>
      </c>
      <c r="B303" s="182">
        <v>45084</v>
      </c>
      <c r="C303" s="328" t="s">
        <v>134</v>
      </c>
      <c r="D303" s="328" t="s">
        <v>135</v>
      </c>
      <c r="E303" s="328" t="s">
        <v>136</v>
      </c>
      <c r="F303" s="329" t="s">
        <v>1184</v>
      </c>
      <c r="G303" s="329" t="s">
        <v>1000</v>
      </c>
      <c r="H303" s="329" t="s">
        <v>110</v>
      </c>
      <c r="I303" s="330" t="s">
        <v>245</v>
      </c>
      <c r="J303" s="331" t="s">
        <v>1001</v>
      </c>
      <c r="K303" s="329" t="s">
        <v>80</v>
      </c>
      <c r="L303" s="329" t="s">
        <v>168</v>
      </c>
      <c r="M303" s="329" t="s">
        <v>154</v>
      </c>
      <c r="N303" s="330" t="s">
        <v>80</v>
      </c>
      <c r="O303" s="330" t="s">
        <v>149</v>
      </c>
      <c r="P303" s="177" t="s">
        <v>80</v>
      </c>
      <c r="Q303" s="177" t="s">
        <v>80</v>
      </c>
      <c r="R303" s="319">
        <f>0</f>
        <v>0</v>
      </c>
      <c r="S303" s="320">
        <v>0</v>
      </c>
      <c r="T303" s="320">
        <v>0</v>
      </c>
      <c r="U303" s="320">
        <v>0</v>
      </c>
      <c r="V303" s="320">
        <v>0</v>
      </c>
      <c r="W303" s="320">
        <v>0</v>
      </c>
      <c r="X303" s="320">
        <v>0</v>
      </c>
      <c r="Y303" s="320">
        <v>0</v>
      </c>
      <c r="Z303" s="229">
        <v>2</v>
      </c>
      <c r="AA303" s="321">
        <v>0</v>
      </c>
      <c r="AB303" s="322">
        <v>0</v>
      </c>
      <c r="AC303" s="320">
        <v>0</v>
      </c>
      <c r="AD303" s="320">
        <v>0</v>
      </c>
      <c r="AE303" s="320">
        <v>0</v>
      </c>
      <c r="AF303" s="320">
        <v>0</v>
      </c>
      <c r="AG303" s="320">
        <v>0</v>
      </c>
      <c r="AH303" s="320">
        <v>0</v>
      </c>
      <c r="AI303" s="320">
        <v>0</v>
      </c>
      <c r="AJ303" s="320">
        <v>0</v>
      </c>
      <c r="AK303" s="321">
        <v>0</v>
      </c>
      <c r="AL303" s="332">
        <f t="shared" si="18"/>
        <v>2</v>
      </c>
      <c r="AM303" s="333">
        <f>0</f>
        <v>0</v>
      </c>
      <c r="AN303" s="334">
        <f t="shared" si="19"/>
        <v>2</v>
      </c>
      <c r="AO303" s="247">
        <v>45090</v>
      </c>
      <c r="AP303" s="186" t="s">
        <v>273</v>
      </c>
      <c r="AQ303" s="187" t="s">
        <v>1288</v>
      </c>
      <c r="AR303" s="187" t="s">
        <v>148</v>
      </c>
      <c r="AS303" s="188"/>
      <c r="AT303" s="188"/>
      <c r="AU303" s="189"/>
      <c r="AV303" s="189"/>
      <c r="AW303" s="189"/>
      <c r="AX303" s="190"/>
      <c r="AY303" s="191"/>
      <c r="AZ303" s="192"/>
    </row>
    <row r="304" spans="1:52" ht="28" hidden="1" customHeight="1">
      <c r="A304" s="219">
        <v>299</v>
      </c>
      <c r="B304" s="182">
        <v>45084</v>
      </c>
      <c r="C304" s="328" t="s">
        <v>134</v>
      </c>
      <c r="D304" s="328" t="s">
        <v>135</v>
      </c>
      <c r="E304" s="328" t="s">
        <v>136</v>
      </c>
      <c r="F304" s="329" t="s">
        <v>1184</v>
      </c>
      <c r="G304" s="329" t="s">
        <v>1002</v>
      </c>
      <c r="H304" s="329" t="s">
        <v>110</v>
      </c>
      <c r="I304" s="330" t="s">
        <v>1003</v>
      </c>
      <c r="J304" s="331" t="s">
        <v>1004</v>
      </c>
      <c r="K304" s="329" t="s">
        <v>80</v>
      </c>
      <c r="L304" s="329" t="s">
        <v>168</v>
      </c>
      <c r="M304" s="329" t="s">
        <v>154</v>
      </c>
      <c r="N304" s="330" t="s">
        <v>80</v>
      </c>
      <c r="O304" s="330" t="s">
        <v>149</v>
      </c>
      <c r="P304" s="177" t="s">
        <v>80</v>
      </c>
      <c r="Q304" s="177" t="s">
        <v>80</v>
      </c>
      <c r="R304" s="319">
        <f>0</f>
        <v>0</v>
      </c>
      <c r="S304" s="320">
        <v>0</v>
      </c>
      <c r="T304" s="320">
        <v>0</v>
      </c>
      <c r="U304" s="320">
        <v>0</v>
      </c>
      <c r="V304" s="320">
        <v>0</v>
      </c>
      <c r="W304" s="320">
        <v>0</v>
      </c>
      <c r="X304" s="320">
        <v>0</v>
      </c>
      <c r="Y304" s="320">
        <v>0</v>
      </c>
      <c r="Z304" s="229">
        <v>1</v>
      </c>
      <c r="AA304" s="321">
        <v>0</v>
      </c>
      <c r="AB304" s="322">
        <v>0</v>
      </c>
      <c r="AC304" s="320">
        <v>0</v>
      </c>
      <c r="AD304" s="320">
        <v>0</v>
      </c>
      <c r="AE304" s="320">
        <v>0</v>
      </c>
      <c r="AF304" s="320">
        <v>0</v>
      </c>
      <c r="AG304" s="320">
        <v>0</v>
      </c>
      <c r="AH304" s="320">
        <v>0</v>
      </c>
      <c r="AI304" s="320">
        <v>0</v>
      </c>
      <c r="AJ304" s="320">
        <v>0</v>
      </c>
      <c r="AK304" s="321">
        <v>0</v>
      </c>
      <c r="AL304" s="332">
        <f t="shared" si="18"/>
        <v>1</v>
      </c>
      <c r="AM304" s="333">
        <f>0</f>
        <v>0</v>
      </c>
      <c r="AN304" s="334">
        <f t="shared" si="19"/>
        <v>1</v>
      </c>
      <c r="AO304" s="247">
        <v>45090</v>
      </c>
      <c r="AP304" s="186" t="s">
        <v>273</v>
      </c>
      <c r="AQ304" s="187" t="s">
        <v>1288</v>
      </c>
      <c r="AR304" s="187" t="s">
        <v>148</v>
      </c>
      <c r="AS304" s="188"/>
      <c r="AT304" s="188"/>
      <c r="AU304" s="189"/>
      <c r="AV304" s="189"/>
      <c r="AW304" s="189"/>
      <c r="AX304" s="190"/>
      <c r="AY304" s="191"/>
      <c r="AZ304" s="192"/>
    </row>
    <row r="305" spans="1:52" ht="28" hidden="1" customHeight="1">
      <c r="A305" s="219">
        <v>300</v>
      </c>
      <c r="B305" s="182">
        <v>45084</v>
      </c>
      <c r="C305" s="328" t="s">
        <v>134</v>
      </c>
      <c r="D305" s="328" t="s">
        <v>135</v>
      </c>
      <c r="E305" s="328" t="s">
        <v>136</v>
      </c>
      <c r="F305" s="329" t="s">
        <v>1184</v>
      </c>
      <c r="G305" s="329" t="s">
        <v>1005</v>
      </c>
      <c r="H305" s="329" t="s">
        <v>110</v>
      </c>
      <c r="I305" s="330" t="s">
        <v>239</v>
      </c>
      <c r="J305" s="331" t="s">
        <v>1006</v>
      </c>
      <c r="K305" s="329" t="s">
        <v>80</v>
      </c>
      <c r="L305" s="329" t="s">
        <v>168</v>
      </c>
      <c r="M305" s="329" t="s">
        <v>154</v>
      </c>
      <c r="N305" s="330" t="s">
        <v>80</v>
      </c>
      <c r="O305" s="330" t="s">
        <v>149</v>
      </c>
      <c r="P305" s="177" t="s">
        <v>80</v>
      </c>
      <c r="Q305" s="177" t="s">
        <v>80</v>
      </c>
      <c r="R305" s="319">
        <f>0</f>
        <v>0</v>
      </c>
      <c r="S305" s="320">
        <v>0</v>
      </c>
      <c r="T305" s="320">
        <v>0</v>
      </c>
      <c r="U305" s="320">
        <v>0</v>
      </c>
      <c r="V305" s="320">
        <v>0</v>
      </c>
      <c r="W305" s="320">
        <v>0</v>
      </c>
      <c r="X305" s="320">
        <v>0</v>
      </c>
      <c r="Y305" s="320">
        <v>0</v>
      </c>
      <c r="Z305" s="229">
        <v>1</v>
      </c>
      <c r="AA305" s="321">
        <v>0</v>
      </c>
      <c r="AB305" s="322">
        <v>0</v>
      </c>
      <c r="AC305" s="320">
        <v>0</v>
      </c>
      <c r="AD305" s="320">
        <v>0</v>
      </c>
      <c r="AE305" s="320">
        <v>0</v>
      </c>
      <c r="AF305" s="320">
        <v>0</v>
      </c>
      <c r="AG305" s="320">
        <v>0</v>
      </c>
      <c r="AH305" s="320">
        <v>0</v>
      </c>
      <c r="AI305" s="320">
        <v>0</v>
      </c>
      <c r="AJ305" s="320">
        <v>0</v>
      </c>
      <c r="AK305" s="321">
        <v>0</v>
      </c>
      <c r="AL305" s="332">
        <f t="shared" si="18"/>
        <v>1</v>
      </c>
      <c r="AM305" s="333">
        <f>0</f>
        <v>0</v>
      </c>
      <c r="AN305" s="334">
        <f t="shared" si="19"/>
        <v>1</v>
      </c>
      <c r="AO305" s="247">
        <v>45090</v>
      </c>
      <c r="AP305" s="186" t="s">
        <v>273</v>
      </c>
      <c r="AQ305" s="187" t="s">
        <v>1288</v>
      </c>
      <c r="AR305" s="187" t="s">
        <v>148</v>
      </c>
      <c r="AS305" s="188"/>
      <c r="AT305" s="188"/>
      <c r="AU305" s="189"/>
      <c r="AV305" s="189"/>
      <c r="AW305" s="189"/>
      <c r="AX305" s="190"/>
      <c r="AY305" s="191"/>
      <c r="AZ305" s="192"/>
    </row>
    <row r="306" spans="1:52" ht="28" hidden="1" customHeight="1">
      <c r="A306" s="219">
        <v>301</v>
      </c>
      <c r="B306" s="182">
        <v>45084</v>
      </c>
      <c r="C306" s="328" t="s">
        <v>134</v>
      </c>
      <c r="D306" s="328" t="s">
        <v>135</v>
      </c>
      <c r="E306" s="328" t="s">
        <v>136</v>
      </c>
      <c r="F306" s="329" t="s">
        <v>1184</v>
      </c>
      <c r="G306" s="329" t="s">
        <v>1007</v>
      </c>
      <c r="H306" s="329" t="s">
        <v>287</v>
      </c>
      <c r="I306" s="330" t="s">
        <v>1008</v>
      </c>
      <c r="J306" s="331" t="s">
        <v>1009</v>
      </c>
      <c r="K306" s="329" t="s">
        <v>80</v>
      </c>
      <c r="L306" s="329" t="s">
        <v>168</v>
      </c>
      <c r="M306" s="329" t="s">
        <v>154</v>
      </c>
      <c r="N306" s="330" t="s">
        <v>80</v>
      </c>
      <c r="O306" s="330" t="s">
        <v>149</v>
      </c>
      <c r="P306" s="177" t="s">
        <v>80</v>
      </c>
      <c r="Q306" s="177" t="s">
        <v>80</v>
      </c>
      <c r="R306" s="319">
        <f>0</f>
        <v>0</v>
      </c>
      <c r="S306" s="320">
        <v>0</v>
      </c>
      <c r="T306" s="320">
        <v>0</v>
      </c>
      <c r="U306" s="320">
        <v>0</v>
      </c>
      <c r="V306" s="320">
        <v>0</v>
      </c>
      <c r="W306" s="320">
        <v>0</v>
      </c>
      <c r="X306" s="320">
        <v>0</v>
      </c>
      <c r="Y306" s="320">
        <v>0</v>
      </c>
      <c r="Z306" s="229">
        <v>1</v>
      </c>
      <c r="AA306" s="321">
        <v>0</v>
      </c>
      <c r="AB306" s="322">
        <v>0</v>
      </c>
      <c r="AC306" s="320">
        <v>0</v>
      </c>
      <c r="AD306" s="320">
        <v>0</v>
      </c>
      <c r="AE306" s="320">
        <v>0</v>
      </c>
      <c r="AF306" s="320">
        <v>0</v>
      </c>
      <c r="AG306" s="320">
        <v>0</v>
      </c>
      <c r="AH306" s="320">
        <v>0</v>
      </c>
      <c r="AI306" s="320">
        <v>0</v>
      </c>
      <c r="AJ306" s="320">
        <v>0</v>
      </c>
      <c r="AK306" s="321">
        <v>0</v>
      </c>
      <c r="AL306" s="332">
        <f t="shared" si="18"/>
        <v>1</v>
      </c>
      <c r="AM306" s="333">
        <f>0</f>
        <v>0</v>
      </c>
      <c r="AN306" s="334">
        <f t="shared" si="19"/>
        <v>1</v>
      </c>
      <c r="AO306" s="247">
        <v>45090</v>
      </c>
      <c r="AP306" s="186" t="s">
        <v>273</v>
      </c>
      <c r="AQ306" s="187" t="s">
        <v>1288</v>
      </c>
      <c r="AR306" s="187" t="s">
        <v>148</v>
      </c>
      <c r="AS306" s="188"/>
      <c r="AT306" s="188"/>
      <c r="AU306" s="189"/>
      <c r="AV306" s="189"/>
      <c r="AW306" s="189"/>
      <c r="AX306" s="190"/>
      <c r="AY306" s="191"/>
      <c r="AZ306" s="192"/>
    </row>
    <row r="307" spans="1:52" ht="28" customHeight="1">
      <c r="A307" s="108">
        <v>302</v>
      </c>
      <c r="B307" s="101">
        <v>45084</v>
      </c>
      <c r="C307" s="87" t="s">
        <v>134</v>
      </c>
      <c r="D307" s="87" t="s">
        <v>135</v>
      </c>
      <c r="E307" s="87" t="s">
        <v>136</v>
      </c>
      <c r="F307" s="342" t="s">
        <v>1184</v>
      </c>
      <c r="G307" s="342" t="s">
        <v>1010</v>
      </c>
      <c r="H307" s="342" t="s">
        <v>110</v>
      </c>
      <c r="I307" s="343" t="s">
        <v>1011</v>
      </c>
      <c r="J307" s="341" t="s">
        <v>1012</v>
      </c>
      <c r="K307" s="342" t="s">
        <v>80</v>
      </c>
      <c r="L307" s="342" t="s">
        <v>168</v>
      </c>
      <c r="M307" s="342" t="s">
        <v>154</v>
      </c>
      <c r="N307" s="343" t="s">
        <v>80</v>
      </c>
      <c r="O307" s="343" t="s">
        <v>149</v>
      </c>
      <c r="P307" s="177" t="s">
        <v>80</v>
      </c>
      <c r="Q307" s="177" t="s">
        <v>80</v>
      </c>
      <c r="R307" s="319">
        <f>0</f>
        <v>0</v>
      </c>
      <c r="S307" s="320">
        <v>0</v>
      </c>
      <c r="T307" s="320">
        <v>0</v>
      </c>
      <c r="U307" s="320">
        <v>0</v>
      </c>
      <c r="V307" s="320">
        <v>0</v>
      </c>
      <c r="W307" s="320">
        <v>0</v>
      </c>
      <c r="X307" s="320">
        <v>0</v>
      </c>
      <c r="Y307" s="320">
        <v>0</v>
      </c>
      <c r="Z307" s="229">
        <v>1</v>
      </c>
      <c r="AA307" s="321">
        <v>0</v>
      </c>
      <c r="AB307" s="322">
        <v>0</v>
      </c>
      <c r="AC307" s="320">
        <v>0</v>
      </c>
      <c r="AD307" s="320">
        <v>0</v>
      </c>
      <c r="AE307" s="320">
        <v>0</v>
      </c>
      <c r="AF307" s="320">
        <v>0</v>
      </c>
      <c r="AG307" s="320">
        <v>0</v>
      </c>
      <c r="AH307" s="320">
        <v>0</v>
      </c>
      <c r="AI307" s="320">
        <v>0</v>
      </c>
      <c r="AJ307" s="320">
        <v>0</v>
      </c>
      <c r="AK307" s="321">
        <v>0</v>
      </c>
      <c r="AL307" s="323">
        <f t="shared" si="18"/>
        <v>1</v>
      </c>
      <c r="AM307" s="324">
        <f>0</f>
        <v>0</v>
      </c>
      <c r="AN307" s="344">
        <f t="shared" si="19"/>
        <v>1</v>
      </c>
      <c r="AO307" s="345">
        <v>45092</v>
      </c>
      <c r="AP307" s="346" t="s">
        <v>273</v>
      </c>
      <c r="AQ307" s="347" t="s">
        <v>1291</v>
      </c>
      <c r="AR307" s="342" t="s">
        <v>1292</v>
      </c>
      <c r="AS307" s="342"/>
      <c r="AT307" s="342"/>
      <c r="AU307" s="312"/>
      <c r="AV307" s="312"/>
      <c r="AW307" s="312"/>
      <c r="AX307" s="313"/>
      <c r="AY307" s="314"/>
      <c r="AZ307" s="315"/>
    </row>
    <row r="308" spans="1:52" ht="28" customHeight="1">
      <c r="A308" s="108">
        <v>303</v>
      </c>
      <c r="B308" s="101">
        <v>45084</v>
      </c>
      <c r="C308" s="87" t="s">
        <v>134</v>
      </c>
      <c r="D308" s="87" t="s">
        <v>135</v>
      </c>
      <c r="E308" s="87" t="s">
        <v>136</v>
      </c>
      <c r="F308" s="342" t="s">
        <v>1184</v>
      </c>
      <c r="G308" s="342" t="s">
        <v>1013</v>
      </c>
      <c r="H308" s="342" t="s">
        <v>110</v>
      </c>
      <c r="I308" s="343" t="s">
        <v>1003</v>
      </c>
      <c r="J308" s="341" t="s">
        <v>1014</v>
      </c>
      <c r="K308" s="342" t="s">
        <v>80</v>
      </c>
      <c r="L308" s="342" t="s">
        <v>168</v>
      </c>
      <c r="M308" s="342" t="s">
        <v>154</v>
      </c>
      <c r="N308" s="343" t="s">
        <v>80</v>
      </c>
      <c r="O308" s="343" t="s">
        <v>149</v>
      </c>
      <c r="P308" s="177" t="s">
        <v>80</v>
      </c>
      <c r="Q308" s="177" t="s">
        <v>80</v>
      </c>
      <c r="R308" s="319">
        <f>0</f>
        <v>0</v>
      </c>
      <c r="S308" s="320">
        <v>0</v>
      </c>
      <c r="T308" s="320">
        <v>0</v>
      </c>
      <c r="U308" s="320">
        <v>0</v>
      </c>
      <c r="V308" s="320">
        <v>0</v>
      </c>
      <c r="W308" s="320">
        <v>0</v>
      </c>
      <c r="X308" s="320">
        <v>0</v>
      </c>
      <c r="Y308" s="320">
        <v>0</v>
      </c>
      <c r="Z308" s="229">
        <v>1</v>
      </c>
      <c r="AA308" s="321">
        <v>0</v>
      </c>
      <c r="AB308" s="322">
        <v>0</v>
      </c>
      <c r="AC308" s="320">
        <v>0</v>
      </c>
      <c r="AD308" s="320">
        <v>0</v>
      </c>
      <c r="AE308" s="320">
        <v>0</v>
      </c>
      <c r="AF308" s="320">
        <v>0</v>
      </c>
      <c r="AG308" s="320">
        <v>0</v>
      </c>
      <c r="AH308" s="320">
        <v>0</v>
      </c>
      <c r="AI308" s="320">
        <v>0</v>
      </c>
      <c r="AJ308" s="320">
        <v>0</v>
      </c>
      <c r="AK308" s="321">
        <v>0</v>
      </c>
      <c r="AL308" s="323">
        <f t="shared" si="18"/>
        <v>1</v>
      </c>
      <c r="AM308" s="324">
        <f>0</f>
        <v>0</v>
      </c>
      <c r="AN308" s="344">
        <f t="shared" si="19"/>
        <v>1</v>
      </c>
      <c r="AO308" s="345">
        <v>45092</v>
      </c>
      <c r="AP308" s="346" t="s">
        <v>273</v>
      </c>
      <c r="AQ308" s="347" t="s">
        <v>1291</v>
      </c>
      <c r="AR308" s="342" t="s">
        <v>1292</v>
      </c>
      <c r="AS308" s="342"/>
      <c r="AT308" s="342"/>
      <c r="AU308" s="312"/>
      <c r="AV308" s="312"/>
      <c r="AW308" s="312"/>
      <c r="AX308" s="313"/>
      <c r="AY308" s="314"/>
      <c r="AZ308" s="315"/>
    </row>
    <row r="309" spans="1:52" ht="28" hidden="1" customHeight="1">
      <c r="A309" s="219">
        <v>304</v>
      </c>
      <c r="B309" s="182">
        <v>45084</v>
      </c>
      <c r="C309" s="328" t="s">
        <v>134</v>
      </c>
      <c r="D309" s="328" t="s">
        <v>135</v>
      </c>
      <c r="E309" s="328" t="s">
        <v>136</v>
      </c>
      <c r="F309" s="329" t="s">
        <v>1184</v>
      </c>
      <c r="G309" s="329" t="s">
        <v>1015</v>
      </c>
      <c r="H309" s="329" t="s">
        <v>110</v>
      </c>
      <c r="I309" s="330" t="s">
        <v>1016</v>
      </c>
      <c r="J309" s="331" t="s">
        <v>1017</v>
      </c>
      <c r="K309" s="329" t="s">
        <v>80</v>
      </c>
      <c r="L309" s="329" t="s">
        <v>168</v>
      </c>
      <c r="M309" s="329" t="s">
        <v>154</v>
      </c>
      <c r="N309" s="330" t="s">
        <v>80</v>
      </c>
      <c r="O309" s="330" t="s">
        <v>149</v>
      </c>
      <c r="P309" s="177" t="s">
        <v>80</v>
      </c>
      <c r="Q309" s="177" t="s">
        <v>80</v>
      </c>
      <c r="R309" s="319">
        <f>0</f>
        <v>0</v>
      </c>
      <c r="S309" s="320">
        <v>0</v>
      </c>
      <c r="T309" s="320">
        <v>0</v>
      </c>
      <c r="U309" s="320">
        <v>0</v>
      </c>
      <c r="V309" s="320">
        <v>0</v>
      </c>
      <c r="W309" s="320">
        <v>0</v>
      </c>
      <c r="X309" s="320">
        <v>0</v>
      </c>
      <c r="Y309" s="320">
        <v>0</v>
      </c>
      <c r="Z309" s="229">
        <v>1</v>
      </c>
      <c r="AA309" s="321">
        <v>0</v>
      </c>
      <c r="AB309" s="322">
        <v>0</v>
      </c>
      <c r="AC309" s="320">
        <v>0</v>
      </c>
      <c r="AD309" s="320">
        <v>0</v>
      </c>
      <c r="AE309" s="320">
        <v>0</v>
      </c>
      <c r="AF309" s="320">
        <v>0</v>
      </c>
      <c r="AG309" s="320">
        <v>0</v>
      </c>
      <c r="AH309" s="320">
        <v>0</v>
      </c>
      <c r="AI309" s="320">
        <v>0</v>
      </c>
      <c r="AJ309" s="320">
        <v>0</v>
      </c>
      <c r="AK309" s="321">
        <v>0</v>
      </c>
      <c r="AL309" s="332">
        <f t="shared" si="18"/>
        <v>1</v>
      </c>
      <c r="AM309" s="333">
        <f>0</f>
        <v>0</v>
      </c>
      <c r="AN309" s="334">
        <f t="shared" si="19"/>
        <v>1</v>
      </c>
      <c r="AO309" s="247">
        <v>45090</v>
      </c>
      <c r="AP309" s="186" t="s">
        <v>273</v>
      </c>
      <c r="AQ309" s="187" t="s">
        <v>1288</v>
      </c>
      <c r="AR309" s="187" t="s">
        <v>148</v>
      </c>
      <c r="AS309" s="188"/>
      <c r="AT309" s="188"/>
      <c r="AU309" s="189"/>
      <c r="AV309" s="189"/>
      <c r="AW309" s="189"/>
      <c r="AX309" s="190"/>
      <c r="AY309" s="191"/>
      <c r="AZ309" s="192"/>
    </row>
    <row r="310" spans="1:52" ht="28" customHeight="1">
      <c r="A310" s="108">
        <v>305</v>
      </c>
      <c r="B310" s="101">
        <v>45084</v>
      </c>
      <c r="C310" s="87" t="s">
        <v>134</v>
      </c>
      <c r="D310" s="87" t="s">
        <v>135</v>
      </c>
      <c r="E310" s="87" t="s">
        <v>136</v>
      </c>
      <c r="F310" s="342" t="s">
        <v>1184</v>
      </c>
      <c r="G310" s="342" t="s">
        <v>1018</v>
      </c>
      <c r="H310" s="342" t="s">
        <v>110</v>
      </c>
      <c r="I310" s="343" t="s">
        <v>954</v>
      </c>
      <c r="J310" s="341" t="s">
        <v>1019</v>
      </c>
      <c r="K310" s="342" t="s">
        <v>80</v>
      </c>
      <c r="L310" s="342" t="s">
        <v>168</v>
      </c>
      <c r="M310" s="342" t="s">
        <v>154</v>
      </c>
      <c r="N310" s="343" t="s">
        <v>80</v>
      </c>
      <c r="O310" s="343" t="s">
        <v>149</v>
      </c>
      <c r="P310" s="177" t="s">
        <v>80</v>
      </c>
      <c r="Q310" s="177" t="s">
        <v>80</v>
      </c>
      <c r="R310" s="319">
        <f>0</f>
        <v>0</v>
      </c>
      <c r="S310" s="320">
        <v>0</v>
      </c>
      <c r="T310" s="320">
        <v>0</v>
      </c>
      <c r="U310" s="320">
        <v>0</v>
      </c>
      <c r="V310" s="320">
        <v>0</v>
      </c>
      <c r="W310" s="320">
        <v>0</v>
      </c>
      <c r="X310" s="320">
        <v>0</v>
      </c>
      <c r="Y310" s="320">
        <v>0</v>
      </c>
      <c r="Z310" s="229">
        <v>1</v>
      </c>
      <c r="AA310" s="321">
        <v>0</v>
      </c>
      <c r="AB310" s="322">
        <v>0</v>
      </c>
      <c r="AC310" s="320">
        <v>0</v>
      </c>
      <c r="AD310" s="320">
        <v>0</v>
      </c>
      <c r="AE310" s="320">
        <v>0</v>
      </c>
      <c r="AF310" s="320">
        <v>0</v>
      </c>
      <c r="AG310" s="320">
        <v>0</v>
      </c>
      <c r="AH310" s="320">
        <v>0</v>
      </c>
      <c r="AI310" s="320">
        <v>0</v>
      </c>
      <c r="AJ310" s="320">
        <v>0</v>
      </c>
      <c r="AK310" s="321">
        <v>0</v>
      </c>
      <c r="AL310" s="323">
        <f t="shared" si="18"/>
        <v>1</v>
      </c>
      <c r="AM310" s="324">
        <f>0</f>
        <v>0</v>
      </c>
      <c r="AN310" s="344">
        <f t="shared" si="19"/>
        <v>1</v>
      </c>
      <c r="AO310" s="345">
        <v>45092</v>
      </c>
      <c r="AP310" s="346" t="s">
        <v>273</v>
      </c>
      <c r="AQ310" s="347" t="s">
        <v>1291</v>
      </c>
      <c r="AR310" s="342" t="s">
        <v>1292</v>
      </c>
      <c r="AS310" s="342"/>
      <c r="AT310" s="342"/>
      <c r="AU310" s="312"/>
      <c r="AV310" s="312"/>
      <c r="AW310" s="312"/>
      <c r="AX310" s="313"/>
      <c r="AY310" s="314"/>
      <c r="AZ310" s="315"/>
    </row>
    <row r="311" spans="1:52" ht="28" hidden="1" customHeight="1">
      <c r="A311" s="108">
        <v>306</v>
      </c>
      <c r="B311" s="101">
        <v>45084</v>
      </c>
      <c r="C311" s="87" t="s">
        <v>134</v>
      </c>
      <c r="D311" s="87" t="s">
        <v>135</v>
      </c>
      <c r="E311" s="87" t="s">
        <v>136</v>
      </c>
      <c r="F311" s="316" t="s">
        <v>1184</v>
      </c>
      <c r="G311" s="316" t="s">
        <v>1020</v>
      </c>
      <c r="H311" s="316" t="s">
        <v>110</v>
      </c>
      <c r="I311" s="317" t="s">
        <v>954</v>
      </c>
      <c r="J311" s="318" t="s">
        <v>1021</v>
      </c>
      <c r="K311" s="316" t="s">
        <v>80</v>
      </c>
      <c r="L311" s="316" t="s">
        <v>168</v>
      </c>
      <c r="M311" s="316" t="s">
        <v>154</v>
      </c>
      <c r="N311" s="317" t="s">
        <v>80</v>
      </c>
      <c r="O311" s="317" t="s">
        <v>149</v>
      </c>
      <c r="P311" s="177" t="s">
        <v>80</v>
      </c>
      <c r="Q311" s="177" t="s">
        <v>80</v>
      </c>
      <c r="R311" s="319">
        <f>0</f>
        <v>0</v>
      </c>
      <c r="S311" s="320">
        <v>0</v>
      </c>
      <c r="T311" s="320">
        <v>0</v>
      </c>
      <c r="U311" s="320">
        <v>0</v>
      </c>
      <c r="V311" s="320">
        <v>0</v>
      </c>
      <c r="W311" s="320">
        <v>0</v>
      </c>
      <c r="X311" s="320">
        <v>0</v>
      </c>
      <c r="Y311" s="320">
        <v>0</v>
      </c>
      <c r="Z311" s="229">
        <v>1</v>
      </c>
      <c r="AA311" s="321">
        <v>0</v>
      </c>
      <c r="AB311" s="322">
        <v>0</v>
      </c>
      <c r="AC311" s="320">
        <v>0</v>
      </c>
      <c r="AD311" s="320">
        <v>0</v>
      </c>
      <c r="AE311" s="320">
        <v>0</v>
      </c>
      <c r="AF311" s="320">
        <v>0</v>
      </c>
      <c r="AG311" s="320">
        <v>0</v>
      </c>
      <c r="AH311" s="320">
        <v>0</v>
      </c>
      <c r="AI311" s="320">
        <v>0</v>
      </c>
      <c r="AJ311" s="320">
        <v>0</v>
      </c>
      <c r="AK311" s="321">
        <v>0</v>
      </c>
      <c r="AL311" s="323">
        <f t="shared" si="18"/>
        <v>1</v>
      </c>
      <c r="AM311" s="324">
        <f>0</f>
        <v>0</v>
      </c>
      <c r="AN311" s="325">
        <f t="shared" si="19"/>
        <v>1</v>
      </c>
      <c r="AO311" s="340">
        <v>45092</v>
      </c>
      <c r="AP311" s="338" t="s">
        <v>273</v>
      </c>
      <c r="AQ311" s="339"/>
      <c r="AR311" s="316" t="s">
        <v>148</v>
      </c>
      <c r="AS311" s="316"/>
      <c r="AT311" s="316"/>
      <c r="AU311" s="98"/>
      <c r="AV311" s="98"/>
      <c r="AW311" s="98"/>
      <c r="AX311" s="105"/>
      <c r="AY311" s="106"/>
      <c r="AZ311" s="107"/>
    </row>
    <row r="312" spans="1:52" ht="28" hidden="1" customHeight="1">
      <c r="A312" s="219">
        <v>307</v>
      </c>
      <c r="B312" s="182">
        <v>45084</v>
      </c>
      <c r="C312" s="328" t="s">
        <v>134</v>
      </c>
      <c r="D312" s="328" t="s">
        <v>135</v>
      </c>
      <c r="E312" s="328" t="s">
        <v>136</v>
      </c>
      <c r="F312" s="329" t="s">
        <v>1184</v>
      </c>
      <c r="G312" s="329" t="s">
        <v>1022</v>
      </c>
      <c r="H312" s="329" t="s">
        <v>110</v>
      </c>
      <c r="I312" s="330" t="s">
        <v>245</v>
      </c>
      <c r="J312" s="331" t="s">
        <v>1023</v>
      </c>
      <c r="K312" s="329" t="s">
        <v>80</v>
      </c>
      <c r="L312" s="329" t="s">
        <v>168</v>
      </c>
      <c r="M312" s="329" t="s">
        <v>154</v>
      </c>
      <c r="N312" s="330" t="s">
        <v>80</v>
      </c>
      <c r="O312" s="330" t="s">
        <v>149</v>
      </c>
      <c r="P312" s="177" t="s">
        <v>80</v>
      </c>
      <c r="Q312" s="177" t="s">
        <v>80</v>
      </c>
      <c r="R312" s="319">
        <f>0</f>
        <v>0</v>
      </c>
      <c r="S312" s="320">
        <v>0</v>
      </c>
      <c r="T312" s="320">
        <v>0</v>
      </c>
      <c r="U312" s="320">
        <v>0</v>
      </c>
      <c r="V312" s="320">
        <v>0</v>
      </c>
      <c r="W312" s="320">
        <v>0</v>
      </c>
      <c r="X312" s="320">
        <v>0</v>
      </c>
      <c r="Y312" s="320">
        <v>0</v>
      </c>
      <c r="Z312" s="229">
        <v>3</v>
      </c>
      <c r="AA312" s="321">
        <v>0</v>
      </c>
      <c r="AB312" s="322">
        <v>0</v>
      </c>
      <c r="AC312" s="320">
        <v>0</v>
      </c>
      <c r="AD312" s="320">
        <v>0</v>
      </c>
      <c r="AE312" s="320">
        <v>0</v>
      </c>
      <c r="AF312" s="320">
        <v>0</v>
      </c>
      <c r="AG312" s="320">
        <v>0</v>
      </c>
      <c r="AH312" s="320">
        <v>0</v>
      </c>
      <c r="AI312" s="320">
        <v>0</v>
      </c>
      <c r="AJ312" s="320">
        <v>0</v>
      </c>
      <c r="AK312" s="321">
        <v>0</v>
      </c>
      <c r="AL312" s="332">
        <f t="shared" si="18"/>
        <v>3</v>
      </c>
      <c r="AM312" s="333">
        <f>0</f>
        <v>0</v>
      </c>
      <c r="AN312" s="334">
        <f t="shared" si="19"/>
        <v>3</v>
      </c>
      <c r="AO312" s="247">
        <v>45090</v>
      </c>
      <c r="AP312" s="186" t="s">
        <v>273</v>
      </c>
      <c r="AQ312" s="187" t="s">
        <v>1288</v>
      </c>
      <c r="AR312" s="187" t="s">
        <v>148</v>
      </c>
      <c r="AS312" s="188"/>
      <c r="AT312" s="188"/>
      <c r="AU312" s="189"/>
      <c r="AV312" s="189"/>
      <c r="AW312" s="189"/>
      <c r="AX312" s="190"/>
      <c r="AY312" s="191"/>
      <c r="AZ312" s="192"/>
    </row>
    <row r="313" spans="1:52" ht="28" customHeight="1">
      <c r="A313" s="108">
        <v>308</v>
      </c>
      <c r="B313" s="101">
        <v>45084</v>
      </c>
      <c r="C313" s="87" t="s">
        <v>134</v>
      </c>
      <c r="D313" s="87" t="s">
        <v>135</v>
      </c>
      <c r="E313" s="87" t="s">
        <v>136</v>
      </c>
      <c r="F313" s="342" t="s">
        <v>1184</v>
      </c>
      <c r="G313" s="342" t="s">
        <v>1024</v>
      </c>
      <c r="H313" s="342" t="s">
        <v>110</v>
      </c>
      <c r="I313" s="343" t="s">
        <v>954</v>
      </c>
      <c r="J313" s="341" t="s">
        <v>1025</v>
      </c>
      <c r="K313" s="342" t="s">
        <v>80</v>
      </c>
      <c r="L313" s="342" t="s">
        <v>168</v>
      </c>
      <c r="M313" s="342" t="s">
        <v>154</v>
      </c>
      <c r="N313" s="343" t="s">
        <v>80</v>
      </c>
      <c r="O313" s="343" t="s">
        <v>149</v>
      </c>
      <c r="P313" s="177" t="s">
        <v>80</v>
      </c>
      <c r="Q313" s="177" t="s">
        <v>80</v>
      </c>
      <c r="R313" s="319">
        <f>0</f>
        <v>0</v>
      </c>
      <c r="S313" s="320">
        <v>0</v>
      </c>
      <c r="T313" s="320">
        <v>0</v>
      </c>
      <c r="U313" s="320">
        <v>0</v>
      </c>
      <c r="V313" s="320">
        <v>0</v>
      </c>
      <c r="W313" s="320">
        <v>0</v>
      </c>
      <c r="X313" s="320">
        <v>0</v>
      </c>
      <c r="Y313" s="320">
        <v>0</v>
      </c>
      <c r="Z313" s="229">
        <v>1</v>
      </c>
      <c r="AA313" s="321">
        <v>0</v>
      </c>
      <c r="AB313" s="322">
        <v>0</v>
      </c>
      <c r="AC313" s="320">
        <v>0</v>
      </c>
      <c r="AD313" s="320">
        <v>0</v>
      </c>
      <c r="AE313" s="320">
        <v>0</v>
      </c>
      <c r="AF313" s="320">
        <v>0</v>
      </c>
      <c r="AG313" s="320">
        <v>0</v>
      </c>
      <c r="AH313" s="320">
        <v>0</v>
      </c>
      <c r="AI313" s="320">
        <v>0</v>
      </c>
      <c r="AJ313" s="320">
        <v>0</v>
      </c>
      <c r="AK313" s="321">
        <v>0</v>
      </c>
      <c r="AL313" s="323">
        <f t="shared" si="18"/>
        <v>1</v>
      </c>
      <c r="AM313" s="324">
        <f>0</f>
        <v>0</v>
      </c>
      <c r="AN313" s="344">
        <f t="shared" si="19"/>
        <v>1</v>
      </c>
      <c r="AO313" s="345">
        <v>45092</v>
      </c>
      <c r="AP313" s="346" t="s">
        <v>273</v>
      </c>
      <c r="AQ313" s="347" t="s">
        <v>1291</v>
      </c>
      <c r="AR313" s="342" t="s">
        <v>1292</v>
      </c>
      <c r="AS313" s="342"/>
      <c r="AT313" s="342"/>
      <c r="AU313" s="312"/>
      <c r="AV313" s="312"/>
      <c r="AW313" s="312"/>
      <c r="AX313" s="313"/>
      <c r="AY313" s="314"/>
      <c r="AZ313" s="315"/>
    </row>
    <row r="314" spans="1:52" ht="28" hidden="1" customHeight="1">
      <c r="A314" s="108">
        <v>309</v>
      </c>
      <c r="B314" s="101">
        <v>45084</v>
      </c>
      <c r="C314" s="87" t="s">
        <v>134</v>
      </c>
      <c r="D314" s="87" t="s">
        <v>135</v>
      </c>
      <c r="E314" s="87" t="s">
        <v>136</v>
      </c>
      <c r="F314" s="316" t="s">
        <v>1184</v>
      </c>
      <c r="G314" s="316" t="s">
        <v>1026</v>
      </c>
      <c r="H314" s="316" t="s">
        <v>110</v>
      </c>
      <c r="I314" s="317" t="s">
        <v>954</v>
      </c>
      <c r="J314" s="318" t="s">
        <v>1027</v>
      </c>
      <c r="K314" s="316" t="s">
        <v>80</v>
      </c>
      <c r="L314" s="316" t="s">
        <v>168</v>
      </c>
      <c r="M314" s="316" t="s">
        <v>154</v>
      </c>
      <c r="N314" s="317" t="s">
        <v>80</v>
      </c>
      <c r="O314" s="317" t="s">
        <v>149</v>
      </c>
      <c r="P314" s="177" t="s">
        <v>80</v>
      </c>
      <c r="Q314" s="177" t="s">
        <v>80</v>
      </c>
      <c r="R314" s="319">
        <f>0</f>
        <v>0</v>
      </c>
      <c r="S314" s="320">
        <v>0</v>
      </c>
      <c r="T314" s="320">
        <v>0</v>
      </c>
      <c r="U314" s="320">
        <v>0</v>
      </c>
      <c r="V314" s="320">
        <v>0</v>
      </c>
      <c r="W314" s="320">
        <v>0</v>
      </c>
      <c r="X314" s="320">
        <v>0</v>
      </c>
      <c r="Y314" s="320">
        <v>0</v>
      </c>
      <c r="Z314" s="229">
        <v>1</v>
      </c>
      <c r="AA314" s="321">
        <v>0</v>
      </c>
      <c r="AB314" s="322">
        <v>0</v>
      </c>
      <c r="AC314" s="320">
        <v>0</v>
      </c>
      <c r="AD314" s="320">
        <v>0</v>
      </c>
      <c r="AE314" s="320">
        <v>0</v>
      </c>
      <c r="AF314" s="320">
        <v>0</v>
      </c>
      <c r="AG314" s="320">
        <v>0</v>
      </c>
      <c r="AH314" s="320">
        <v>0</v>
      </c>
      <c r="AI314" s="320">
        <v>0</v>
      </c>
      <c r="AJ314" s="320">
        <v>0</v>
      </c>
      <c r="AK314" s="321">
        <v>0</v>
      </c>
      <c r="AL314" s="323">
        <f t="shared" si="18"/>
        <v>1</v>
      </c>
      <c r="AM314" s="324">
        <f>0</f>
        <v>0</v>
      </c>
      <c r="AN314" s="325">
        <f t="shared" si="19"/>
        <v>1</v>
      </c>
      <c r="AO314" s="340">
        <v>45092</v>
      </c>
      <c r="AP314" s="338" t="s">
        <v>273</v>
      </c>
      <c r="AQ314" s="339"/>
      <c r="AR314" s="316" t="s">
        <v>148</v>
      </c>
      <c r="AS314" s="316"/>
      <c r="AT314" s="316"/>
      <c r="AU314" s="98"/>
      <c r="AV314" s="98"/>
      <c r="AW314" s="98"/>
      <c r="AX314" s="105"/>
      <c r="AY314" s="106"/>
      <c r="AZ314" s="107"/>
    </row>
    <row r="315" spans="1:52" ht="28" hidden="1" customHeight="1">
      <c r="A315" s="219">
        <v>310</v>
      </c>
      <c r="B315" s="182">
        <v>45084</v>
      </c>
      <c r="C315" s="328" t="s">
        <v>134</v>
      </c>
      <c r="D315" s="328" t="s">
        <v>135</v>
      </c>
      <c r="E315" s="328" t="s">
        <v>136</v>
      </c>
      <c r="F315" s="329" t="s">
        <v>1184</v>
      </c>
      <c r="G315" s="329" t="s">
        <v>1028</v>
      </c>
      <c r="H315" s="329" t="s">
        <v>110</v>
      </c>
      <c r="I315" s="330" t="s">
        <v>1029</v>
      </c>
      <c r="J315" s="331" t="s">
        <v>1030</v>
      </c>
      <c r="K315" s="329" t="s">
        <v>80</v>
      </c>
      <c r="L315" s="329" t="s">
        <v>168</v>
      </c>
      <c r="M315" s="329" t="s">
        <v>148</v>
      </c>
      <c r="N315" s="330" t="s">
        <v>214</v>
      </c>
      <c r="O315" s="330" t="s">
        <v>149</v>
      </c>
      <c r="P315" s="177" t="s">
        <v>80</v>
      </c>
      <c r="Q315" s="177" t="s">
        <v>80</v>
      </c>
      <c r="R315" s="319">
        <f>0</f>
        <v>0</v>
      </c>
      <c r="S315" s="320">
        <v>0</v>
      </c>
      <c r="T315" s="320">
        <v>0</v>
      </c>
      <c r="U315" s="320">
        <v>0</v>
      </c>
      <c r="V315" s="320">
        <v>0</v>
      </c>
      <c r="W315" s="320">
        <v>0</v>
      </c>
      <c r="X315" s="320">
        <v>0</v>
      </c>
      <c r="Y315" s="320">
        <v>0</v>
      </c>
      <c r="Z315" s="229">
        <v>4</v>
      </c>
      <c r="AA315" s="321">
        <v>0</v>
      </c>
      <c r="AB315" s="322">
        <v>0</v>
      </c>
      <c r="AC315" s="320">
        <v>0</v>
      </c>
      <c r="AD315" s="320">
        <v>0</v>
      </c>
      <c r="AE315" s="320">
        <v>0</v>
      </c>
      <c r="AF315" s="320">
        <v>0</v>
      </c>
      <c r="AG315" s="320">
        <v>0</v>
      </c>
      <c r="AH315" s="320">
        <v>0</v>
      </c>
      <c r="AI315" s="320">
        <v>0</v>
      </c>
      <c r="AJ315" s="320">
        <v>0</v>
      </c>
      <c r="AK315" s="321">
        <v>0</v>
      </c>
      <c r="AL315" s="332">
        <f t="shared" si="18"/>
        <v>4</v>
      </c>
      <c r="AM315" s="333">
        <f>0</f>
        <v>0</v>
      </c>
      <c r="AN315" s="334">
        <f t="shared" si="19"/>
        <v>4</v>
      </c>
      <c r="AO315" s="247">
        <v>45090</v>
      </c>
      <c r="AP315" s="186" t="s">
        <v>273</v>
      </c>
      <c r="AQ315" s="187" t="s">
        <v>1288</v>
      </c>
      <c r="AR315" s="187" t="s">
        <v>148</v>
      </c>
      <c r="AS315" s="188"/>
      <c r="AT315" s="188"/>
      <c r="AU315" s="189"/>
      <c r="AV315" s="189"/>
      <c r="AW315" s="189"/>
      <c r="AX315" s="190"/>
      <c r="AY315" s="191"/>
      <c r="AZ315" s="192"/>
    </row>
    <row r="316" spans="1:52" ht="28" customHeight="1">
      <c r="A316" s="108">
        <v>311</v>
      </c>
      <c r="B316" s="101">
        <v>45084</v>
      </c>
      <c r="C316" s="87" t="s">
        <v>134</v>
      </c>
      <c r="D316" s="87" t="s">
        <v>135</v>
      </c>
      <c r="E316" s="87" t="s">
        <v>136</v>
      </c>
      <c r="F316" s="342" t="s">
        <v>1184</v>
      </c>
      <c r="G316" s="342" t="s">
        <v>1031</v>
      </c>
      <c r="H316" s="342" t="s">
        <v>110</v>
      </c>
      <c r="I316" s="343" t="s">
        <v>1203</v>
      </c>
      <c r="J316" s="341" t="s">
        <v>1032</v>
      </c>
      <c r="K316" s="342" t="s">
        <v>80</v>
      </c>
      <c r="L316" s="342" t="s">
        <v>168</v>
      </c>
      <c r="M316" s="342" t="s">
        <v>154</v>
      </c>
      <c r="N316" s="343" t="s">
        <v>80</v>
      </c>
      <c r="O316" s="343" t="s">
        <v>149</v>
      </c>
      <c r="P316" s="177" t="s">
        <v>80</v>
      </c>
      <c r="Q316" s="177" t="s">
        <v>80</v>
      </c>
      <c r="R316" s="319">
        <f>0</f>
        <v>0</v>
      </c>
      <c r="S316" s="320">
        <v>0</v>
      </c>
      <c r="T316" s="320">
        <v>0</v>
      </c>
      <c r="U316" s="320">
        <v>0</v>
      </c>
      <c r="V316" s="320">
        <v>0</v>
      </c>
      <c r="W316" s="320">
        <v>0</v>
      </c>
      <c r="X316" s="320">
        <v>0</v>
      </c>
      <c r="Y316" s="320">
        <v>0</v>
      </c>
      <c r="Z316" s="229">
        <v>1</v>
      </c>
      <c r="AA316" s="321">
        <v>0</v>
      </c>
      <c r="AB316" s="322">
        <v>0</v>
      </c>
      <c r="AC316" s="320">
        <v>0</v>
      </c>
      <c r="AD316" s="320">
        <v>0</v>
      </c>
      <c r="AE316" s="320">
        <v>0</v>
      </c>
      <c r="AF316" s="320">
        <v>0</v>
      </c>
      <c r="AG316" s="320">
        <v>0</v>
      </c>
      <c r="AH316" s="320">
        <v>0</v>
      </c>
      <c r="AI316" s="320">
        <v>0</v>
      </c>
      <c r="AJ316" s="320">
        <v>0</v>
      </c>
      <c r="AK316" s="321">
        <v>0</v>
      </c>
      <c r="AL316" s="323">
        <f t="shared" si="18"/>
        <v>1</v>
      </c>
      <c r="AM316" s="324">
        <f>0</f>
        <v>0</v>
      </c>
      <c r="AN316" s="344">
        <f t="shared" si="19"/>
        <v>1</v>
      </c>
      <c r="AO316" s="345">
        <v>45092</v>
      </c>
      <c r="AP316" s="346" t="s">
        <v>273</v>
      </c>
      <c r="AQ316" s="347" t="s">
        <v>1291</v>
      </c>
      <c r="AR316" s="342" t="s">
        <v>1292</v>
      </c>
      <c r="AS316" s="342"/>
      <c r="AT316" s="342"/>
      <c r="AU316" s="312"/>
      <c r="AV316" s="312"/>
      <c r="AW316" s="312"/>
      <c r="AX316" s="313"/>
      <c r="AY316" s="314"/>
      <c r="AZ316" s="315"/>
    </row>
    <row r="317" spans="1:52" ht="28" hidden="1" customHeight="1">
      <c r="A317" s="219">
        <v>312</v>
      </c>
      <c r="B317" s="182">
        <v>45084</v>
      </c>
      <c r="C317" s="328" t="s">
        <v>134</v>
      </c>
      <c r="D317" s="328" t="s">
        <v>135</v>
      </c>
      <c r="E317" s="328" t="s">
        <v>136</v>
      </c>
      <c r="F317" s="329" t="s">
        <v>1184</v>
      </c>
      <c r="G317" s="329" t="s">
        <v>1033</v>
      </c>
      <c r="H317" s="329" t="s">
        <v>110</v>
      </c>
      <c r="I317" s="330" t="s">
        <v>146</v>
      </c>
      <c r="J317" s="331" t="s">
        <v>1034</v>
      </c>
      <c r="K317" s="329" t="s">
        <v>80</v>
      </c>
      <c r="L317" s="329" t="s">
        <v>168</v>
      </c>
      <c r="M317" s="329" t="s">
        <v>154</v>
      </c>
      <c r="N317" s="330" t="s">
        <v>80</v>
      </c>
      <c r="O317" s="330" t="s">
        <v>149</v>
      </c>
      <c r="P317" s="177" t="s">
        <v>80</v>
      </c>
      <c r="Q317" s="177" t="s">
        <v>80</v>
      </c>
      <c r="R317" s="319">
        <f>0</f>
        <v>0</v>
      </c>
      <c r="S317" s="320">
        <v>0</v>
      </c>
      <c r="T317" s="320">
        <v>0</v>
      </c>
      <c r="U317" s="320">
        <v>0</v>
      </c>
      <c r="V317" s="320">
        <v>0</v>
      </c>
      <c r="W317" s="320">
        <v>0</v>
      </c>
      <c r="X317" s="320">
        <v>0</v>
      </c>
      <c r="Y317" s="320">
        <v>0</v>
      </c>
      <c r="Z317" s="229">
        <v>1</v>
      </c>
      <c r="AA317" s="321">
        <v>0</v>
      </c>
      <c r="AB317" s="322">
        <v>0</v>
      </c>
      <c r="AC317" s="320">
        <v>0</v>
      </c>
      <c r="AD317" s="320">
        <v>0</v>
      </c>
      <c r="AE317" s="320">
        <v>0</v>
      </c>
      <c r="AF317" s="320">
        <v>0</v>
      </c>
      <c r="AG317" s="320">
        <v>0</v>
      </c>
      <c r="AH317" s="320">
        <v>0</v>
      </c>
      <c r="AI317" s="320">
        <v>0</v>
      </c>
      <c r="AJ317" s="320">
        <v>0</v>
      </c>
      <c r="AK317" s="321">
        <v>0</v>
      </c>
      <c r="AL317" s="332">
        <f t="shared" si="18"/>
        <v>1</v>
      </c>
      <c r="AM317" s="333">
        <f>0</f>
        <v>0</v>
      </c>
      <c r="AN317" s="334">
        <f t="shared" si="19"/>
        <v>1</v>
      </c>
      <c r="AO317" s="247">
        <v>45090</v>
      </c>
      <c r="AP317" s="186" t="s">
        <v>273</v>
      </c>
      <c r="AQ317" s="187" t="s">
        <v>1288</v>
      </c>
      <c r="AR317" s="187" t="s">
        <v>148</v>
      </c>
      <c r="AS317" s="188"/>
      <c r="AT317" s="188"/>
      <c r="AU317" s="189"/>
      <c r="AV317" s="189"/>
      <c r="AW317" s="189"/>
      <c r="AX317" s="190"/>
      <c r="AY317" s="191"/>
      <c r="AZ317" s="192"/>
    </row>
    <row r="318" spans="1:52" ht="28" hidden="1" customHeight="1">
      <c r="A318" s="219">
        <v>313</v>
      </c>
      <c r="B318" s="182">
        <v>45084</v>
      </c>
      <c r="C318" s="328" t="s">
        <v>134</v>
      </c>
      <c r="D318" s="328" t="s">
        <v>135</v>
      </c>
      <c r="E318" s="328" t="s">
        <v>136</v>
      </c>
      <c r="F318" s="329" t="s">
        <v>1184</v>
      </c>
      <c r="G318" s="329" t="s">
        <v>1035</v>
      </c>
      <c r="H318" s="329" t="s">
        <v>110</v>
      </c>
      <c r="I318" s="330" t="s">
        <v>1036</v>
      </c>
      <c r="J318" s="331" t="s">
        <v>1037</v>
      </c>
      <c r="K318" s="329" t="s">
        <v>80</v>
      </c>
      <c r="L318" s="329" t="s">
        <v>168</v>
      </c>
      <c r="M318" s="329" t="s">
        <v>154</v>
      </c>
      <c r="N318" s="330" t="s">
        <v>80</v>
      </c>
      <c r="O318" s="330" t="s">
        <v>149</v>
      </c>
      <c r="P318" s="177" t="s">
        <v>80</v>
      </c>
      <c r="Q318" s="177" t="s">
        <v>80</v>
      </c>
      <c r="R318" s="319">
        <f>0</f>
        <v>0</v>
      </c>
      <c r="S318" s="320">
        <v>0</v>
      </c>
      <c r="T318" s="320">
        <v>0</v>
      </c>
      <c r="U318" s="320">
        <v>0</v>
      </c>
      <c r="V318" s="320">
        <v>0</v>
      </c>
      <c r="W318" s="320">
        <v>0</v>
      </c>
      <c r="X318" s="320">
        <v>0</v>
      </c>
      <c r="Y318" s="320">
        <v>0</v>
      </c>
      <c r="Z318" s="229">
        <v>1</v>
      </c>
      <c r="AA318" s="321">
        <v>0</v>
      </c>
      <c r="AB318" s="322">
        <v>0</v>
      </c>
      <c r="AC318" s="320">
        <v>0</v>
      </c>
      <c r="AD318" s="320">
        <v>0</v>
      </c>
      <c r="AE318" s="320">
        <v>0</v>
      </c>
      <c r="AF318" s="320">
        <v>0</v>
      </c>
      <c r="AG318" s="320">
        <v>0</v>
      </c>
      <c r="AH318" s="320">
        <v>0</v>
      </c>
      <c r="AI318" s="320">
        <v>0</v>
      </c>
      <c r="AJ318" s="320">
        <v>0</v>
      </c>
      <c r="AK318" s="321">
        <v>0</v>
      </c>
      <c r="AL318" s="332">
        <f t="shared" si="18"/>
        <v>1</v>
      </c>
      <c r="AM318" s="333">
        <f>0</f>
        <v>0</v>
      </c>
      <c r="AN318" s="334">
        <f t="shared" si="19"/>
        <v>1</v>
      </c>
      <c r="AO318" s="247">
        <v>45090</v>
      </c>
      <c r="AP318" s="186" t="s">
        <v>273</v>
      </c>
      <c r="AQ318" s="187" t="s">
        <v>1288</v>
      </c>
      <c r="AR318" s="187" t="s">
        <v>148</v>
      </c>
      <c r="AS318" s="188"/>
      <c r="AT318" s="188"/>
      <c r="AU318" s="189"/>
      <c r="AV318" s="189"/>
      <c r="AW318" s="189"/>
      <c r="AX318" s="190"/>
      <c r="AY318" s="191"/>
      <c r="AZ318" s="192"/>
    </row>
    <row r="319" spans="1:52" ht="28" hidden="1" customHeight="1">
      <c r="A319" s="219">
        <v>314</v>
      </c>
      <c r="B319" s="182">
        <v>45084</v>
      </c>
      <c r="C319" s="328" t="s">
        <v>134</v>
      </c>
      <c r="D319" s="328" t="s">
        <v>135</v>
      </c>
      <c r="E319" s="328" t="s">
        <v>136</v>
      </c>
      <c r="F319" s="329" t="s">
        <v>1184</v>
      </c>
      <c r="G319" s="329" t="s">
        <v>1038</v>
      </c>
      <c r="H319" s="329" t="s">
        <v>110</v>
      </c>
      <c r="I319" s="330" t="s">
        <v>1039</v>
      </c>
      <c r="J319" s="331" t="s">
        <v>1040</v>
      </c>
      <c r="K319" s="329" t="s">
        <v>80</v>
      </c>
      <c r="L319" s="329" t="s">
        <v>168</v>
      </c>
      <c r="M319" s="329" t="s">
        <v>154</v>
      </c>
      <c r="N319" s="330" t="s">
        <v>80</v>
      </c>
      <c r="O319" s="330" t="s">
        <v>149</v>
      </c>
      <c r="P319" s="177" t="s">
        <v>80</v>
      </c>
      <c r="Q319" s="177" t="s">
        <v>80</v>
      </c>
      <c r="R319" s="319">
        <f>0</f>
        <v>0</v>
      </c>
      <c r="S319" s="320">
        <v>0</v>
      </c>
      <c r="T319" s="320">
        <v>0</v>
      </c>
      <c r="U319" s="320">
        <v>0</v>
      </c>
      <c r="V319" s="320">
        <v>0</v>
      </c>
      <c r="W319" s="320">
        <v>0</v>
      </c>
      <c r="X319" s="320">
        <v>0</v>
      </c>
      <c r="Y319" s="320">
        <v>0</v>
      </c>
      <c r="Z319" s="229">
        <v>1</v>
      </c>
      <c r="AA319" s="321">
        <v>0</v>
      </c>
      <c r="AB319" s="322">
        <v>0</v>
      </c>
      <c r="AC319" s="320">
        <v>0</v>
      </c>
      <c r="AD319" s="320">
        <v>0</v>
      </c>
      <c r="AE319" s="320">
        <v>0</v>
      </c>
      <c r="AF319" s="320">
        <v>0</v>
      </c>
      <c r="AG319" s="320">
        <v>0</v>
      </c>
      <c r="AH319" s="320">
        <v>0</v>
      </c>
      <c r="AI319" s="320">
        <v>0</v>
      </c>
      <c r="AJ319" s="320">
        <v>0</v>
      </c>
      <c r="AK319" s="321">
        <v>0</v>
      </c>
      <c r="AL319" s="332">
        <f t="shared" si="18"/>
        <v>1</v>
      </c>
      <c r="AM319" s="333">
        <f>0</f>
        <v>0</v>
      </c>
      <c r="AN319" s="334">
        <f t="shared" si="19"/>
        <v>1</v>
      </c>
      <c r="AO319" s="247">
        <v>45090</v>
      </c>
      <c r="AP319" s="186" t="s">
        <v>273</v>
      </c>
      <c r="AQ319" s="187" t="s">
        <v>1288</v>
      </c>
      <c r="AR319" s="187" t="s">
        <v>148</v>
      </c>
      <c r="AS319" s="188"/>
      <c r="AT319" s="188"/>
      <c r="AU319" s="189"/>
      <c r="AV319" s="189"/>
      <c r="AW319" s="189"/>
      <c r="AX319" s="190"/>
      <c r="AY319" s="191"/>
      <c r="AZ319" s="192"/>
    </row>
    <row r="320" spans="1:52" ht="28" hidden="1" customHeight="1">
      <c r="A320" s="219">
        <v>315</v>
      </c>
      <c r="B320" s="182">
        <v>45084</v>
      </c>
      <c r="C320" s="328" t="s">
        <v>134</v>
      </c>
      <c r="D320" s="328" t="s">
        <v>135</v>
      </c>
      <c r="E320" s="328" t="s">
        <v>136</v>
      </c>
      <c r="F320" s="329" t="s">
        <v>1184</v>
      </c>
      <c r="G320" s="329" t="s">
        <v>1041</v>
      </c>
      <c r="H320" s="329" t="s">
        <v>110</v>
      </c>
      <c r="I320" s="330" t="s">
        <v>530</v>
      </c>
      <c r="J320" s="331" t="s">
        <v>1042</v>
      </c>
      <c r="K320" s="329" t="s">
        <v>80</v>
      </c>
      <c r="L320" s="329" t="s">
        <v>168</v>
      </c>
      <c r="M320" s="329" t="s">
        <v>154</v>
      </c>
      <c r="N320" s="330" t="s">
        <v>80</v>
      </c>
      <c r="O320" s="330" t="s">
        <v>149</v>
      </c>
      <c r="P320" s="177" t="s">
        <v>80</v>
      </c>
      <c r="Q320" s="177" t="s">
        <v>80</v>
      </c>
      <c r="R320" s="319">
        <f>0</f>
        <v>0</v>
      </c>
      <c r="S320" s="320">
        <v>0</v>
      </c>
      <c r="T320" s="320">
        <v>0</v>
      </c>
      <c r="U320" s="320">
        <v>0</v>
      </c>
      <c r="V320" s="320">
        <v>0</v>
      </c>
      <c r="W320" s="320">
        <v>0</v>
      </c>
      <c r="X320" s="320">
        <v>0</v>
      </c>
      <c r="Y320" s="320">
        <v>0</v>
      </c>
      <c r="Z320" s="229">
        <v>2</v>
      </c>
      <c r="AA320" s="321">
        <v>0</v>
      </c>
      <c r="AB320" s="322">
        <v>0</v>
      </c>
      <c r="AC320" s="320">
        <v>0</v>
      </c>
      <c r="AD320" s="320">
        <v>0</v>
      </c>
      <c r="AE320" s="320">
        <v>0</v>
      </c>
      <c r="AF320" s="320">
        <v>0</v>
      </c>
      <c r="AG320" s="320">
        <v>0</v>
      </c>
      <c r="AH320" s="320">
        <v>0</v>
      </c>
      <c r="AI320" s="320">
        <v>0</v>
      </c>
      <c r="AJ320" s="320">
        <v>0</v>
      </c>
      <c r="AK320" s="321">
        <v>0</v>
      </c>
      <c r="AL320" s="332">
        <f t="shared" si="18"/>
        <v>2</v>
      </c>
      <c r="AM320" s="333">
        <f>0</f>
        <v>0</v>
      </c>
      <c r="AN320" s="334">
        <f t="shared" si="19"/>
        <v>2</v>
      </c>
      <c r="AO320" s="247">
        <v>45090</v>
      </c>
      <c r="AP320" s="186" t="s">
        <v>273</v>
      </c>
      <c r="AQ320" s="187" t="s">
        <v>1288</v>
      </c>
      <c r="AR320" s="187" t="s">
        <v>148</v>
      </c>
      <c r="AS320" s="188"/>
      <c r="AT320" s="188"/>
      <c r="AU320" s="189"/>
      <c r="AV320" s="189"/>
      <c r="AW320" s="189"/>
      <c r="AX320" s="190"/>
      <c r="AY320" s="191"/>
      <c r="AZ320" s="192"/>
    </row>
    <row r="321" spans="1:52" ht="28" hidden="1" customHeight="1">
      <c r="A321" s="219">
        <v>316</v>
      </c>
      <c r="B321" s="182">
        <v>45084</v>
      </c>
      <c r="C321" s="328" t="s">
        <v>134</v>
      </c>
      <c r="D321" s="328" t="s">
        <v>135</v>
      </c>
      <c r="E321" s="328" t="s">
        <v>136</v>
      </c>
      <c r="F321" s="329" t="s">
        <v>1184</v>
      </c>
      <c r="G321" s="329" t="s">
        <v>1043</v>
      </c>
      <c r="H321" s="329" t="s">
        <v>110</v>
      </c>
      <c r="I321" s="330" t="s">
        <v>1044</v>
      </c>
      <c r="J321" s="331" t="s">
        <v>1045</v>
      </c>
      <c r="K321" s="329" t="s">
        <v>80</v>
      </c>
      <c r="L321" s="329" t="s">
        <v>168</v>
      </c>
      <c r="M321" s="329" t="s">
        <v>154</v>
      </c>
      <c r="N321" s="330" t="s">
        <v>80</v>
      </c>
      <c r="O321" s="330" t="s">
        <v>149</v>
      </c>
      <c r="P321" s="177" t="s">
        <v>80</v>
      </c>
      <c r="Q321" s="177" t="s">
        <v>80</v>
      </c>
      <c r="R321" s="319">
        <f>0</f>
        <v>0</v>
      </c>
      <c r="S321" s="320">
        <v>0</v>
      </c>
      <c r="T321" s="320">
        <v>0</v>
      </c>
      <c r="U321" s="320">
        <v>0</v>
      </c>
      <c r="V321" s="320">
        <v>0</v>
      </c>
      <c r="W321" s="320">
        <v>0</v>
      </c>
      <c r="X321" s="320">
        <v>0</v>
      </c>
      <c r="Y321" s="320">
        <v>0</v>
      </c>
      <c r="Z321" s="229">
        <v>5</v>
      </c>
      <c r="AA321" s="321">
        <v>0</v>
      </c>
      <c r="AB321" s="322">
        <v>0</v>
      </c>
      <c r="AC321" s="320">
        <v>0</v>
      </c>
      <c r="AD321" s="320">
        <v>0</v>
      </c>
      <c r="AE321" s="320">
        <v>0</v>
      </c>
      <c r="AF321" s="320">
        <v>0</v>
      </c>
      <c r="AG321" s="320">
        <v>0</v>
      </c>
      <c r="AH321" s="320">
        <v>0</v>
      </c>
      <c r="AI321" s="320">
        <v>0</v>
      </c>
      <c r="AJ321" s="320">
        <v>0</v>
      </c>
      <c r="AK321" s="321">
        <v>0</v>
      </c>
      <c r="AL321" s="332">
        <f t="shared" si="18"/>
        <v>5</v>
      </c>
      <c r="AM321" s="333">
        <f>0</f>
        <v>0</v>
      </c>
      <c r="AN321" s="334">
        <f t="shared" si="19"/>
        <v>5</v>
      </c>
      <c r="AO321" s="247">
        <v>45090</v>
      </c>
      <c r="AP321" s="186" t="s">
        <v>273</v>
      </c>
      <c r="AQ321" s="187" t="s">
        <v>1288</v>
      </c>
      <c r="AR321" s="187" t="s">
        <v>148</v>
      </c>
      <c r="AS321" s="188"/>
      <c r="AT321" s="188"/>
      <c r="AU321" s="189"/>
      <c r="AV321" s="189"/>
      <c r="AW321" s="189"/>
      <c r="AX321" s="190"/>
      <c r="AY321" s="191"/>
      <c r="AZ321" s="192"/>
    </row>
    <row r="322" spans="1:52" ht="28" hidden="1" customHeight="1">
      <c r="A322" s="219">
        <v>317</v>
      </c>
      <c r="B322" s="182">
        <v>45084</v>
      </c>
      <c r="C322" s="328" t="s">
        <v>134</v>
      </c>
      <c r="D322" s="328" t="s">
        <v>135</v>
      </c>
      <c r="E322" s="328" t="s">
        <v>136</v>
      </c>
      <c r="F322" s="329" t="s">
        <v>1184</v>
      </c>
      <c r="G322" s="329" t="s">
        <v>1046</v>
      </c>
      <c r="H322" s="329" t="s">
        <v>110</v>
      </c>
      <c r="I322" s="330" t="s">
        <v>1044</v>
      </c>
      <c r="J322" s="331" t="s">
        <v>1047</v>
      </c>
      <c r="K322" s="329" t="s">
        <v>80</v>
      </c>
      <c r="L322" s="329" t="s">
        <v>168</v>
      </c>
      <c r="M322" s="329" t="s">
        <v>154</v>
      </c>
      <c r="N322" s="330" t="s">
        <v>80</v>
      </c>
      <c r="O322" s="330" t="s">
        <v>149</v>
      </c>
      <c r="P322" s="177" t="s">
        <v>80</v>
      </c>
      <c r="Q322" s="177" t="s">
        <v>80</v>
      </c>
      <c r="R322" s="319">
        <f>0</f>
        <v>0</v>
      </c>
      <c r="S322" s="320">
        <v>0</v>
      </c>
      <c r="T322" s="320">
        <v>0</v>
      </c>
      <c r="U322" s="320">
        <v>0</v>
      </c>
      <c r="V322" s="320">
        <v>0</v>
      </c>
      <c r="W322" s="320">
        <v>0</v>
      </c>
      <c r="X322" s="320">
        <v>0</v>
      </c>
      <c r="Y322" s="320">
        <v>0</v>
      </c>
      <c r="Z322" s="229">
        <v>2</v>
      </c>
      <c r="AA322" s="321">
        <v>0</v>
      </c>
      <c r="AB322" s="322">
        <v>0</v>
      </c>
      <c r="AC322" s="320">
        <v>0</v>
      </c>
      <c r="AD322" s="320">
        <v>0</v>
      </c>
      <c r="AE322" s="320">
        <v>0</v>
      </c>
      <c r="AF322" s="320">
        <v>0</v>
      </c>
      <c r="AG322" s="320">
        <v>0</v>
      </c>
      <c r="AH322" s="320">
        <v>0</v>
      </c>
      <c r="AI322" s="320">
        <v>0</v>
      </c>
      <c r="AJ322" s="320">
        <v>0</v>
      </c>
      <c r="AK322" s="321">
        <v>0</v>
      </c>
      <c r="AL322" s="332">
        <f t="shared" si="18"/>
        <v>2</v>
      </c>
      <c r="AM322" s="333">
        <f>0</f>
        <v>0</v>
      </c>
      <c r="AN322" s="334">
        <f t="shared" si="19"/>
        <v>2</v>
      </c>
      <c r="AO322" s="247">
        <v>45090</v>
      </c>
      <c r="AP322" s="186" t="s">
        <v>273</v>
      </c>
      <c r="AQ322" s="187" t="s">
        <v>1288</v>
      </c>
      <c r="AR322" s="187" t="s">
        <v>148</v>
      </c>
      <c r="AS322" s="188"/>
      <c r="AT322" s="188"/>
      <c r="AU322" s="189"/>
      <c r="AV322" s="189"/>
      <c r="AW322" s="189"/>
      <c r="AX322" s="190"/>
      <c r="AY322" s="191"/>
      <c r="AZ322" s="192"/>
    </row>
    <row r="323" spans="1:52" ht="28" hidden="1" customHeight="1">
      <c r="A323" s="219">
        <v>318</v>
      </c>
      <c r="B323" s="182">
        <v>45084</v>
      </c>
      <c r="C323" s="328" t="s">
        <v>134</v>
      </c>
      <c r="D323" s="328" t="s">
        <v>135</v>
      </c>
      <c r="E323" s="328" t="s">
        <v>136</v>
      </c>
      <c r="F323" s="329" t="s">
        <v>1184</v>
      </c>
      <c r="G323" s="329" t="s">
        <v>1048</v>
      </c>
      <c r="H323" s="329" t="s">
        <v>110</v>
      </c>
      <c r="I323" s="330" t="s">
        <v>1049</v>
      </c>
      <c r="J323" s="331" t="s">
        <v>1050</v>
      </c>
      <c r="K323" s="329" t="s">
        <v>80</v>
      </c>
      <c r="L323" s="329" t="s">
        <v>168</v>
      </c>
      <c r="M323" s="329" t="s">
        <v>154</v>
      </c>
      <c r="N323" s="330" t="s">
        <v>80</v>
      </c>
      <c r="O323" s="330" t="s">
        <v>149</v>
      </c>
      <c r="P323" s="177" t="s">
        <v>80</v>
      </c>
      <c r="Q323" s="177" t="s">
        <v>80</v>
      </c>
      <c r="R323" s="319">
        <f>0</f>
        <v>0</v>
      </c>
      <c r="S323" s="320">
        <v>0</v>
      </c>
      <c r="T323" s="320">
        <v>0</v>
      </c>
      <c r="U323" s="320">
        <v>0</v>
      </c>
      <c r="V323" s="320">
        <v>0</v>
      </c>
      <c r="W323" s="320">
        <v>0</v>
      </c>
      <c r="X323" s="320">
        <v>0</v>
      </c>
      <c r="Y323" s="320">
        <v>0</v>
      </c>
      <c r="Z323" s="229">
        <v>1</v>
      </c>
      <c r="AA323" s="321">
        <v>0</v>
      </c>
      <c r="AB323" s="322">
        <v>0</v>
      </c>
      <c r="AC323" s="320">
        <v>0</v>
      </c>
      <c r="AD323" s="320">
        <v>0</v>
      </c>
      <c r="AE323" s="320">
        <v>0</v>
      </c>
      <c r="AF323" s="320">
        <v>0</v>
      </c>
      <c r="AG323" s="320">
        <v>0</v>
      </c>
      <c r="AH323" s="320">
        <v>0</v>
      </c>
      <c r="AI323" s="320">
        <v>0</v>
      </c>
      <c r="AJ323" s="320">
        <v>0</v>
      </c>
      <c r="AK323" s="321">
        <v>0</v>
      </c>
      <c r="AL323" s="332">
        <f t="shared" ref="AL323:AL354" si="20">SUM(R323:AK323)</f>
        <v>1</v>
      </c>
      <c r="AM323" s="333">
        <f>0</f>
        <v>0</v>
      </c>
      <c r="AN323" s="334">
        <f t="shared" ref="AN323:AN354" si="21">AL323-AM323</f>
        <v>1</v>
      </c>
      <c r="AO323" s="247">
        <v>45090</v>
      </c>
      <c r="AP323" s="186" t="s">
        <v>273</v>
      </c>
      <c r="AQ323" s="187" t="s">
        <v>1288</v>
      </c>
      <c r="AR323" s="187" t="s">
        <v>148</v>
      </c>
      <c r="AS323" s="188"/>
      <c r="AT323" s="188"/>
      <c r="AU323" s="189"/>
      <c r="AV323" s="189"/>
      <c r="AW323" s="189"/>
      <c r="AX323" s="190"/>
      <c r="AY323" s="191"/>
      <c r="AZ323" s="192"/>
    </row>
    <row r="324" spans="1:52" ht="28" customHeight="1">
      <c r="A324" s="108">
        <v>319</v>
      </c>
      <c r="B324" s="101">
        <v>45084</v>
      </c>
      <c r="C324" s="87" t="s">
        <v>134</v>
      </c>
      <c r="D324" s="87" t="s">
        <v>135</v>
      </c>
      <c r="E324" s="87" t="s">
        <v>136</v>
      </c>
      <c r="F324" s="342" t="s">
        <v>1184</v>
      </c>
      <c r="G324" s="342" t="s">
        <v>1051</v>
      </c>
      <c r="H324" s="342" t="s">
        <v>110</v>
      </c>
      <c r="I324" s="343" t="s">
        <v>239</v>
      </c>
      <c r="J324" s="341" t="s">
        <v>1052</v>
      </c>
      <c r="K324" s="342" t="s">
        <v>80</v>
      </c>
      <c r="L324" s="342" t="s">
        <v>168</v>
      </c>
      <c r="M324" s="342" t="s">
        <v>154</v>
      </c>
      <c r="N324" s="343" t="s">
        <v>80</v>
      </c>
      <c r="O324" s="343" t="s">
        <v>149</v>
      </c>
      <c r="P324" s="177" t="s">
        <v>80</v>
      </c>
      <c r="Q324" s="177" t="s">
        <v>80</v>
      </c>
      <c r="R324" s="319">
        <f>0</f>
        <v>0</v>
      </c>
      <c r="S324" s="320">
        <v>0</v>
      </c>
      <c r="T324" s="320">
        <v>0</v>
      </c>
      <c r="U324" s="320">
        <v>0</v>
      </c>
      <c r="V324" s="320">
        <v>0</v>
      </c>
      <c r="W324" s="320">
        <v>0</v>
      </c>
      <c r="X324" s="320">
        <v>0</v>
      </c>
      <c r="Y324" s="320">
        <v>0</v>
      </c>
      <c r="Z324" s="229">
        <v>1</v>
      </c>
      <c r="AA324" s="321">
        <v>0</v>
      </c>
      <c r="AB324" s="322">
        <v>0</v>
      </c>
      <c r="AC324" s="320">
        <v>0</v>
      </c>
      <c r="AD324" s="320">
        <v>0</v>
      </c>
      <c r="AE324" s="320">
        <v>0</v>
      </c>
      <c r="AF324" s="320">
        <v>0</v>
      </c>
      <c r="AG324" s="320">
        <v>0</v>
      </c>
      <c r="AH324" s="320">
        <v>0</v>
      </c>
      <c r="AI324" s="320">
        <v>0</v>
      </c>
      <c r="AJ324" s="320">
        <v>0</v>
      </c>
      <c r="AK324" s="321">
        <v>0</v>
      </c>
      <c r="AL324" s="323">
        <f t="shared" si="20"/>
        <v>1</v>
      </c>
      <c r="AM324" s="324">
        <f>0</f>
        <v>0</v>
      </c>
      <c r="AN324" s="344">
        <f t="shared" si="21"/>
        <v>1</v>
      </c>
      <c r="AO324" s="345">
        <v>45092</v>
      </c>
      <c r="AP324" s="346" t="s">
        <v>273</v>
      </c>
      <c r="AQ324" s="347" t="s">
        <v>1291</v>
      </c>
      <c r="AR324" s="342" t="s">
        <v>1292</v>
      </c>
      <c r="AS324" s="342"/>
      <c r="AT324" s="342"/>
      <c r="AU324" s="312"/>
      <c r="AV324" s="312"/>
      <c r="AW324" s="312"/>
      <c r="AX324" s="313"/>
      <c r="AY324" s="314"/>
      <c r="AZ324" s="315"/>
    </row>
    <row r="325" spans="1:52" ht="28" hidden="1" customHeight="1">
      <c r="A325" s="219">
        <v>320</v>
      </c>
      <c r="B325" s="182">
        <v>45084</v>
      </c>
      <c r="C325" s="328" t="s">
        <v>134</v>
      </c>
      <c r="D325" s="328" t="s">
        <v>135</v>
      </c>
      <c r="E325" s="328" t="s">
        <v>136</v>
      </c>
      <c r="F325" s="329" t="s">
        <v>1184</v>
      </c>
      <c r="G325" s="329" t="s">
        <v>1053</v>
      </c>
      <c r="H325" s="329" t="s">
        <v>287</v>
      </c>
      <c r="I325" s="330" t="s">
        <v>1044</v>
      </c>
      <c r="J325" s="331" t="s">
        <v>1054</v>
      </c>
      <c r="K325" s="329" t="s">
        <v>80</v>
      </c>
      <c r="L325" s="329" t="s">
        <v>168</v>
      </c>
      <c r="M325" s="329" t="s">
        <v>154</v>
      </c>
      <c r="N325" s="330" t="s">
        <v>80</v>
      </c>
      <c r="O325" s="330" t="s">
        <v>149</v>
      </c>
      <c r="P325" s="177" t="s">
        <v>80</v>
      </c>
      <c r="Q325" s="177" t="s">
        <v>80</v>
      </c>
      <c r="R325" s="319">
        <f>0</f>
        <v>0</v>
      </c>
      <c r="S325" s="320">
        <v>0</v>
      </c>
      <c r="T325" s="320">
        <v>0</v>
      </c>
      <c r="U325" s="320">
        <v>0</v>
      </c>
      <c r="V325" s="320">
        <v>0</v>
      </c>
      <c r="W325" s="320">
        <v>0</v>
      </c>
      <c r="X325" s="320">
        <v>0</v>
      </c>
      <c r="Y325" s="320">
        <v>0</v>
      </c>
      <c r="Z325" s="229">
        <v>1</v>
      </c>
      <c r="AA325" s="321">
        <v>0</v>
      </c>
      <c r="AB325" s="322">
        <v>0</v>
      </c>
      <c r="AC325" s="320">
        <v>0</v>
      </c>
      <c r="AD325" s="320">
        <v>0</v>
      </c>
      <c r="AE325" s="320">
        <v>0</v>
      </c>
      <c r="AF325" s="320">
        <v>0</v>
      </c>
      <c r="AG325" s="320">
        <v>0</v>
      </c>
      <c r="AH325" s="320">
        <v>0</v>
      </c>
      <c r="AI325" s="320">
        <v>0</v>
      </c>
      <c r="AJ325" s="320">
        <v>0</v>
      </c>
      <c r="AK325" s="321">
        <v>0</v>
      </c>
      <c r="AL325" s="332">
        <f t="shared" si="20"/>
        <v>1</v>
      </c>
      <c r="AM325" s="333">
        <f>0</f>
        <v>0</v>
      </c>
      <c r="AN325" s="334">
        <f t="shared" si="21"/>
        <v>1</v>
      </c>
      <c r="AO325" s="247">
        <v>45090</v>
      </c>
      <c r="AP325" s="186" t="s">
        <v>273</v>
      </c>
      <c r="AQ325" s="187" t="s">
        <v>1288</v>
      </c>
      <c r="AR325" s="187" t="s">
        <v>148</v>
      </c>
      <c r="AS325" s="188"/>
      <c r="AT325" s="188"/>
      <c r="AU325" s="189"/>
      <c r="AV325" s="189"/>
      <c r="AW325" s="189"/>
      <c r="AX325" s="190"/>
      <c r="AY325" s="191"/>
      <c r="AZ325" s="192"/>
    </row>
    <row r="326" spans="1:52" ht="28" hidden="1" customHeight="1">
      <c r="A326" s="219">
        <v>321</v>
      </c>
      <c r="B326" s="182">
        <v>45084</v>
      </c>
      <c r="C326" s="328" t="s">
        <v>134</v>
      </c>
      <c r="D326" s="328" t="s">
        <v>135</v>
      </c>
      <c r="E326" s="328" t="s">
        <v>136</v>
      </c>
      <c r="F326" s="329" t="s">
        <v>1184</v>
      </c>
      <c r="G326" s="329" t="s">
        <v>1055</v>
      </c>
      <c r="H326" s="329" t="s">
        <v>110</v>
      </c>
      <c r="I326" s="330" t="s">
        <v>1003</v>
      </c>
      <c r="J326" s="331" t="s">
        <v>1056</v>
      </c>
      <c r="K326" s="329" t="s">
        <v>80</v>
      </c>
      <c r="L326" s="329" t="s">
        <v>168</v>
      </c>
      <c r="M326" s="329" t="s">
        <v>154</v>
      </c>
      <c r="N326" s="330" t="s">
        <v>80</v>
      </c>
      <c r="O326" s="330" t="s">
        <v>149</v>
      </c>
      <c r="P326" s="177" t="s">
        <v>80</v>
      </c>
      <c r="Q326" s="177" t="s">
        <v>80</v>
      </c>
      <c r="R326" s="319">
        <f>0</f>
        <v>0</v>
      </c>
      <c r="S326" s="320">
        <v>0</v>
      </c>
      <c r="T326" s="320">
        <v>0</v>
      </c>
      <c r="U326" s="320">
        <v>0</v>
      </c>
      <c r="V326" s="320">
        <v>0</v>
      </c>
      <c r="W326" s="320">
        <v>0</v>
      </c>
      <c r="X326" s="320">
        <v>0</v>
      </c>
      <c r="Y326" s="320">
        <v>0</v>
      </c>
      <c r="Z326" s="229">
        <v>1</v>
      </c>
      <c r="AA326" s="321">
        <v>0</v>
      </c>
      <c r="AB326" s="322">
        <v>0</v>
      </c>
      <c r="AC326" s="320">
        <v>0</v>
      </c>
      <c r="AD326" s="320">
        <v>0</v>
      </c>
      <c r="AE326" s="320">
        <v>0</v>
      </c>
      <c r="AF326" s="320">
        <v>0</v>
      </c>
      <c r="AG326" s="320">
        <v>0</v>
      </c>
      <c r="AH326" s="320">
        <v>0</v>
      </c>
      <c r="AI326" s="320">
        <v>0</v>
      </c>
      <c r="AJ326" s="320">
        <v>0</v>
      </c>
      <c r="AK326" s="321">
        <v>0</v>
      </c>
      <c r="AL326" s="332">
        <f t="shared" si="20"/>
        <v>1</v>
      </c>
      <c r="AM326" s="333">
        <f>0</f>
        <v>0</v>
      </c>
      <c r="AN326" s="334">
        <f t="shared" si="21"/>
        <v>1</v>
      </c>
      <c r="AO326" s="247">
        <v>45090</v>
      </c>
      <c r="AP326" s="186" t="s">
        <v>273</v>
      </c>
      <c r="AQ326" s="187" t="s">
        <v>1288</v>
      </c>
      <c r="AR326" s="187" t="s">
        <v>148</v>
      </c>
      <c r="AS326" s="188"/>
      <c r="AT326" s="188"/>
      <c r="AU326" s="189"/>
      <c r="AV326" s="189"/>
      <c r="AW326" s="189"/>
      <c r="AX326" s="190"/>
      <c r="AY326" s="191"/>
      <c r="AZ326" s="192"/>
    </row>
    <row r="327" spans="1:52" ht="28" customHeight="1">
      <c r="A327" s="108">
        <v>322</v>
      </c>
      <c r="B327" s="101">
        <v>45084</v>
      </c>
      <c r="C327" s="87" t="s">
        <v>134</v>
      </c>
      <c r="D327" s="87" t="s">
        <v>135</v>
      </c>
      <c r="E327" s="87" t="s">
        <v>136</v>
      </c>
      <c r="F327" s="342" t="s">
        <v>1184</v>
      </c>
      <c r="G327" s="342" t="s">
        <v>1057</v>
      </c>
      <c r="H327" s="342" t="s">
        <v>287</v>
      </c>
      <c r="I327" s="343" t="s">
        <v>1003</v>
      </c>
      <c r="J327" s="341" t="s">
        <v>1058</v>
      </c>
      <c r="K327" s="342" t="s">
        <v>80</v>
      </c>
      <c r="L327" s="342" t="s">
        <v>168</v>
      </c>
      <c r="M327" s="342" t="s">
        <v>154</v>
      </c>
      <c r="N327" s="343" t="s">
        <v>80</v>
      </c>
      <c r="O327" s="343" t="s">
        <v>149</v>
      </c>
      <c r="P327" s="177" t="s">
        <v>80</v>
      </c>
      <c r="Q327" s="177" t="s">
        <v>80</v>
      </c>
      <c r="R327" s="319">
        <f>0</f>
        <v>0</v>
      </c>
      <c r="S327" s="320">
        <v>0</v>
      </c>
      <c r="T327" s="320">
        <v>0</v>
      </c>
      <c r="U327" s="320">
        <v>0</v>
      </c>
      <c r="V327" s="320">
        <v>0</v>
      </c>
      <c r="W327" s="320">
        <v>0</v>
      </c>
      <c r="X327" s="320">
        <v>0</v>
      </c>
      <c r="Y327" s="320">
        <v>0</v>
      </c>
      <c r="Z327" s="229">
        <v>1</v>
      </c>
      <c r="AA327" s="321">
        <v>0</v>
      </c>
      <c r="AB327" s="322">
        <v>0</v>
      </c>
      <c r="AC327" s="320">
        <v>0</v>
      </c>
      <c r="AD327" s="320">
        <v>0</v>
      </c>
      <c r="AE327" s="320">
        <v>0</v>
      </c>
      <c r="AF327" s="320">
        <v>0</v>
      </c>
      <c r="AG327" s="320">
        <v>0</v>
      </c>
      <c r="AH327" s="320">
        <v>0</v>
      </c>
      <c r="AI327" s="320">
        <v>0</v>
      </c>
      <c r="AJ327" s="320">
        <v>0</v>
      </c>
      <c r="AK327" s="321">
        <v>0</v>
      </c>
      <c r="AL327" s="323">
        <f t="shared" si="20"/>
        <v>1</v>
      </c>
      <c r="AM327" s="324">
        <f>0</f>
        <v>0</v>
      </c>
      <c r="AN327" s="344">
        <f t="shared" si="21"/>
        <v>1</v>
      </c>
      <c r="AO327" s="345">
        <v>45092</v>
      </c>
      <c r="AP327" s="346" t="s">
        <v>273</v>
      </c>
      <c r="AQ327" s="347" t="s">
        <v>1291</v>
      </c>
      <c r="AR327" s="342" t="s">
        <v>1292</v>
      </c>
      <c r="AS327" s="342"/>
      <c r="AT327" s="342"/>
      <c r="AU327" s="312"/>
      <c r="AV327" s="312"/>
      <c r="AW327" s="312"/>
      <c r="AX327" s="313"/>
      <c r="AY327" s="314"/>
      <c r="AZ327" s="315"/>
    </row>
    <row r="328" spans="1:52" ht="28" hidden="1" customHeight="1">
      <c r="A328" s="219">
        <v>323</v>
      </c>
      <c r="B328" s="182">
        <v>45084</v>
      </c>
      <c r="C328" s="328" t="s">
        <v>134</v>
      </c>
      <c r="D328" s="328" t="s">
        <v>135</v>
      </c>
      <c r="E328" s="328" t="s">
        <v>136</v>
      </c>
      <c r="F328" s="329" t="s">
        <v>1184</v>
      </c>
      <c r="G328" s="329" t="s">
        <v>1059</v>
      </c>
      <c r="H328" s="329" t="s">
        <v>110</v>
      </c>
      <c r="I328" s="330" t="s">
        <v>1060</v>
      </c>
      <c r="J328" s="331" t="s">
        <v>1061</v>
      </c>
      <c r="K328" s="329"/>
      <c r="L328" s="329" t="s">
        <v>168</v>
      </c>
      <c r="M328" s="329" t="s">
        <v>154</v>
      </c>
      <c r="N328" s="330" t="s">
        <v>80</v>
      </c>
      <c r="O328" s="330" t="s">
        <v>149</v>
      </c>
      <c r="P328" s="177" t="s">
        <v>80</v>
      </c>
      <c r="Q328" s="177" t="s">
        <v>80</v>
      </c>
      <c r="R328" s="319">
        <f>0</f>
        <v>0</v>
      </c>
      <c r="S328" s="320">
        <v>0</v>
      </c>
      <c r="T328" s="320">
        <v>0</v>
      </c>
      <c r="U328" s="320">
        <v>0</v>
      </c>
      <c r="V328" s="320">
        <v>0</v>
      </c>
      <c r="W328" s="320">
        <v>0</v>
      </c>
      <c r="X328" s="320">
        <v>0</v>
      </c>
      <c r="Y328" s="320">
        <v>0</v>
      </c>
      <c r="Z328" s="229">
        <v>1</v>
      </c>
      <c r="AA328" s="321">
        <v>0</v>
      </c>
      <c r="AB328" s="322">
        <v>0</v>
      </c>
      <c r="AC328" s="320">
        <v>0</v>
      </c>
      <c r="AD328" s="320">
        <v>0</v>
      </c>
      <c r="AE328" s="320">
        <v>0</v>
      </c>
      <c r="AF328" s="320">
        <v>0</v>
      </c>
      <c r="AG328" s="320">
        <v>0</v>
      </c>
      <c r="AH328" s="320">
        <v>0</v>
      </c>
      <c r="AI328" s="320">
        <v>0</v>
      </c>
      <c r="AJ328" s="320">
        <v>0</v>
      </c>
      <c r="AK328" s="321">
        <v>0</v>
      </c>
      <c r="AL328" s="332">
        <f t="shared" si="20"/>
        <v>1</v>
      </c>
      <c r="AM328" s="333">
        <f>0</f>
        <v>0</v>
      </c>
      <c r="AN328" s="334">
        <f t="shared" si="21"/>
        <v>1</v>
      </c>
      <c r="AO328" s="247">
        <v>45090</v>
      </c>
      <c r="AP328" s="186" t="s">
        <v>273</v>
      </c>
      <c r="AQ328" s="187" t="s">
        <v>1288</v>
      </c>
      <c r="AR328" s="187" t="s">
        <v>148</v>
      </c>
      <c r="AS328" s="188"/>
      <c r="AT328" s="188"/>
      <c r="AU328" s="189"/>
      <c r="AV328" s="189"/>
      <c r="AW328" s="189"/>
      <c r="AX328" s="190"/>
      <c r="AY328" s="191"/>
      <c r="AZ328" s="192"/>
    </row>
    <row r="329" spans="1:52" ht="28" hidden="1" customHeight="1">
      <c r="A329" s="108">
        <v>324</v>
      </c>
      <c r="B329" s="101">
        <v>45084</v>
      </c>
      <c r="C329" s="87" t="s">
        <v>134</v>
      </c>
      <c r="D329" s="87" t="s">
        <v>135</v>
      </c>
      <c r="E329" s="87" t="s">
        <v>136</v>
      </c>
      <c r="F329" s="316" t="s">
        <v>1184</v>
      </c>
      <c r="G329" s="316" t="s">
        <v>1062</v>
      </c>
      <c r="H329" s="316" t="s">
        <v>110</v>
      </c>
      <c r="I329" s="317" t="s">
        <v>1063</v>
      </c>
      <c r="J329" s="318" t="s">
        <v>1064</v>
      </c>
      <c r="K329" s="316" t="s">
        <v>80</v>
      </c>
      <c r="L329" s="316" t="s">
        <v>168</v>
      </c>
      <c r="M329" s="316" t="s">
        <v>154</v>
      </c>
      <c r="N329" s="317" t="s">
        <v>80</v>
      </c>
      <c r="O329" s="317" t="s">
        <v>149</v>
      </c>
      <c r="P329" s="177" t="s">
        <v>80</v>
      </c>
      <c r="Q329" s="177" t="s">
        <v>80</v>
      </c>
      <c r="R329" s="319">
        <f>0</f>
        <v>0</v>
      </c>
      <c r="S329" s="320">
        <v>0</v>
      </c>
      <c r="T329" s="320">
        <v>0</v>
      </c>
      <c r="U329" s="320">
        <v>0</v>
      </c>
      <c r="V329" s="320">
        <v>0</v>
      </c>
      <c r="W329" s="320">
        <v>0</v>
      </c>
      <c r="X329" s="320">
        <v>0</v>
      </c>
      <c r="Y329" s="320">
        <v>0</v>
      </c>
      <c r="Z329" s="229">
        <v>1</v>
      </c>
      <c r="AA329" s="321">
        <v>0</v>
      </c>
      <c r="AB329" s="322">
        <v>0</v>
      </c>
      <c r="AC329" s="320">
        <v>0</v>
      </c>
      <c r="AD329" s="320">
        <v>0</v>
      </c>
      <c r="AE329" s="320">
        <v>0</v>
      </c>
      <c r="AF329" s="320">
        <v>0</v>
      </c>
      <c r="AG329" s="320">
        <v>0</v>
      </c>
      <c r="AH329" s="320">
        <v>0</v>
      </c>
      <c r="AI329" s="320">
        <v>0</v>
      </c>
      <c r="AJ329" s="320">
        <v>0</v>
      </c>
      <c r="AK329" s="321">
        <v>0</v>
      </c>
      <c r="AL329" s="323">
        <f t="shared" si="20"/>
        <v>1</v>
      </c>
      <c r="AM329" s="324">
        <f>0</f>
        <v>0</v>
      </c>
      <c r="AN329" s="325">
        <f t="shared" si="21"/>
        <v>1</v>
      </c>
      <c r="AO329" s="340">
        <v>45092</v>
      </c>
      <c r="AP329" s="338" t="s">
        <v>273</v>
      </c>
      <c r="AQ329" s="339"/>
      <c r="AR329" s="316" t="s">
        <v>148</v>
      </c>
      <c r="AS329" s="316"/>
      <c r="AT329" s="316"/>
      <c r="AU329" s="98"/>
      <c r="AV329" s="98"/>
      <c r="AW329" s="98"/>
      <c r="AX329" s="105"/>
      <c r="AY329" s="106"/>
      <c r="AZ329" s="107"/>
    </row>
    <row r="330" spans="1:52" ht="28" customHeight="1">
      <c r="A330" s="108">
        <v>325</v>
      </c>
      <c r="B330" s="101">
        <v>45084</v>
      </c>
      <c r="C330" s="87" t="s">
        <v>134</v>
      </c>
      <c r="D330" s="87" t="s">
        <v>135</v>
      </c>
      <c r="E330" s="87" t="s">
        <v>136</v>
      </c>
      <c r="F330" s="342" t="s">
        <v>1184</v>
      </c>
      <c r="G330" s="342" t="s">
        <v>1065</v>
      </c>
      <c r="H330" s="342" t="s">
        <v>110</v>
      </c>
      <c r="I330" s="343" t="s">
        <v>1066</v>
      </c>
      <c r="J330" s="341" t="s">
        <v>1067</v>
      </c>
      <c r="K330" s="342" t="s">
        <v>80</v>
      </c>
      <c r="L330" s="342" t="s">
        <v>507</v>
      </c>
      <c r="M330" s="342" t="s">
        <v>481</v>
      </c>
      <c r="N330" s="343" t="s">
        <v>212</v>
      </c>
      <c r="O330" s="343" t="s">
        <v>149</v>
      </c>
      <c r="P330" s="177" t="s">
        <v>80</v>
      </c>
      <c r="Q330" s="177" t="s">
        <v>80</v>
      </c>
      <c r="R330" s="319">
        <f>0</f>
        <v>0</v>
      </c>
      <c r="S330" s="320">
        <v>0</v>
      </c>
      <c r="T330" s="320">
        <v>0</v>
      </c>
      <c r="U330" s="320">
        <v>0</v>
      </c>
      <c r="V330" s="320">
        <v>0</v>
      </c>
      <c r="W330" s="320">
        <v>0</v>
      </c>
      <c r="X330" s="320">
        <v>0</v>
      </c>
      <c r="Y330" s="320">
        <v>0</v>
      </c>
      <c r="Z330" s="229">
        <v>1</v>
      </c>
      <c r="AA330" s="321">
        <v>0</v>
      </c>
      <c r="AB330" s="322">
        <v>0</v>
      </c>
      <c r="AC330" s="320">
        <v>0</v>
      </c>
      <c r="AD330" s="320">
        <v>0</v>
      </c>
      <c r="AE330" s="320">
        <v>0</v>
      </c>
      <c r="AF330" s="320">
        <v>0</v>
      </c>
      <c r="AG330" s="320">
        <v>0</v>
      </c>
      <c r="AH330" s="320">
        <v>0</v>
      </c>
      <c r="AI330" s="320">
        <v>0</v>
      </c>
      <c r="AJ330" s="320">
        <v>0</v>
      </c>
      <c r="AK330" s="321">
        <v>0</v>
      </c>
      <c r="AL330" s="323">
        <f t="shared" si="20"/>
        <v>1</v>
      </c>
      <c r="AM330" s="324">
        <f>0</f>
        <v>0</v>
      </c>
      <c r="AN330" s="344">
        <f t="shared" si="21"/>
        <v>1</v>
      </c>
      <c r="AO330" s="345">
        <v>45092</v>
      </c>
      <c r="AP330" s="346" t="s">
        <v>273</v>
      </c>
      <c r="AQ330" s="347" t="s">
        <v>1294</v>
      </c>
      <c r="AR330" s="342" t="s">
        <v>1292</v>
      </c>
      <c r="AS330" s="342"/>
      <c r="AT330" s="342"/>
      <c r="AU330" s="312"/>
      <c r="AV330" s="312"/>
      <c r="AW330" s="312"/>
      <c r="AX330" s="313"/>
      <c r="AY330" s="314"/>
      <c r="AZ330" s="315"/>
    </row>
    <row r="331" spans="1:52" ht="28" customHeight="1">
      <c r="A331" s="108">
        <v>326</v>
      </c>
      <c r="B331" s="101">
        <v>45084</v>
      </c>
      <c r="C331" s="87" t="s">
        <v>134</v>
      </c>
      <c r="D331" s="87" t="s">
        <v>135</v>
      </c>
      <c r="E331" s="87" t="s">
        <v>136</v>
      </c>
      <c r="F331" s="342" t="s">
        <v>1184</v>
      </c>
      <c r="G331" s="342" t="s">
        <v>1068</v>
      </c>
      <c r="H331" s="342" t="s">
        <v>287</v>
      </c>
      <c r="I331" s="343" t="s">
        <v>1069</v>
      </c>
      <c r="J331" s="341" t="s">
        <v>1070</v>
      </c>
      <c r="K331" s="342" t="s">
        <v>80</v>
      </c>
      <c r="L331" s="342" t="s">
        <v>507</v>
      </c>
      <c r="M331" s="342" t="s">
        <v>154</v>
      </c>
      <c r="N331" s="343" t="s">
        <v>212</v>
      </c>
      <c r="O331" s="343" t="s">
        <v>149</v>
      </c>
      <c r="P331" s="177" t="s">
        <v>80</v>
      </c>
      <c r="Q331" s="177" t="s">
        <v>80</v>
      </c>
      <c r="R331" s="319">
        <f>0</f>
        <v>0</v>
      </c>
      <c r="S331" s="320">
        <v>0</v>
      </c>
      <c r="T331" s="320">
        <v>0</v>
      </c>
      <c r="U331" s="320">
        <v>0</v>
      </c>
      <c r="V331" s="320">
        <v>0</v>
      </c>
      <c r="W331" s="320">
        <v>0</v>
      </c>
      <c r="X331" s="320">
        <v>0</v>
      </c>
      <c r="Y331" s="320">
        <v>0</v>
      </c>
      <c r="Z331" s="229">
        <v>1</v>
      </c>
      <c r="AA331" s="321">
        <v>0</v>
      </c>
      <c r="AB331" s="322">
        <v>0</v>
      </c>
      <c r="AC331" s="320">
        <v>0</v>
      </c>
      <c r="AD331" s="320">
        <v>0</v>
      </c>
      <c r="AE331" s="320">
        <v>0</v>
      </c>
      <c r="AF331" s="320">
        <v>0</v>
      </c>
      <c r="AG331" s="320">
        <v>0</v>
      </c>
      <c r="AH331" s="320">
        <v>0</v>
      </c>
      <c r="AI331" s="320">
        <v>0</v>
      </c>
      <c r="AJ331" s="320">
        <v>0</v>
      </c>
      <c r="AK331" s="321">
        <v>0</v>
      </c>
      <c r="AL331" s="323">
        <f t="shared" si="20"/>
        <v>1</v>
      </c>
      <c r="AM331" s="324">
        <f>0</f>
        <v>0</v>
      </c>
      <c r="AN331" s="344">
        <f t="shared" si="21"/>
        <v>1</v>
      </c>
      <c r="AO331" s="345">
        <v>45092</v>
      </c>
      <c r="AP331" s="346" t="s">
        <v>273</v>
      </c>
      <c r="AQ331" s="347" t="s">
        <v>1294</v>
      </c>
      <c r="AR331" s="342" t="s">
        <v>1292</v>
      </c>
      <c r="AS331" s="342"/>
      <c r="AT331" s="342"/>
      <c r="AU331" s="312"/>
      <c r="AV331" s="312"/>
      <c r="AW331" s="312"/>
      <c r="AX331" s="313"/>
      <c r="AY331" s="314"/>
      <c r="AZ331" s="315"/>
    </row>
    <row r="332" spans="1:52" ht="28" customHeight="1">
      <c r="A332" s="108">
        <v>327</v>
      </c>
      <c r="B332" s="101">
        <v>45084</v>
      </c>
      <c r="C332" s="87" t="s">
        <v>134</v>
      </c>
      <c r="D332" s="87" t="s">
        <v>135</v>
      </c>
      <c r="E332" s="87" t="s">
        <v>136</v>
      </c>
      <c r="F332" s="342" t="s">
        <v>1184</v>
      </c>
      <c r="G332" s="342" t="s">
        <v>1071</v>
      </c>
      <c r="H332" s="342" t="s">
        <v>110</v>
      </c>
      <c r="I332" s="343" t="s">
        <v>1072</v>
      </c>
      <c r="J332" s="341" t="s">
        <v>1073</v>
      </c>
      <c r="K332" s="342" t="s">
        <v>80</v>
      </c>
      <c r="L332" s="342" t="s">
        <v>507</v>
      </c>
      <c r="M332" s="342" t="s">
        <v>154</v>
      </c>
      <c r="N332" s="343" t="s">
        <v>573</v>
      </c>
      <c r="O332" s="343" t="s">
        <v>149</v>
      </c>
      <c r="P332" s="177" t="s">
        <v>80</v>
      </c>
      <c r="Q332" s="177" t="s">
        <v>80</v>
      </c>
      <c r="R332" s="319">
        <f>0</f>
        <v>0</v>
      </c>
      <c r="S332" s="320">
        <v>0</v>
      </c>
      <c r="T332" s="320">
        <v>0</v>
      </c>
      <c r="U332" s="320">
        <v>0</v>
      </c>
      <c r="V332" s="320">
        <v>0</v>
      </c>
      <c r="W332" s="320">
        <v>0</v>
      </c>
      <c r="X332" s="320">
        <v>0</v>
      </c>
      <c r="Y332" s="320">
        <v>0</v>
      </c>
      <c r="Z332" s="229">
        <v>1</v>
      </c>
      <c r="AA332" s="321">
        <v>0</v>
      </c>
      <c r="AB332" s="322">
        <v>0</v>
      </c>
      <c r="AC332" s="320">
        <v>0</v>
      </c>
      <c r="AD332" s="320">
        <v>0</v>
      </c>
      <c r="AE332" s="320">
        <v>0</v>
      </c>
      <c r="AF332" s="320">
        <v>0</v>
      </c>
      <c r="AG332" s="320">
        <v>0</v>
      </c>
      <c r="AH332" s="320">
        <v>0</v>
      </c>
      <c r="AI332" s="320">
        <v>0</v>
      </c>
      <c r="AJ332" s="320">
        <v>0</v>
      </c>
      <c r="AK332" s="321">
        <v>0</v>
      </c>
      <c r="AL332" s="323">
        <f t="shared" si="20"/>
        <v>1</v>
      </c>
      <c r="AM332" s="324">
        <f>0</f>
        <v>0</v>
      </c>
      <c r="AN332" s="344">
        <f t="shared" si="21"/>
        <v>1</v>
      </c>
      <c r="AO332" s="345">
        <v>45092</v>
      </c>
      <c r="AP332" s="346" t="s">
        <v>273</v>
      </c>
      <c r="AQ332" s="347" t="s">
        <v>1294</v>
      </c>
      <c r="AR332" s="342" t="s">
        <v>1292</v>
      </c>
      <c r="AS332" s="342"/>
      <c r="AT332" s="342"/>
      <c r="AU332" s="312"/>
      <c r="AV332" s="312"/>
      <c r="AW332" s="312"/>
      <c r="AX332" s="313"/>
      <c r="AY332" s="314"/>
      <c r="AZ332" s="315"/>
    </row>
    <row r="333" spans="1:52" ht="28" customHeight="1">
      <c r="A333" s="108">
        <v>328</v>
      </c>
      <c r="B333" s="101">
        <v>45084</v>
      </c>
      <c r="C333" s="87" t="s">
        <v>134</v>
      </c>
      <c r="D333" s="87" t="s">
        <v>135</v>
      </c>
      <c r="E333" s="87" t="s">
        <v>136</v>
      </c>
      <c r="F333" s="342" t="s">
        <v>1184</v>
      </c>
      <c r="G333" s="342" t="s">
        <v>1074</v>
      </c>
      <c r="H333" s="342" t="s">
        <v>110</v>
      </c>
      <c r="I333" s="343" t="s">
        <v>1075</v>
      </c>
      <c r="J333" s="341" t="s">
        <v>1076</v>
      </c>
      <c r="K333" s="342" t="s">
        <v>80</v>
      </c>
      <c r="L333" s="342" t="s">
        <v>507</v>
      </c>
      <c r="M333" s="342" t="s">
        <v>481</v>
      </c>
      <c r="N333" s="343" t="s">
        <v>212</v>
      </c>
      <c r="O333" s="343" t="s">
        <v>149</v>
      </c>
      <c r="P333" s="177" t="s">
        <v>80</v>
      </c>
      <c r="Q333" s="177" t="s">
        <v>80</v>
      </c>
      <c r="R333" s="319">
        <f>0</f>
        <v>0</v>
      </c>
      <c r="S333" s="320">
        <v>0</v>
      </c>
      <c r="T333" s="320">
        <v>0</v>
      </c>
      <c r="U333" s="320">
        <v>0</v>
      </c>
      <c r="V333" s="320">
        <v>0</v>
      </c>
      <c r="W333" s="320">
        <v>0</v>
      </c>
      <c r="X333" s="320">
        <v>0</v>
      </c>
      <c r="Y333" s="320">
        <v>0</v>
      </c>
      <c r="Z333" s="229">
        <v>1</v>
      </c>
      <c r="AA333" s="321">
        <v>0</v>
      </c>
      <c r="AB333" s="322">
        <v>0</v>
      </c>
      <c r="AC333" s="320">
        <v>0</v>
      </c>
      <c r="AD333" s="320">
        <v>0</v>
      </c>
      <c r="AE333" s="320">
        <v>0</v>
      </c>
      <c r="AF333" s="320">
        <v>0</v>
      </c>
      <c r="AG333" s="320">
        <v>0</v>
      </c>
      <c r="AH333" s="320">
        <v>0</v>
      </c>
      <c r="AI333" s="320">
        <v>0</v>
      </c>
      <c r="AJ333" s="320">
        <v>0</v>
      </c>
      <c r="AK333" s="321">
        <v>0</v>
      </c>
      <c r="AL333" s="323">
        <f t="shared" si="20"/>
        <v>1</v>
      </c>
      <c r="AM333" s="324">
        <f>0</f>
        <v>0</v>
      </c>
      <c r="AN333" s="344">
        <f t="shared" si="21"/>
        <v>1</v>
      </c>
      <c r="AO333" s="345">
        <v>45092</v>
      </c>
      <c r="AP333" s="346" t="s">
        <v>273</v>
      </c>
      <c r="AQ333" s="347" t="s">
        <v>1294</v>
      </c>
      <c r="AR333" s="342" t="s">
        <v>1292</v>
      </c>
      <c r="AS333" s="342"/>
      <c r="AT333" s="342"/>
      <c r="AU333" s="312"/>
      <c r="AV333" s="312"/>
      <c r="AW333" s="312"/>
      <c r="AX333" s="313"/>
      <c r="AY333" s="314"/>
      <c r="AZ333" s="315"/>
    </row>
    <row r="334" spans="1:52" ht="28" customHeight="1">
      <c r="A334" s="108">
        <v>329</v>
      </c>
      <c r="B334" s="101">
        <v>45084</v>
      </c>
      <c r="C334" s="87" t="s">
        <v>134</v>
      </c>
      <c r="D334" s="87" t="s">
        <v>135</v>
      </c>
      <c r="E334" s="87" t="s">
        <v>136</v>
      </c>
      <c r="F334" s="342" t="s">
        <v>1184</v>
      </c>
      <c r="G334" s="342" t="s">
        <v>1077</v>
      </c>
      <c r="H334" s="342" t="s">
        <v>110</v>
      </c>
      <c r="I334" s="343" t="s">
        <v>1078</v>
      </c>
      <c r="J334" s="341" t="s">
        <v>1079</v>
      </c>
      <c r="K334" s="342" t="s">
        <v>80</v>
      </c>
      <c r="L334" s="342" t="s">
        <v>507</v>
      </c>
      <c r="M334" s="342" t="s">
        <v>154</v>
      </c>
      <c r="N334" s="343" t="s">
        <v>212</v>
      </c>
      <c r="O334" s="343" t="s">
        <v>149</v>
      </c>
      <c r="P334" s="177" t="s">
        <v>80</v>
      </c>
      <c r="Q334" s="177" t="s">
        <v>80</v>
      </c>
      <c r="R334" s="319">
        <f>0</f>
        <v>0</v>
      </c>
      <c r="S334" s="320">
        <v>0</v>
      </c>
      <c r="T334" s="320">
        <v>0</v>
      </c>
      <c r="U334" s="320">
        <v>0</v>
      </c>
      <c r="V334" s="320">
        <v>0</v>
      </c>
      <c r="W334" s="320">
        <v>0</v>
      </c>
      <c r="X334" s="320">
        <v>0</v>
      </c>
      <c r="Y334" s="320">
        <v>0</v>
      </c>
      <c r="Z334" s="229">
        <v>1</v>
      </c>
      <c r="AA334" s="321">
        <v>0</v>
      </c>
      <c r="AB334" s="322">
        <v>0</v>
      </c>
      <c r="AC334" s="320">
        <v>0</v>
      </c>
      <c r="AD334" s="320">
        <v>0</v>
      </c>
      <c r="AE334" s="320">
        <v>0</v>
      </c>
      <c r="AF334" s="320">
        <v>0</v>
      </c>
      <c r="AG334" s="320">
        <v>0</v>
      </c>
      <c r="AH334" s="320">
        <v>0</v>
      </c>
      <c r="AI334" s="320">
        <v>0</v>
      </c>
      <c r="AJ334" s="320">
        <v>0</v>
      </c>
      <c r="AK334" s="321">
        <v>0</v>
      </c>
      <c r="AL334" s="323">
        <f t="shared" si="20"/>
        <v>1</v>
      </c>
      <c r="AM334" s="324">
        <f>0</f>
        <v>0</v>
      </c>
      <c r="AN334" s="344">
        <f t="shared" si="21"/>
        <v>1</v>
      </c>
      <c r="AO334" s="345">
        <v>45092</v>
      </c>
      <c r="AP334" s="346" t="s">
        <v>273</v>
      </c>
      <c r="AQ334" s="347" t="s">
        <v>1294</v>
      </c>
      <c r="AR334" s="342" t="s">
        <v>1292</v>
      </c>
      <c r="AS334" s="342"/>
      <c r="AT334" s="342"/>
      <c r="AU334" s="312"/>
      <c r="AV334" s="312"/>
      <c r="AW334" s="312"/>
      <c r="AX334" s="313"/>
      <c r="AY334" s="314"/>
      <c r="AZ334" s="315"/>
    </row>
    <row r="335" spans="1:52" ht="28" hidden="1" customHeight="1">
      <c r="A335" s="219">
        <v>330</v>
      </c>
      <c r="B335" s="182">
        <v>45084</v>
      </c>
      <c r="C335" s="328" t="s">
        <v>134</v>
      </c>
      <c r="D335" s="328" t="s">
        <v>135</v>
      </c>
      <c r="E335" s="328" t="s">
        <v>136</v>
      </c>
      <c r="F335" s="329" t="s">
        <v>1184</v>
      </c>
      <c r="G335" s="329" t="s">
        <v>1080</v>
      </c>
      <c r="H335" s="329" t="s">
        <v>110</v>
      </c>
      <c r="I335" s="330" t="s">
        <v>1081</v>
      </c>
      <c r="J335" s="331" t="s">
        <v>1082</v>
      </c>
      <c r="K335" s="329"/>
      <c r="L335" s="329" t="s">
        <v>1204</v>
      </c>
      <c r="M335" s="329" t="s">
        <v>154</v>
      </c>
      <c r="N335" s="330" t="s">
        <v>1205</v>
      </c>
      <c r="O335" s="330" t="s">
        <v>149</v>
      </c>
      <c r="P335" s="177" t="s">
        <v>80</v>
      </c>
      <c r="Q335" s="177" t="s">
        <v>80</v>
      </c>
      <c r="R335" s="319">
        <f>0</f>
        <v>0</v>
      </c>
      <c r="S335" s="320">
        <v>0</v>
      </c>
      <c r="T335" s="320">
        <v>0</v>
      </c>
      <c r="U335" s="320">
        <v>0</v>
      </c>
      <c r="V335" s="320">
        <v>0</v>
      </c>
      <c r="W335" s="320">
        <v>0</v>
      </c>
      <c r="X335" s="320">
        <v>0</v>
      </c>
      <c r="Y335" s="320">
        <v>0</v>
      </c>
      <c r="Z335" s="229">
        <v>1</v>
      </c>
      <c r="AA335" s="321">
        <v>0</v>
      </c>
      <c r="AB335" s="322">
        <v>0</v>
      </c>
      <c r="AC335" s="320">
        <v>0</v>
      </c>
      <c r="AD335" s="320">
        <v>0</v>
      </c>
      <c r="AE335" s="320">
        <v>0</v>
      </c>
      <c r="AF335" s="320">
        <v>0</v>
      </c>
      <c r="AG335" s="320">
        <v>0</v>
      </c>
      <c r="AH335" s="320">
        <v>0</v>
      </c>
      <c r="AI335" s="320">
        <v>0</v>
      </c>
      <c r="AJ335" s="320">
        <v>0</v>
      </c>
      <c r="AK335" s="321">
        <v>0</v>
      </c>
      <c r="AL335" s="332">
        <f t="shared" si="20"/>
        <v>1</v>
      </c>
      <c r="AM335" s="333">
        <f>0</f>
        <v>0</v>
      </c>
      <c r="AN335" s="334">
        <f t="shared" si="21"/>
        <v>1</v>
      </c>
      <c r="AO335" s="247">
        <v>45090</v>
      </c>
      <c r="AP335" s="186" t="s">
        <v>273</v>
      </c>
      <c r="AQ335" s="187" t="s">
        <v>1288</v>
      </c>
      <c r="AR335" s="187" t="s">
        <v>148</v>
      </c>
      <c r="AS335" s="188"/>
      <c r="AT335" s="188"/>
      <c r="AU335" s="189"/>
      <c r="AV335" s="189"/>
      <c r="AW335" s="189"/>
      <c r="AX335" s="190"/>
      <c r="AY335" s="191"/>
      <c r="AZ335" s="192"/>
    </row>
    <row r="336" spans="1:52" ht="28" hidden="1" customHeight="1">
      <c r="A336" s="219">
        <v>331</v>
      </c>
      <c r="B336" s="182">
        <v>45084</v>
      </c>
      <c r="C336" s="328" t="s">
        <v>134</v>
      </c>
      <c r="D336" s="328" t="s">
        <v>135</v>
      </c>
      <c r="E336" s="328" t="s">
        <v>136</v>
      </c>
      <c r="F336" s="329" t="s">
        <v>1184</v>
      </c>
      <c r="G336" s="329" t="s">
        <v>1083</v>
      </c>
      <c r="H336" s="329" t="s">
        <v>110</v>
      </c>
      <c r="I336" s="330" t="s">
        <v>1081</v>
      </c>
      <c r="J336" s="331" t="s">
        <v>1084</v>
      </c>
      <c r="K336" s="329"/>
      <c r="L336" s="329" t="s">
        <v>1204</v>
      </c>
      <c r="M336" s="329" t="s">
        <v>154</v>
      </c>
      <c r="N336" s="330" t="s">
        <v>1205</v>
      </c>
      <c r="O336" s="330" t="s">
        <v>149</v>
      </c>
      <c r="P336" s="177" t="s">
        <v>80</v>
      </c>
      <c r="Q336" s="177" t="s">
        <v>80</v>
      </c>
      <c r="R336" s="319">
        <f>0</f>
        <v>0</v>
      </c>
      <c r="S336" s="320">
        <v>0</v>
      </c>
      <c r="T336" s="320">
        <v>0</v>
      </c>
      <c r="U336" s="320">
        <v>0</v>
      </c>
      <c r="V336" s="320">
        <v>0</v>
      </c>
      <c r="W336" s="320">
        <v>0</v>
      </c>
      <c r="X336" s="320">
        <v>0</v>
      </c>
      <c r="Y336" s="320">
        <v>0</v>
      </c>
      <c r="Z336" s="229">
        <v>1</v>
      </c>
      <c r="AA336" s="321">
        <v>0</v>
      </c>
      <c r="AB336" s="322">
        <v>0</v>
      </c>
      <c r="AC336" s="320">
        <v>0</v>
      </c>
      <c r="AD336" s="320">
        <v>0</v>
      </c>
      <c r="AE336" s="320">
        <v>0</v>
      </c>
      <c r="AF336" s="320">
        <v>0</v>
      </c>
      <c r="AG336" s="320">
        <v>0</v>
      </c>
      <c r="AH336" s="320">
        <v>0</v>
      </c>
      <c r="AI336" s="320">
        <v>0</v>
      </c>
      <c r="AJ336" s="320">
        <v>0</v>
      </c>
      <c r="AK336" s="321">
        <v>0</v>
      </c>
      <c r="AL336" s="332">
        <f t="shared" si="20"/>
        <v>1</v>
      </c>
      <c r="AM336" s="333">
        <f>0</f>
        <v>0</v>
      </c>
      <c r="AN336" s="334">
        <f t="shared" si="21"/>
        <v>1</v>
      </c>
      <c r="AO336" s="247">
        <v>45090</v>
      </c>
      <c r="AP336" s="186" t="s">
        <v>273</v>
      </c>
      <c r="AQ336" s="187" t="s">
        <v>1288</v>
      </c>
      <c r="AR336" s="187" t="s">
        <v>148</v>
      </c>
      <c r="AS336" s="188"/>
      <c r="AT336" s="188"/>
      <c r="AU336" s="189"/>
      <c r="AV336" s="189"/>
      <c r="AW336" s="189"/>
      <c r="AX336" s="190"/>
      <c r="AY336" s="191"/>
      <c r="AZ336" s="192"/>
    </row>
    <row r="337" spans="1:52" ht="28" hidden="1" customHeight="1">
      <c r="A337" s="219">
        <v>332</v>
      </c>
      <c r="B337" s="182">
        <v>45084</v>
      </c>
      <c r="C337" s="328" t="s">
        <v>134</v>
      </c>
      <c r="D337" s="328" t="s">
        <v>135</v>
      </c>
      <c r="E337" s="328" t="s">
        <v>136</v>
      </c>
      <c r="F337" s="329" t="s">
        <v>1184</v>
      </c>
      <c r="G337" s="329" t="s">
        <v>1085</v>
      </c>
      <c r="H337" s="329" t="s">
        <v>110</v>
      </c>
      <c r="I337" s="330" t="s">
        <v>512</v>
      </c>
      <c r="J337" s="331" t="s">
        <v>1086</v>
      </c>
      <c r="K337" s="329" t="s">
        <v>80</v>
      </c>
      <c r="L337" s="329" t="s">
        <v>193</v>
      </c>
      <c r="M337" s="329" t="s">
        <v>154</v>
      </c>
      <c r="N337" s="330" t="s">
        <v>573</v>
      </c>
      <c r="O337" s="330" t="s">
        <v>149</v>
      </c>
      <c r="P337" s="177" t="s">
        <v>80</v>
      </c>
      <c r="Q337" s="177" t="s">
        <v>80</v>
      </c>
      <c r="R337" s="319">
        <f>0</f>
        <v>0</v>
      </c>
      <c r="S337" s="320">
        <v>0</v>
      </c>
      <c r="T337" s="320">
        <v>0</v>
      </c>
      <c r="U337" s="320">
        <v>0</v>
      </c>
      <c r="V337" s="320">
        <v>0</v>
      </c>
      <c r="W337" s="320">
        <v>0</v>
      </c>
      <c r="X337" s="320">
        <v>0</v>
      </c>
      <c r="Y337" s="320">
        <v>0</v>
      </c>
      <c r="Z337" s="229">
        <v>1</v>
      </c>
      <c r="AA337" s="321">
        <v>0</v>
      </c>
      <c r="AB337" s="322">
        <v>0</v>
      </c>
      <c r="AC337" s="320">
        <v>0</v>
      </c>
      <c r="AD337" s="320">
        <v>0</v>
      </c>
      <c r="AE337" s="320">
        <v>0</v>
      </c>
      <c r="AF337" s="320">
        <v>0</v>
      </c>
      <c r="AG337" s="320">
        <v>0</v>
      </c>
      <c r="AH337" s="320">
        <v>0</v>
      </c>
      <c r="AI337" s="320">
        <v>0</v>
      </c>
      <c r="AJ337" s="320">
        <v>0</v>
      </c>
      <c r="AK337" s="321">
        <v>0</v>
      </c>
      <c r="AL337" s="332">
        <f t="shared" si="20"/>
        <v>1</v>
      </c>
      <c r="AM337" s="333">
        <f>0</f>
        <v>0</v>
      </c>
      <c r="AN337" s="334">
        <f t="shared" si="21"/>
        <v>1</v>
      </c>
      <c r="AO337" s="247">
        <v>45090</v>
      </c>
      <c r="AP337" s="186" t="s">
        <v>273</v>
      </c>
      <c r="AQ337" s="187" t="s">
        <v>1288</v>
      </c>
      <c r="AR337" s="187" t="s">
        <v>148</v>
      </c>
      <c r="AS337" s="188"/>
      <c r="AT337" s="188"/>
      <c r="AU337" s="189"/>
      <c r="AV337" s="189"/>
      <c r="AW337" s="189"/>
      <c r="AX337" s="190"/>
      <c r="AY337" s="191"/>
      <c r="AZ337" s="192"/>
    </row>
    <row r="338" spans="1:52" ht="28" customHeight="1">
      <c r="A338" s="108">
        <v>333</v>
      </c>
      <c r="B338" s="101">
        <v>45084</v>
      </c>
      <c r="C338" s="87" t="s">
        <v>134</v>
      </c>
      <c r="D338" s="87" t="s">
        <v>135</v>
      </c>
      <c r="E338" s="87" t="s">
        <v>136</v>
      </c>
      <c r="F338" s="342" t="s">
        <v>1184</v>
      </c>
      <c r="G338" s="342" t="s">
        <v>1087</v>
      </c>
      <c r="H338" s="342" t="s">
        <v>110</v>
      </c>
      <c r="I338" s="343" t="s">
        <v>1088</v>
      </c>
      <c r="J338" s="341" t="s">
        <v>1089</v>
      </c>
      <c r="K338" s="342" t="s">
        <v>80</v>
      </c>
      <c r="L338" s="342" t="s">
        <v>193</v>
      </c>
      <c r="M338" s="342" t="s">
        <v>154</v>
      </c>
      <c r="N338" s="343" t="s">
        <v>212</v>
      </c>
      <c r="O338" s="343" t="s">
        <v>149</v>
      </c>
      <c r="P338" s="177" t="s">
        <v>80</v>
      </c>
      <c r="Q338" s="177" t="s">
        <v>80</v>
      </c>
      <c r="R338" s="319">
        <f>0</f>
        <v>0</v>
      </c>
      <c r="S338" s="320">
        <v>0</v>
      </c>
      <c r="T338" s="320">
        <v>0</v>
      </c>
      <c r="U338" s="320">
        <v>0</v>
      </c>
      <c r="V338" s="320">
        <v>0</v>
      </c>
      <c r="W338" s="320">
        <v>0</v>
      </c>
      <c r="X338" s="320">
        <v>0</v>
      </c>
      <c r="Y338" s="320">
        <v>0</v>
      </c>
      <c r="Z338" s="229">
        <v>2</v>
      </c>
      <c r="AA338" s="321">
        <v>0</v>
      </c>
      <c r="AB338" s="322">
        <v>0</v>
      </c>
      <c r="AC338" s="320">
        <v>0</v>
      </c>
      <c r="AD338" s="320">
        <v>0</v>
      </c>
      <c r="AE338" s="320">
        <v>0</v>
      </c>
      <c r="AF338" s="320">
        <v>0</v>
      </c>
      <c r="AG338" s="320">
        <v>0</v>
      </c>
      <c r="AH338" s="320">
        <v>0</v>
      </c>
      <c r="AI338" s="320">
        <v>0</v>
      </c>
      <c r="AJ338" s="320">
        <v>0</v>
      </c>
      <c r="AK338" s="321">
        <v>0</v>
      </c>
      <c r="AL338" s="323">
        <f t="shared" si="20"/>
        <v>2</v>
      </c>
      <c r="AM338" s="324">
        <f>0</f>
        <v>0</v>
      </c>
      <c r="AN338" s="344">
        <f t="shared" si="21"/>
        <v>2</v>
      </c>
      <c r="AO338" s="345">
        <v>45092</v>
      </c>
      <c r="AP338" s="346" t="s">
        <v>273</v>
      </c>
      <c r="AQ338" s="347" t="s">
        <v>1291</v>
      </c>
      <c r="AR338" s="342" t="s">
        <v>1292</v>
      </c>
      <c r="AS338" s="342"/>
      <c r="AT338" s="342"/>
      <c r="AU338" s="312"/>
      <c r="AV338" s="312"/>
      <c r="AW338" s="312"/>
      <c r="AX338" s="313"/>
      <c r="AY338" s="314"/>
      <c r="AZ338" s="315"/>
    </row>
    <row r="339" spans="1:52" ht="28" hidden="1" customHeight="1">
      <c r="A339" s="219">
        <v>334</v>
      </c>
      <c r="B339" s="182">
        <v>45084</v>
      </c>
      <c r="C339" s="328" t="s">
        <v>134</v>
      </c>
      <c r="D339" s="328" t="s">
        <v>135</v>
      </c>
      <c r="E339" s="328" t="s">
        <v>136</v>
      </c>
      <c r="F339" s="329" t="s">
        <v>1184</v>
      </c>
      <c r="G339" s="329" t="s">
        <v>1090</v>
      </c>
      <c r="H339" s="329" t="s">
        <v>110</v>
      </c>
      <c r="I339" s="330" t="s">
        <v>1088</v>
      </c>
      <c r="J339" s="331" t="s">
        <v>1091</v>
      </c>
      <c r="K339" s="329" t="s">
        <v>80</v>
      </c>
      <c r="L339" s="329" t="s">
        <v>193</v>
      </c>
      <c r="M339" s="329" t="s">
        <v>154</v>
      </c>
      <c r="N339" s="330" t="s">
        <v>573</v>
      </c>
      <c r="O339" s="330" t="s">
        <v>149</v>
      </c>
      <c r="P339" s="177" t="s">
        <v>80</v>
      </c>
      <c r="Q339" s="177" t="s">
        <v>80</v>
      </c>
      <c r="R339" s="319">
        <f>0</f>
        <v>0</v>
      </c>
      <c r="S339" s="320">
        <v>0</v>
      </c>
      <c r="T339" s="320">
        <v>0</v>
      </c>
      <c r="U339" s="320">
        <v>0</v>
      </c>
      <c r="V339" s="320">
        <v>0</v>
      </c>
      <c r="W339" s="320">
        <v>0</v>
      </c>
      <c r="X339" s="320">
        <v>0</v>
      </c>
      <c r="Y339" s="320">
        <v>0</v>
      </c>
      <c r="Z339" s="229">
        <v>1</v>
      </c>
      <c r="AA339" s="321">
        <v>0</v>
      </c>
      <c r="AB339" s="322">
        <v>0</v>
      </c>
      <c r="AC339" s="320">
        <v>0</v>
      </c>
      <c r="AD339" s="320">
        <v>0</v>
      </c>
      <c r="AE339" s="320">
        <v>0</v>
      </c>
      <c r="AF339" s="320">
        <v>0</v>
      </c>
      <c r="AG339" s="320">
        <v>0</v>
      </c>
      <c r="AH339" s="320">
        <v>0</v>
      </c>
      <c r="AI339" s="320">
        <v>0</v>
      </c>
      <c r="AJ339" s="320">
        <v>0</v>
      </c>
      <c r="AK339" s="321">
        <v>0</v>
      </c>
      <c r="AL339" s="332">
        <f t="shared" si="20"/>
        <v>1</v>
      </c>
      <c r="AM339" s="333">
        <f>0</f>
        <v>0</v>
      </c>
      <c r="AN339" s="334">
        <f t="shared" si="21"/>
        <v>1</v>
      </c>
      <c r="AO339" s="247">
        <v>45090</v>
      </c>
      <c r="AP339" s="186" t="s">
        <v>273</v>
      </c>
      <c r="AQ339" s="187" t="s">
        <v>1288</v>
      </c>
      <c r="AR339" s="187" t="s">
        <v>148</v>
      </c>
      <c r="AS339" s="188"/>
      <c r="AT339" s="188"/>
      <c r="AU339" s="189"/>
      <c r="AV339" s="189"/>
      <c r="AW339" s="189"/>
      <c r="AX339" s="190"/>
      <c r="AY339" s="191"/>
      <c r="AZ339" s="192"/>
    </row>
    <row r="340" spans="1:52" ht="28" hidden="1" customHeight="1">
      <c r="A340" s="219">
        <v>335</v>
      </c>
      <c r="B340" s="182">
        <v>45084</v>
      </c>
      <c r="C340" s="328" t="s">
        <v>134</v>
      </c>
      <c r="D340" s="328" t="s">
        <v>135</v>
      </c>
      <c r="E340" s="328" t="s">
        <v>136</v>
      </c>
      <c r="F340" s="329" t="s">
        <v>1184</v>
      </c>
      <c r="G340" s="329" t="s">
        <v>1092</v>
      </c>
      <c r="H340" s="329" t="s">
        <v>287</v>
      </c>
      <c r="I340" s="330" t="s">
        <v>1088</v>
      </c>
      <c r="J340" s="331" t="s">
        <v>1093</v>
      </c>
      <c r="K340" s="329" t="s">
        <v>80</v>
      </c>
      <c r="L340" s="329" t="s">
        <v>193</v>
      </c>
      <c r="M340" s="329" t="s">
        <v>154</v>
      </c>
      <c r="N340" s="330" t="s">
        <v>573</v>
      </c>
      <c r="O340" s="330" t="s">
        <v>149</v>
      </c>
      <c r="P340" s="177" t="s">
        <v>80</v>
      </c>
      <c r="Q340" s="177" t="s">
        <v>80</v>
      </c>
      <c r="R340" s="319">
        <f>0</f>
        <v>0</v>
      </c>
      <c r="S340" s="320">
        <v>0</v>
      </c>
      <c r="T340" s="320">
        <v>0</v>
      </c>
      <c r="U340" s="320">
        <v>0</v>
      </c>
      <c r="V340" s="320">
        <v>0</v>
      </c>
      <c r="W340" s="320">
        <v>0</v>
      </c>
      <c r="X340" s="320">
        <v>0</v>
      </c>
      <c r="Y340" s="320">
        <v>0</v>
      </c>
      <c r="Z340" s="229">
        <v>2</v>
      </c>
      <c r="AA340" s="321">
        <v>0</v>
      </c>
      <c r="AB340" s="322">
        <v>0</v>
      </c>
      <c r="AC340" s="320">
        <v>0</v>
      </c>
      <c r="AD340" s="320">
        <v>0</v>
      </c>
      <c r="AE340" s="320">
        <v>0</v>
      </c>
      <c r="AF340" s="320">
        <v>0</v>
      </c>
      <c r="AG340" s="320">
        <v>0</v>
      </c>
      <c r="AH340" s="320">
        <v>0</v>
      </c>
      <c r="AI340" s="320">
        <v>0</v>
      </c>
      <c r="AJ340" s="320">
        <v>0</v>
      </c>
      <c r="AK340" s="321">
        <v>0</v>
      </c>
      <c r="AL340" s="332">
        <f t="shared" si="20"/>
        <v>2</v>
      </c>
      <c r="AM340" s="333">
        <f>0</f>
        <v>0</v>
      </c>
      <c r="AN340" s="334">
        <f t="shared" si="21"/>
        <v>2</v>
      </c>
      <c r="AO340" s="247">
        <v>45090</v>
      </c>
      <c r="AP340" s="186" t="s">
        <v>273</v>
      </c>
      <c r="AQ340" s="187" t="s">
        <v>1288</v>
      </c>
      <c r="AR340" s="187" t="s">
        <v>148</v>
      </c>
      <c r="AS340" s="188"/>
      <c r="AT340" s="188"/>
      <c r="AU340" s="189"/>
      <c r="AV340" s="189"/>
      <c r="AW340" s="189"/>
      <c r="AX340" s="190"/>
      <c r="AY340" s="191"/>
      <c r="AZ340" s="192"/>
    </row>
    <row r="341" spans="1:52" ht="28" hidden="1" customHeight="1">
      <c r="A341" s="219">
        <v>336</v>
      </c>
      <c r="B341" s="182">
        <v>45084</v>
      </c>
      <c r="C341" s="328" t="s">
        <v>134</v>
      </c>
      <c r="D341" s="328" t="s">
        <v>135</v>
      </c>
      <c r="E341" s="328" t="s">
        <v>136</v>
      </c>
      <c r="F341" s="329" t="s">
        <v>1184</v>
      </c>
      <c r="G341" s="329" t="s">
        <v>1094</v>
      </c>
      <c r="H341" s="329" t="s">
        <v>110</v>
      </c>
      <c r="I341" s="330" t="s">
        <v>1095</v>
      </c>
      <c r="J341" s="331" t="s">
        <v>1096</v>
      </c>
      <c r="K341" s="329" t="s">
        <v>80</v>
      </c>
      <c r="L341" s="329" t="s">
        <v>193</v>
      </c>
      <c r="M341" s="329" t="s">
        <v>154</v>
      </c>
      <c r="N341" s="330" t="s">
        <v>212</v>
      </c>
      <c r="O341" s="330" t="s">
        <v>149</v>
      </c>
      <c r="P341" s="177" t="s">
        <v>80</v>
      </c>
      <c r="Q341" s="177" t="s">
        <v>80</v>
      </c>
      <c r="R341" s="319">
        <f>0</f>
        <v>0</v>
      </c>
      <c r="S341" s="320">
        <v>0</v>
      </c>
      <c r="T341" s="320">
        <v>0</v>
      </c>
      <c r="U341" s="320">
        <v>0</v>
      </c>
      <c r="V341" s="320">
        <v>0</v>
      </c>
      <c r="W341" s="320">
        <v>0</v>
      </c>
      <c r="X341" s="320">
        <v>0</v>
      </c>
      <c r="Y341" s="320">
        <v>0</v>
      </c>
      <c r="Z341" s="229">
        <v>4</v>
      </c>
      <c r="AA341" s="321">
        <v>0</v>
      </c>
      <c r="AB341" s="322">
        <v>0</v>
      </c>
      <c r="AC341" s="320">
        <v>0</v>
      </c>
      <c r="AD341" s="320">
        <v>0</v>
      </c>
      <c r="AE341" s="320">
        <v>0</v>
      </c>
      <c r="AF341" s="320">
        <v>0</v>
      </c>
      <c r="AG341" s="320">
        <v>0</v>
      </c>
      <c r="AH341" s="320">
        <v>0</v>
      </c>
      <c r="AI341" s="320">
        <v>0</v>
      </c>
      <c r="AJ341" s="320">
        <v>0</v>
      </c>
      <c r="AK341" s="321">
        <v>0</v>
      </c>
      <c r="AL341" s="332">
        <f t="shared" si="20"/>
        <v>4</v>
      </c>
      <c r="AM341" s="333">
        <f>0</f>
        <v>0</v>
      </c>
      <c r="AN341" s="334">
        <f t="shared" si="21"/>
        <v>4</v>
      </c>
      <c r="AO341" s="247">
        <v>45090</v>
      </c>
      <c r="AP341" s="186" t="s">
        <v>273</v>
      </c>
      <c r="AQ341" s="187" t="s">
        <v>1288</v>
      </c>
      <c r="AR341" s="187" t="s">
        <v>148</v>
      </c>
      <c r="AS341" s="188"/>
      <c r="AT341" s="188"/>
      <c r="AU341" s="189"/>
      <c r="AV341" s="189"/>
      <c r="AW341" s="189"/>
      <c r="AX341" s="190"/>
      <c r="AY341" s="191"/>
      <c r="AZ341" s="192"/>
    </row>
    <row r="342" spans="1:52" ht="28" customHeight="1">
      <c r="A342" s="108">
        <v>337</v>
      </c>
      <c r="B342" s="101">
        <v>45084</v>
      </c>
      <c r="C342" s="87" t="s">
        <v>134</v>
      </c>
      <c r="D342" s="87" t="s">
        <v>135</v>
      </c>
      <c r="E342" s="87" t="s">
        <v>136</v>
      </c>
      <c r="F342" s="342" t="s">
        <v>1184</v>
      </c>
      <c r="G342" s="342" t="s">
        <v>1097</v>
      </c>
      <c r="H342" s="342" t="s">
        <v>110</v>
      </c>
      <c r="I342" s="343" t="s">
        <v>1081</v>
      </c>
      <c r="J342" s="341" t="s">
        <v>1098</v>
      </c>
      <c r="K342" s="342" t="s">
        <v>80</v>
      </c>
      <c r="L342" s="342" t="s">
        <v>193</v>
      </c>
      <c r="M342" s="342" t="s">
        <v>154</v>
      </c>
      <c r="N342" s="343" t="s">
        <v>214</v>
      </c>
      <c r="O342" s="343" t="s">
        <v>149</v>
      </c>
      <c r="P342" s="177" t="s">
        <v>80</v>
      </c>
      <c r="Q342" s="177" t="s">
        <v>80</v>
      </c>
      <c r="R342" s="319">
        <f>0</f>
        <v>0</v>
      </c>
      <c r="S342" s="320">
        <v>0</v>
      </c>
      <c r="T342" s="320">
        <v>0</v>
      </c>
      <c r="U342" s="320">
        <v>0</v>
      </c>
      <c r="V342" s="320">
        <v>0</v>
      </c>
      <c r="W342" s="320">
        <v>0</v>
      </c>
      <c r="X342" s="320">
        <v>0</v>
      </c>
      <c r="Y342" s="320">
        <v>0</v>
      </c>
      <c r="Z342" s="229">
        <v>1</v>
      </c>
      <c r="AA342" s="321">
        <v>0</v>
      </c>
      <c r="AB342" s="322">
        <v>0</v>
      </c>
      <c r="AC342" s="320">
        <v>0</v>
      </c>
      <c r="AD342" s="320">
        <v>0</v>
      </c>
      <c r="AE342" s="320">
        <v>0</v>
      </c>
      <c r="AF342" s="320">
        <v>0</v>
      </c>
      <c r="AG342" s="320">
        <v>0</v>
      </c>
      <c r="AH342" s="320">
        <v>0</v>
      </c>
      <c r="AI342" s="320">
        <v>0</v>
      </c>
      <c r="AJ342" s="320">
        <v>0</v>
      </c>
      <c r="AK342" s="321">
        <v>0</v>
      </c>
      <c r="AL342" s="323">
        <f t="shared" si="20"/>
        <v>1</v>
      </c>
      <c r="AM342" s="324">
        <f>0</f>
        <v>0</v>
      </c>
      <c r="AN342" s="344">
        <f t="shared" si="21"/>
        <v>1</v>
      </c>
      <c r="AO342" s="345">
        <v>45092</v>
      </c>
      <c r="AP342" s="346" t="s">
        <v>273</v>
      </c>
      <c r="AQ342" s="347" t="s">
        <v>1291</v>
      </c>
      <c r="AR342" s="342" t="s">
        <v>1292</v>
      </c>
      <c r="AS342" s="342"/>
      <c r="AT342" s="342"/>
      <c r="AU342" s="312"/>
      <c r="AV342" s="312"/>
      <c r="AW342" s="312"/>
      <c r="AX342" s="313"/>
      <c r="AY342" s="314"/>
      <c r="AZ342" s="315"/>
    </row>
    <row r="343" spans="1:52" ht="28" hidden="1" customHeight="1">
      <c r="A343" s="219">
        <v>338</v>
      </c>
      <c r="B343" s="182">
        <v>45084</v>
      </c>
      <c r="C343" s="328" t="s">
        <v>134</v>
      </c>
      <c r="D343" s="328" t="s">
        <v>135</v>
      </c>
      <c r="E343" s="328" t="s">
        <v>136</v>
      </c>
      <c r="F343" s="329" t="s">
        <v>1184</v>
      </c>
      <c r="G343" s="329" t="s">
        <v>1099</v>
      </c>
      <c r="H343" s="329" t="s">
        <v>110</v>
      </c>
      <c r="I343" s="330" t="s">
        <v>1100</v>
      </c>
      <c r="J343" s="331" t="s">
        <v>1101</v>
      </c>
      <c r="K343" s="329"/>
      <c r="L343" s="329" t="s">
        <v>193</v>
      </c>
      <c r="M343" s="329" t="s">
        <v>154</v>
      </c>
      <c r="N343" s="330" t="s">
        <v>1206</v>
      </c>
      <c r="O343" s="330" t="s">
        <v>149</v>
      </c>
      <c r="P343" s="177" t="s">
        <v>80</v>
      </c>
      <c r="Q343" s="177" t="s">
        <v>80</v>
      </c>
      <c r="R343" s="319">
        <f>0</f>
        <v>0</v>
      </c>
      <c r="S343" s="320">
        <v>0</v>
      </c>
      <c r="T343" s="320">
        <v>0</v>
      </c>
      <c r="U343" s="320">
        <v>0</v>
      </c>
      <c r="V343" s="320">
        <v>0</v>
      </c>
      <c r="W343" s="320">
        <v>0</v>
      </c>
      <c r="X343" s="320">
        <v>0</v>
      </c>
      <c r="Y343" s="320">
        <v>0</v>
      </c>
      <c r="Z343" s="229">
        <v>1</v>
      </c>
      <c r="AA343" s="321">
        <v>0</v>
      </c>
      <c r="AB343" s="322">
        <v>0</v>
      </c>
      <c r="AC343" s="320">
        <v>0</v>
      </c>
      <c r="AD343" s="320">
        <v>0</v>
      </c>
      <c r="AE343" s="320">
        <v>0</v>
      </c>
      <c r="AF343" s="320">
        <v>0</v>
      </c>
      <c r="AG343" s="320">
        <v>0</v>
      </c>
      <c r="AH343" s="320">
        <v>0</v>
      </c>
      <c r="AI343" s="320">
        <v>0</v>
      </c>
      <c r="AJ343" s="320">
        <v>0</v>
      </c>
      <c r="AK343" s="321">
        <v>0</v>
      </c>
      <c r="AL343" s="332">
        <f t="shared" si="20"/>
        <v>1</v>
      </c>
      <c r="AM343" s="333">
        <f>0</f>
        <v>0</v>
      </c>
      <c r="AN343" s="334">
        <f t="shared" si="21"/>
        <v>1</v>
      </c>
      <c r="AO343" s="247">
        <v>45090</v>
      </c>
      <c r="AP343" s="186" t="s">
        <v>273</v>
      </c>
      <c r="AQ343" s="187" t="s">
        <v>1288</v>
      </c>
      <c r="AR343" s="187" t="s">
        <v>148</v>
      </c>
      <c r="AS343" s="188"/>
      <c r="AT343" s="188"/>
      <c r="AU343" s="189"/>
      <c r="AV343" s="189"/>
      <c r="AW343" s="189"/>
      <c r="AX343" s="190"/>
      <c r="AY343" s="191"/>
      <c r="AZ343" s="192"/>
    </row>
    <row r="344" spans="1:52" ht="28" customHeight="1">
      <c r="A344" s="108">
        <v>339</v>
      </c>
      <c r="B344" s="101">
        <v>45084</v>
      </c>
      <c r="C344" s="87" t="s">
        <v>134</v>
      </c>
      <c r="D344" s="87" t="s">
        <v>135</v>
      </c>
      <c r="E344" s="87" t="s">
        <v>136</v>
      </c>
      <c r="F344" s="342" t="s">
        <v>1184</v>
      </c>
      <c r="G344" s="342" t="s">
        <v>1102</v>
      </c>
      <c r="H344" s="342" t="s">
        <v>110</v>
      </c>
      <c r="I344" s="343" t="s">
        <v>1103</v>
      </c>
      <c r="J344" s="341" t="s">
        <v>1104</v>
      </c>
      <c r="K344" s="342" t="s">
        <v>80</v>
      </c>
      <c r="L344" s="342" t="s">
        <v>193</v>
      </c>
      <c r="M344" s="342" t="s">
        <v>154</v>
      </c>
      <c r="N344" s="343" t="s">
        <v>80</v>
      </c>
      <c r="O344" s="343" t="s">
        <v>149</v>
      </c>
      <c r="P344" s="177" t="s">
        <v>80</v>
      </c>
      <c r="Q344" s="177" t="s">
        <v>80</v>
      </c>
      <c r="R344" s="319">
        <f>0</f>
        <v>0</v>
      </c>
      <c r="S344" s="320">
        <v>0</v>
      </c>
      <c r="T344" s="320">
        <v>0</v>
      </c>
      <c r="U344" s="320">
        <v>0</v>
      </c>
      <c r="V344" s="320">
        <v>0</v>
      </c>
      <c r="W344" s="320">
        <v>0</v>
      </c>
      <c r="X344" s="320">
        <v>0</v>
      </c>
      <c r="Y344" s="320">
        <v>0</v>
      </c>
      <c r="Z344" s="229">
        <v>1</v>
      </c>
      <c r="AA344" s="321">
        <v>0</v>
      </c>
      <c r="AB344" s="322">
        <v>0</v>
      </c>
      <c r="AC344" s="320">
        <v>0</v>
      </c>
      <c r="AD344" s="320">
        <v>0</v>
      </c>
      <c r="AE344" s="320">
        <v>0</v>
      </c>
      <c r="AF344" s="320">
        <v>0</v>
      </c>
      <c r="AG344" s="320">
        <v>0</v>
      </c>
      <c r="AH344" s="320">
        <v>0</v>
      </c>
      <c r="AI344" s="320">
        <v>0</v>
      </c>
      <c r="AJ344" s="320">
        <v>0</v>
      </c>
      <c r="AK344" s="321">
        <v>0</v>
      </c>
      <c r="AL344" s="323">
        <f t="shared" si="20"/>
        <v>1</v>
      </c>
      <c r="AM344" s="324">
        <f>0</f>
        <v>0</v>
      </c>
      <c r="AN344" s="344">
        <f t="shared" si="21"/>
        <v>1</v>
      </c>
      <c r="AO344" s="345">
        <v>45092</v>
      </c>
      <c r="AP344" s="346" t="s">
        <v>273</v>
      </c>
      <c r="AQ344" s="347" t="s">
        <v>1291</v>
      </c>
      <c r="AR344" s="342" t="s">
        <v>1292</v>
      </c>
      <c r="AS344" s="342"/>
      <c r="AT344" s="342"/>
      <c r="AU344" s="312"/>
      <c r="AV344" s="312"/>
      <c r="AW344" s="312"/>
      <c r="AX344" s="313"/>
      <c r="AY344" s="314"/>
      <c r="AZ344" s="315"/>
    </row>
    <row r="345" spans="1:52" ht="28" hidden="1" customHeight="1">
      <c r="A345" s="219">
        <v>340</v>
      </c>
      <c r="B345" s="182">
        <v>45084</v>
      </c>
      <c r="C345" s="328" t="s">
        <v>134</v>
      </c>
      <c r="D345" s="328" t="s">
        <v>135</v>
      </c>
      <c r="E345" s="328" t="s">
        <v>136</v>
      </c>
      <c r="F345" s="329" t="s">
        <v>1184</v>
      </c>
      <c r="G345" s="329" t="s">
        <v>1105</v>
      </c>
      <c r="H345" s="329" t="s">
        <v>287</v>
      </c>
      <c r="I345" s="330" t="s">
        <v>1207</v>
      </c>
      <c r="J345" s="331" t="s">
        <v>1106</v>
      </c>
      <c r="K345" s="329" t="s">
        <v>80</v>
      </c>
      <c r="L345" s="329" t="s">
        <v>193</v>
      </c>
      <c r="M345" s="329" t="s">
        <v>154</v>
      </c>
      <c r="N345" s="330"/>
      <c r="O345" s="330" t="s">
        <v>149</v>
      </c>
      <c r="P345" s="177" t="s">
        <v>80</v>
      </c>
      <c r="Q345" s="177" t="s">
        <v>80</v>
      </c>
      <c r="R345" s="319">
        <f>0</f>
        <v>0</v>
      </c>
      <c r="S345" s="320">
        <v>0</v>
      </c>
      <c r="T345" s="320">
        <v>0</v>
      </c>
      <c r="U345" s="320">
        <v>0</v>
      </c>
      <c r="V345" s="320">
        <v>0</v>
      </c>
      <c r="W345" s="320">
        <v>0</v>
      </c>
      <c r="X345" s="320">
        <v>0</v>
      </c>
      <c r="Y345" s="320">
        <v>0</v>
      </c>
      <c r="Z345" s="229">
        <v>1</v>
      </c>
      <c r="AA345" s="321">
        <v>0</v>
      </c>
      <c r="AB345" s="322">
        <v>0</v>
      </c>
      <c r="AC345" s="320">
        <v>0</v>
      </c>
      <c r="AD345" s="320">
        <v>0</v>
      </c>
      <c r="AE345" s="320">
        <v>0</v>
      </c>
      <c r="AF345" s="320">
        <v>0</v>
      </c>
      <c r="AG345" s="320">
        <v>0</v>
      </c>
      <c r="AH345" s="320">
        <v>0</v>
      </c>
      <c r="AI345" s="320">
        <v>0</v>
      </c>
      <c r="AJ345" s="320">
        <v>0</v>
      </c>
      <c r="AK345" s="321">
        <v>0</v>
      </c>
      <c r="AL345" s="332">
        <f t="shared" si="20"/>
        <v>1</v>
      </c>
      <c r="AM345" s="333">
        <f>0</f>
        <v>0</v>
      </c>
      <c r="AN345" s="334">
        <f t="shared" si="21"/>
        <v>1</v>
      </c>
      <c r="AO345" s="247">
        <v>45090</v>
      </c>
      <c r="AP345" s="186" t="s">
        <v>273</v>
      </c>
      <c r="AQ345" s="187" t="s">
        <v>1288</v>
      </c>
      <c r="AR345" s="187" t="s">
        <v>148</v>
      </c>
      <c r="AS345" s="188"/>
      <c r="AT345" s="188"/>
      <c r="AU345" s="189"/>
      <c r="AV345" s="189"/>
      <c r="AW345" s="189"/>
      <c r="AX345" s="190"/>
      <c r="AY345" s="191"/>
      <c r="AZ345" s="192"/>
    </row>
    <row r="346" spans="1:52" ht="28" customHeight="1">
      <c r="A346" s="108">
        <v>341</v>
      </c>
      <c r="B346" s="101">
        <v>45084</v>
      </c>
      <c r="C346" s="87" t="s">
        <v>134</v>
      </c>
      <c r="D346" s="87" t="s">
        <v>135</v>
      </c>
      <c r="E346" s="87" t="s">
        <v>136</v>
      </c>
      <c r="F346" s="342" t="s">
        <v>1184</v>
      </c>
      <c r="G346" s="342" t="s">
        <v>1107</v>
      </c>
      <c r="H346" s="342" t="s">
        <v>110</v>
      </c>
      <c r="I346" s="343" t="s">
        <v>1081</v>
      </c>
      <c r="J346" s="341" t="s">
        <v>1108</v>
      </c>
      <c r="K346" s="342"/>
      <c r="L346" s="342" t="s">
        <v>193</v>
      </c>
      <c r="M346" s="342" t="s">
        <v>154</v>
      </c>
      <c r="N346" s="343" t="s">
        <v>214</v>
      </c>
      <c r="O346" s="343" t="s">
        <v>149</v>
      </c>
      <c r="P346" s="177" t="s">
        <v>80</v>
      </c>
      <c r="Q346" s="177" t="s">
        <v>80</v>
      </c>
      <c r="R346" s="319">
        <f>0</f>
        <v>0</v>
      </c>
      <c r="S346" s="320">
        <v>0</v>
      </c>
      <c r="T346" s="320">
        <v>0</v>
      </c>
      <c r="U346" s="320">
        <v>0</v>
      </c>
      <c r="V346" s="320">
        <v>0</v>
      </c>
      <c r="W346" s="320">
        <v>0</v>
      </c>
      <c r="X346" s="320">
        <v>0</v>
      </c>
      <c r="Y346" s="320">
        <v>0</v>
      </c>
      <c r="Z346" s="229">
        <v>1</v>
      </c>
      <c r="AA346" s="321">
        <v>0</v>
      </c>
      <c r="AB346" s="322">
        <v>0</v>
      </c>
      <c r="AC346" s="320">
        <v>0</v>
      </c>
      <c r="AD346" s="320">
        <v>0</v>
      </c>
      <c r="AE346" s="320">
        <v>0</v>
      </c>
      <c r="AF346" s="320">
        <v>0</v>
      </c>
      <c r="AG346" s="320">
        <v>0</v>
      </c>
      <c r="AH346" s="320">
        <v>0</v>
      </c>
      <c r="AI346" s="320">
        <v>0</v>
      </c>
      <c r="AJ346" s="320">
        <v>0</v>
      </c>
      <c r="AK346" s="321">
        <v>0</v>
      </c>
      <c r="AL346" s="323">
        <f t="shared" si="20"/>
        <v>1</v>
      </c>
      <c r="AM346" s="324">
        <f>0</f>
        <v>0</v>
      </c>
      <c r="AN346" s="344">
        <f t="shared" si="21"/>
        <v>1</v>
      </c>
      <c r="AO346" s="345">
        <v>45092</v>
      </c>
      <c r="AP346" s="346" t="s">
        <v>273</v>
      </c>
      <c r="AQ346" s="347" t="s">
        <v>1291</v>
      </c>
      <c r="AR346" s="342" t="s">
        <v>1292</v>
      </c>
      <c r="AS346" s="342"/>
      <c r="AT346" s="342"/>
      <c r="AU346" s="312"/>
      <c r="AV346" s="312"/>
      <c r="AW346" s="312"/>
      <c r="AX346" s="313"/>
      <c r="AY346" s="314"/>
      <c r="AZ346" s="315"/>
    </row>
    <row r="347" spans="1:52" ht="28" customHeight="1">
      <c r="A347" s="108">
        <v>342</v>
      </c>
      <c r="B347" s="101">
        <v>45084</v>
      </c>
      <c r="C347" s="87" t="s">
        <v>134</v>
      </c>
      <c r="D347" s="87" t="s">
        <v>135</v>
      </c>
      <c r="E347" s="87" t="s">
        <v>136</v>
      </c>
      <c r="F347" s="342" t="s">
        <v>1184</v>
      </c>
      <c r="G347" s="342" t="s">
        <v>1109</v>
      </c>
      <c r="H347" s="342" t="s">
        <v>110</v>
      </c>
      <c r="I347" s="343" t="s">
        <v>191</v>
      </c>
      <c r="J347" s="341" t="s">
        <v>1110</v>
      </c>
      <c r="K347" s="342" t="s">
        <v>80</v>
      </c>
      <c r="L347" s="342" t="s">
        <v>193</v>
      </c>
      <c r="M347" s="342" t="s">
        <v>154</v>
      </c>
      <c r="N347" s="343" t="s">
        <v>212</v>
      </c>
      <c r="O347" s="343" t="s">
        <v>149</v>
      </c>
      <c r="P347" s="177" t="s">
        <v>80</v>
      </c>
      <c r="Q347" s="177" t="s">
        <v>80</v>
      </c>
      <c r="R347" s="319">
        <f>0</f>
        <v>0</v>
      </c>
      <c r="S347" s="320">
        <v>0</v>
      </c>
      <c r="T347" s="320">
        <v>0</v>
      </c>
      <c r="U347" s="320">
        <v>0</v>
      </c>
      <c r="V347" s="320">
        <v>0</v>
      </c>
      <c r="W347" s="320">
        <v>0</v>
      </c>
      <c r="X347" s="320">
        <v>0</v>
      </c>
      <c r="Y347" s="320">
        <v>0</v>
      </c>
      <c r="Z347" s="229">
        <v>1</v>
      </c>
      <c r="AA347" s="321">
        <v>0</v>
      </c>
      <c r="AB347" s="322">
        <v>0</v>
      </c>
      <c r="AC347" s="320">
        <v>0</v>
      </c>
      <c r="AD347" s="320">
        <v>0</v>
      </c>
      <c r="AE347" s="320">
        <v>0</v>
      </c>
      <c r="AF347" s="320">
        <v>0</v>
      </c>
      <c r="AG347" s="320">
        <v>0</v>
      </c>
      <c r="AH347" s="320">
        <v>0</v>
      </c>
      <c r="AI347" s="320">
        <v>0</v>
      </c>
      <c r="AJ347" s="320">
        <v>0</v>
      </c>
      <c r="AK347" s="321">
        <v>0</v>
      </c>
      <c r="AL347" s="323">
        <f t="shared" si="20"/>
        <v>1</v>
      </c>
      <c r="AM347" s="324">
        <f>0</f>
        <v>0</v>
      </c>
      <c r="AN347" s="344">
        <f t="shared" si="21"/>
        <v>1</v>
      </c>
      <c r="AO347" s="345">
        <v>45092</v>
      </c>
      <c r="AP347" s="346" t="s">
        <v>273</v>
      </c>
      <c r="AQ347" s="347" t="s">
        <v>1291</v>
      </c>
      <c r="AR347" s="342" t="s">
        <v>1292</v>
      </c>
      <c r="AS347" s="342"/>
      <c r="AT347" s="342"/>
      <c r="AU347" s="312"/>
      <c r="AV347" s="312"/>
      <c r="AW347" s="312"/>
      <c r="AX347" s="313"/>
      <c r="AY347" s="314"/>
      <c r="AZ347" s="315"/>
    </row>
    <row r="348" spans="1:52" ht="28" hidden="1" customHeight="1">
      <c r="A348" s="219">
        <v>343</v>
      </c>
      <c r="B348" s="182">
        <v>45084</v>
      </c>
      <c r="C348" s="328" t="s">
        <v>134</v>
      </c>
      <c r="D348" s="328" t="s">
        <v>135</v>
      </c>
      <c r="E348" s="328" t="s">
        <v>136</v>
      </c>
      <c r="F348" s="329" t="s">
        <v>1184</v>
      </c>
      <c r="G348" s="329" t="s">
        <v>1111</v>
      </c>
      <c r="H348" s="329" t="s">
        <v>110</v>
      </c>
      <c r="I348" s="330" t="s">
        <v>1185</v>
      </c>
      <c r="J348" s="331" t="s">
        <v>1208</v>
      </c>
      <c r="K348" s="329" t="s">
        <v>80</v>
      </c>
      <c r="L348" s="329" t="s">
        <v>1112</v>
      </c>
      <c r="M348" s="329" t="s">
        <v>154</v>
      </c>
      <c r="N348" s="330" t="s">
        <v>214</v>
      </c>
      <c r="O348" s="330" t="s">
        <v>1217</v>
      </c>
      <c r="P348" s="177" t="s">
        <v>80</v>
      </c>
      <c r="Q348" s="177" t="s">
        <v>80</v>
      </c>
      <c r="R348" s="319">
        <f>0</f>
        <v>0</v>
      </c>
      <c r="S348" s="320">
        <v>0</v>
      </c>
      <c r="T348" s="320">
        <v>0</v>
      </c>
      <c r="U348" s="320">
        <v>0</v>
      </c>
      <c r="V348" s="320">
        <v>0</v>
      </c>
      <c r="W348" s="320">
        <v>0</v>
      </c>
      <c r="X348" s="320">
        <v>0</v>
      </c>
      <c r="Y348" s="320">
        <v>0</v>
      </c>
      <c r="Z348" s="229">
        <v>1</v>
      </c>
      <c r="AA348" s="321">
        <v>0</v>
      </c>
      <c r="AB348" s="322">
        <v>0</v>
      </c>
      <c r="AC348" s="320">
        <v>0</v>
      </c>
      <c r="AD348" s="320">
        <v>0</v>
      </c>
      <c r="AE348" s="320">
        <v>0</v>
      </c>
      <c r="AF348" s="320">
        <v>0</v>
      </c>
      <c r="AG348" s="320">
        <v>0</v>
      </c>
      <c r="AH348" s="320">
        <v>0</v>
      </c>
      <c r="AI348" s="320">
        <v>0</v>
      </c>
      <c r="AJ348" s="320">
        <v>0</v>
      </c>
      <c r="AK348" s="321">
        <v>0</v>
      </c>
      <c r="AL348" s="332">
        <f t="shared" si="20"/>
        <v>1</v>
      </c>
      <c r="AM348" s="333">
        <f>0</f>
        <v>0</v>
      </c>
      <c r="AN348" s="334">
        <f t="shared" si="21"/>
        <v>1</v>
      </c>
      <c r="AO348" s="247">
        <v>45090</v>
      </c>
      <c r="AP348" s="186" t="s">
        <v>273</v>
      </c>
      <c r="AQ348" s="187" t="s">
        <v>1288</v>
      </c>
      <c r="AR348" s="187" t="s">
        <v>148</v>
      </c>
      <c r="AS348" s="188"/>
      <c r="AT348" s="188"/>
      <c r="AU348" s="189"/>
      <c r="AV348" s="189"/>
      <c r="AW348" s="189"/>
      <c r="AX348" s="190"/>
      <c r="AY348" s="191"/>
      <c r="AZ348" s="192"/>
    </row>
    <row r="349" spans="1:52" ht="28" hidden="1" customHeight="1">
      <c r="A349" s="219">
        <v>344</v>
      </c>
      <c r="B349" s="182">
        <v>45084</v>
      </c>
      <c r="C349" s="189"/>
      <c r="D349" s="188"/>
      <c r="E349" s="328" t="s">
        <v>136</v>
      </c>
      <c r="F349" s="329" t="s">
        <v>1184</v>
      </c>
      <c r="G349" s="329" t="s">
        <v>1113</v>
      </c>
      <c r="H349" s="329" t="s">
        <v>110</v>
      </c>
      <c r="I349" s="330" t="s">
        <v>1187</v>
      </c>
      <c r="J349" s="331" t="s">
        <v>1209</v>
      </c>
      <c r="K349" s="329" t="s">
        <v>80</v>
      </c>
      <c r="L349" s="329" t="s">
        <v>1112</v>
      </c>
      <c r="M349" s="329" t="s">
        <v>154</v>
      </c>
      <c r="N349" s="330" t="s">
        <v>214</v>
      </c>
      <c r="O349" s="330" t="s">
        <v>1217</v>
      </c>
      <c r="P349" s="177" t="s">
        <v>80</v>
      </c>
      <c r="Q349" s="177" t="s">
        <v>80</v>
      </c>
      <c r="R349" s="319">
        <f>0</f>
        <v>0</v>
      </c>
      <c r="S349" s="320">
        <v>0</v>
      </c>
      <c r="T349" s="320">
        <v>0</v>
      </c>
      <c r="U349" s="320">
        <v>0</v>
      </c>
      <c r="V349" s="320">
        <v>0</v>
      </c>
      <c r="W349" s="320">
        <v>0</v>
      </c>
      <c r="X349" s="320">
        <v>0</v>
      </c>
      <c r="Y349" s="320">
        <v>0</v>
      </c>
      <c r="Z349" s="229">
        <v>1</v>
      </c>
      <c r="AA349" s="321">
        <v>0</v>
      </c>
      <c r="AB349" s="322">
        <v>0</v>
      </c>
      <c r="AC349" s="320">
        <v>0</v>
      </c>
      <c r="AD349" s="320">
        <v>0</v>
      </c>
      <c r="AE349" s="320">
        <v>0</v>
      </c>
      <c r="AF349" s="320">
        <v>0</v>
      </c>
      <c r="AG349" s="320">
        <v>0</v>
      </c>
      <c r="AH349" s="320">
        <v>0</v>
      </c>
      <c r="AI349" s="320">
        <v>0</v>
      </c>
      <c r="AJ349" s="320">
        <v>0</v>
      </c>
      <c r="AK349" s="321">
        <v>0</v>
      </c>
      <c r="AL349" s="332">
        <f t="shared" si="20"/>
        <v>1</v>
      </c>
      <c r="AM349" s="333">
        <f>0</f>
        <v>0</v>
      </c>
      <c r="AN349" s="334">
        <f t="shared" si="21"/>
        <v>1</v>
      </c>
      <c r="AO349" s="247">
        <v>45090</v>
      </c>
      <c r="AP349" s="186" t="s">
        <v>273</v>
      </c>
      <c r="AQ349" s="187" t="s">
        <v>1288</v>
      </c>
      <c r="AR349" s="187" t="s">
        <v>148</v>
      </c>
      <c r="AS349" s="188"/>
      <c r="AT349" s="188"/>
      <c r="AU349" s="189"/>
      <c r="AV349" s="189"/>
      <c r="AW349" s="189"/>
      <c r="AX349" s="190"/>
      <c r="AY349" s="191"/>
      <c r="AZ349" s="192"/>
    </row>
    <row r="350" spans="1:52" ht="28" hidden="1" customHeight="1">
      <c r="A350" s="219">
        <v>345</v>
      </c>
      <c r="B350" s="182">
        <v>45084</v>
      </c>
      <c r="C350" s="328" t="s">
        <v>134</v>
      </c>
      <c r="D350" s="328" t="s">
        <v>135</v>
      </c>
      <c r="E350" s="328" t="s">
        <v>136</v>
      </c>
      <c r="F350" s="329" t="s">
        <v>1184</v>
      </c>
      <c r="G350" s="329" t="s">
        <v>1114</v>
      </c>
      <c r="H350" s="329" t="s">
        <v>110</v>
      </c>
      <c r="I350" s="330" t="s">
        <v>1185</v>
      </c>
      <c r="J350" s="331" t="s">
        <v>1210</v>
      </c>
      <c r="K350" s="329" t="s">
        <v>80</v>
      </c>
      <c r="L350" s="329" t="s">
        <v>1112</v>
      </c>
      <c r="M350" s="329" t="s">
        <v>154</v>
      </c>
      <c r="N350" s="330" t="s">
        <v>212</v>
      </c>
      <c r="O350" s="330" t="s">
        <v>1217</v>
      </c>
      <c r="P350" s="177" t="s">
        <v>80</v>
      </c>
      <c r="Q350" s="177" t="s">
        <v>80</v>
      </c>
      <c r="R350" s="319">
        <f>0</f>
        <v>0</v>
      </c>
      <c r="S350" s="320">
        <v>0</v>
      </c>
      <c r="T350" s="320">
        <v>0</v>
      </c>
      <c r="U350" s="320">
        <v>0</v>
      </c>
      <c r="V350" s="320">
        <v>0</v>
      </c>
      <c r="W350" s="320">
        <v>0</v>
      </c>
      <c r="X350" s="320">
        <v>0</v>
      </c>
      <c r="Y350" s="320">
        <v>0</v>
      </c>
      <c r="Z350" s="229">
        <v>1</v>
      </c>
      <c r="AA350" s="321">
        <v>0</v>
      </c>
      <c r="AB350" s="322">
        <v>0</v>
      </c>
      <c r="AC350" s="320">
        <v>0</v>
      </c>
      <c r="AD350" s="320">
        <v>0</v>
      </c>
      <c r="AE350" s="320">
        <v>0</v>
      </c>
      <c r="AF350" s="320">
        <v>0</v>
      </c>
      <c r="AG350" s="320">
        <v>0</v>
      </c>
      <c r="AH350" s="320">
        <v>0</v>
      </c>
      <c r="AI350" s="320">
        <v>0</v>
      </c>
      <c r="AJ350" s="320">
        <v>0</v>
      </c>
      <c r="AK350" s="321">
        <v>0</v>
      </c>
      <c r="AL350" s="332">
        <f t="shared" si="20"/>
        <v>1</v>
      </c>
      <c r="AM350" s="333">
        <f>0</f>
        <v>0</v>
      </c>
      <c r="AN350" s="334">
        <f t="shared" si="21"/>
        <v>1</v>
      </c>
      <c r="AO350" s="247">
        <v>45090</v>
      </c>
      <c r="AP350" s="186" t="s">
        <v>273</v>
      </c>
      <c r="AQ350" s="187" t="s">
        <v>1288</v>
      </c>
      <c r="AR350" s="187" t="s">
        <v>148</v>
      </c>
      <c r="AS350" s="188"/>
      <c r="AT350" s="188"/>
      <c r="AU350" s="189"/>
      <c r="AV350" s="189"/>
      <c r="AW350" s="189"/>
      <c r="AX350" s="190"/>
      <c r="AY350" s="191"/>
      <c r="AZ350" s="192"/>
    </row>
    <row r="351" spans="1:52" ht="28" hidden="1" customHeight="1">
      <c r="A351" s="219">
        <v>346</v>
      </c>
      <c r="B351" s="182">
        <v>45084</v>
      </c>
      <c r="C351" s="189"/>
      <c r="D351" s="188"/>
      <c r="E351" s="328" t="s">
        <v>136</v>
      </c>
      <c r="F351" s="329" t="s">
        <v>1184</v>
      </c>
      <c r="G351" s="329" t="s">
        <v>1115</v>
      </c>
      <c r="H351" s="329" t="s">
        <v>110</v>
      </c>
      <c r="I351" s="330" t="s">
        <v>1187</v>
      </c>
      <c r="J351" s="331" t="s">
        <v>1211</v>
      </c>
      <c r="K351" s="329" t="s">
        <v>80</v>
      </c>
      <c r="L351" s="329" t="s">
        <v>1112</v>
      </c>
      <c r="M351" s="329" t="s">
        <v>154</v>
      </c>
      <c r="N351" s="330" t="s">
        <v>212</v>
      </c>
      <c r="O351" s="330" t="s">
        <v>1217</v>
      </c>
      <c r="P351" s="177" t="s">
        <v>80</v>
      </c>
      <c r="Q351" s="177" t="s">
        <v>80</v>
      </c>
      <c r="R351" s="319">
        <f>0</f>
        <v>0</v>
      </c>
      <c r="S351" s="320">
        <v>0</v>
      </c>
      <c r="T351" s="320">
        <v>0</v>
      </c>
      <c r="U351" s="320">
        <v>0</v>
      </c>
      <c r="V351" s="320">
        <v>0</v>
      </c>
      <c r="W351" s="320">
        <v>0</v>
      </c>
      <c r="X351" s="320">
        <v>0</v>
      </c>
      <c r="Y351" s="320">
        <v>0</v>
      </c>
      <c r="Z351" s="229">
        <v>1</v>
      </c>
      <c r="AA351" s="321">
        <v>0</v>
      </c>
      <c r="AB351" s="322">
        <v>0</v>
      </c>
      <c r="AC351" s="320">
        <v>0</v>
      </c>
      <c r="AD351" s="320">
        <v>0</v>
      </c>
      <c r="AE351" s="320">
        <v>0</v>
      </c>
      <c r="AF351" s="320">
        <v>0</v>
      </c>
      <c r="AG351" s="320">
        <v>0</v>
      </c>
      <c r="AH351" s="320">
        <v>0</v>
      </c>
      <c r="AI351" s="320">
        <v>0</v>
      </c>
      <c r="AJ351" s="320">
        <v>0</v>
      </c>
      <c r="AK351" s="321">
        <v>0</v>
      </c>
      <c r="AL351" s="332">
        <f t="shared" si="20"/>
        <v>1</v>
      </c>
      <c r="AM351" s="333">
        <f>0</f>
        <v>0</v>
      </c>
      <c r="AN351" s="334">
        <f t="shared" si="21"/>
        <v>1</v>
      </c>
      <c r="AO351" s="247">
        <v>45090</v>
      </c>
      <c r="AP351" s="186" t="s">
        <v>273</v>
      </c>
      <c r="AQ351" s="187" t="s">
        <v>1288</v>
      </c>
      <c r="AR351" s="187" t="s">
        <v>148</v>
      </c>
      <c r="AS351" s="188"/>
      <c r="AT351" s="188"/>
      <c r="AU351" s="189"/>
      <c r="AV351" s="189"/>
      <c r="AW351" s="189"/>
      <c r="AX351" s="190"/>
      <c r="AY351" s="191"/>
      <c r="AZ351" s="192"/>
    </row>
    <row r="352" spans="1:52" ht="28" hidden="1" customHeight="1">
      <c r="A352" s="219">
        <v>347</v>
      </c>
      <c r="B352" s="182">
        <v>45084</v>
      </c>
      <c r="C352" s="328" t="s">
        <v>134</v>
      </c>
      <c r="D352" s="328" t="s">
        <v>135</v>
      </c>
      <c r="E352" s="328" t="s">
        <v>136</v>
      </c>
      <c r="F352" s="329" t="s">
        <v>1184</v>
      </c>
      <c r="G352" s="329" t="s">
        <v>1116</v>
      </c>
      <c r="H352" s="329" t="s">
        <v>110</v>
      </c>
      <c r="I352" s="330" t="s">
        <v>1185</v>
      </c>
      <c r="J352" s="331" t="s">
        <v>1212</v>
      </c>
      <c r="K352" s="329" t="s">
        <v>80</v>
      </c>
      <c r="L352" s="329" t="s">
        <v>1112</v>
      </c>
      <c r="M352" s="329" t="s">
        <v>154</v>
      </c>
      <c r="N352" s="330" t="s">
        <v>214</v>
      </c>
      <c r="O352" s="330" t="s">
        <v>1217</v>
      </c>
      <c r="P352" s="177" t="s">
        <v>80</v>
      </c>
      <c r="Q352" s="177" t="s">
        <v>80</v>
      </c>
      <c r="R352" s="319">
        <f>0</f>
        <v>0</v>
      </c>
      <c r="S352" s="320">
        <v>0</v>
      </c>
      <c r="T352" s="320">
        <v>0</v>
      </c>
      <c r="U352" s="320">
        <v>0</v>
      </c>
      <c r="V352" s="320">
        <v>0</v>
      </c>
      <c r="W352" s="320">
        <v>0</v>
      </c>
      <c r="X352" s="320">
        <v>0</v>
      </c>
      <c r="Y352" s="320">
        <v>0</v>
      </c>
      <c r="Z352" s="229">
        <v>1</v>
      </c>
      <c r="AA352" s="321">
        <v>0</v>
      </c>
      <c r="AB352" s="322">
        <v>0</v>
      </c>
      <c r="AC352" s="320">
        <v>0</v>
      </c>
      <c r="AD352" s="320">
        <v>0</v>
      </c>
      <c r="AE352" s="320">
        <v>0</v>
      </c>
      <c r="AF352" s="320">
        <v>0</v>
      </c>
      <c r="AG352" s="320">
        <v>0</v>
      </c>
      <c r="AH352" s="320">
        <v>0</v>
      </c>
      <c r="AI352" s="320">
        <v>0</v>
      </c>
      <c r="AJ352" s="320">
        <v>0</v>
      </c>
      <c r="AK352" s="321">
        <v>0</v>
      </c>
      <c r="AL352" s="332">
        <f t="shared" si="20"/>
        <v>1</v>
      </c>
      <c r="AM352" s="333">
        <f>0</f>
        <v>0</v>
      </c>
      <c r="AN352" s="334">
        <f t="shared" si="21"/>
        <v>1</v>
      </c>
      <c r="AO352" s="247">
        <v>45090</v>
      </c>
      <c r="AP352" s="186" t="s">
        <v>273</v>
      </c>
      <c r="AQ352" s="187" t="s">
        <v>1288</v>
      </c>
      <c r="AR352" s="187" t="s">
        <v>148</v>
      </c>
      <c r="AS352" s="188"/>
      <c r="AT352" s="188"/>
      <c r="AU352" s="189"/>
      <c r="AV352" s="189"/>
      <c r="AW352" s="189"/>
      <c r="AX352" s="190"/>
      <c r="AY352" s="191"/>
      <c r="AZ352" s="192"/>
    </row>
    <row r="353" spans="1:52" ht="28" hidden="1" customHeight="1">
      <c r="A353" s="219">
        <v>348</v>
      </c>
      <c r="B353" s="182">
        <v>45084</v>
      </c>
      <c r="C353" s="189"/>
      <c r="D353" s="188"/>
      <c r="E353" s="328" t="s">
        <v>136</v>
      </c>
      <c r="F353" s="329" t="s">
        <v>1184</v>
      </c>
      <c r="G353" s="329" t="s">
        <v>1117</v>
      </c>
      <c r="H353" s="329" t="s">
        <v>110</v>
      </c>
      <c r="I353" s="330" t="s">
        <v>1187</v>
      </c>
      <c r="J353" s="331" t="s">
        <v>1213</v>
      </c>
      <c r="K353" s="329" t="s">
        <v>80</v>
      </c>
      <c r="L353" s="329" t="s">
        <v>1112</v>
      </c>
      <c r="M353" s="329" t="s">
        <v>154</v>
      </c>
      <c r="N353" s="330" t="s">
        <v>214</v>
      </c>
      <c r="O353" s="330" t="s">
        <v>1217</v>
      </c>
      <c r="P353" s="177" t="s">
        <v>80</v>
      </c>
      <c r="Q353" s="177" t="s">
        <v>80</v>
      </c>
      <c r="R353" s="319">
        <f>0</f>
        <v>0</v>
      </c>
      <c r="S353" s="320">
        <v>0</v>
      </c>
      <c r="T353" s="320">
        <v>0</v>
      </c>
      <c r="U353" s="320">
        <v>0</v>
      </c>
      <c r="V353" s="320">
        <v>0</v>
      </c>
      <c r="W353" s="320">
        <v>0</v>
      </c>
      <c r="X353" s="320">
        <v>0</v>
      </c>
      <c r="Y353" s="320">
        <v>0</v>
      </c>
      <c r="Z353" s="229">
        <v>1</v>
      </c>
      <c r="AA353" s="321">
        <v>0</v>
      </c>
      <c r="AB353" s="322">
        <v>0</v>
      </c>
      <c r="AC353" s="320">
        <v>0</v>
      </c>
      <c r="AD353" s="320">
        <v>0</v>
      </c>
      <c r="AE353" s="320">
        <v>0</v>
      </c>
      <c r="AF353" s="320">
        <v>0</v>
      </c>
      <c r="AG353" s="320">
        <v>0</v>
      </c>
      <c r="AH353" s="320">
        <v>0</v>
      </c>
      <c r="AI353" s="320">
        <v>0</v>
      </c>
      <c r="AJ353" s="320">
        <v>0</v>
      </c>
      <c r="AK353" s="321">
        <v>0</v>
      </c>
      <c r="AL353" s="332">
        <f t="shared" si="20"/>
        <v>1</v>
      </c>
      <c r="AM353" s="333">
        <f>0</f>
        <v>0</v>
      </c>
      <c r="AN353" s="334">
        <f t="shared" si="21"/>
        <v>1</v>
      </c>
      <c r="AO353" s="247">
        <v>45090</v>
      </c>
      <c r="AP353" s="186" t="s">
        <v>273</v>
      </c>
      <c r="AQ353" s="187" t="s">
        <v>1288</v>
      </c>
      <c r="AR353" s="187" t="s">
        <v>148</v>
      </c>
      <c r="AS353" s="188"/>
      <c r="AT353" s="188"/>
      <c r="AU353" s="189"/>
      <c r="AV353" s="189"/>
      <c r="AW353" s="189"/>
      <c r="AX353" s="190"/>
      <c r="AY353" s="191"/>
      <c r="AZ353" s="192"/>
    </row>
    <row r="354" spans="1:52" ht="28" customHeight="1">
      <c r="A354" s="108">
        <v>349</v>
      </c>
      <c r="B354" s="101">
        <v>45084</v>
      </c>
      <c r="C354" s="87" t="s">
        <v>134</v>
      </c>
      <c r="D354" s="87" t="s">
        <v>135</v>
      </c>
      <c r="E354" s="87" t="s">
        <v>136</v>
      </c>
      <c r="F354" s="342" t="s">
        <v>1184</v>
      </c>
      <c r="G354" s="342" t="s">
        <v>1118</v>
      </c>
      <c r="H354" s="342" t="s">
        <v>110</v>
      </c>
      <c r="I354" s="343" t="s">
        <v>1119</v>
      </c>
      <c r="J354" s="341" t="s">
        <v>1120</v>
      </c>
      <c r="K354" s="342" t="s">
        <v>80</v>
      </c>
      <c r="L354" s="342" t="s">
        <v>1112</v>
      </c>
      <c r="M354" s="342" t="s">
        <v>154</v>
      </c>
      <c r="N354" s="343" t="s">
        <v>80</v>
      </c>
      <c r="O354" s="343" t="s">
        <v>1217</v>
      </c>
      <c r="P354" s="177" t="s">
        <v>80</v>
      </c>
      <c r="Q354" s="177" t="s">
        <v>80</v>
      </c>
      <c r="R354" s="319">
        <f>0</f>
        <v>0</v>
      </c>
      <c r="S354" s="320">
        <v>0</v>
      </c>
      <c r="T354" s="320">
        <v>0</v>
      </c>
      <c r="U354" s="320">
        <v>0</v>
      </c>
      <c r="V354" s="320">
        <v>0</v>
      </c>
      <c r="W354" s="320">
        <v>0</v>
      </c>
      <c r="X354" s="320">
        <v>0</v>
      </c>
      <c r="Y354" s="320">
        <v>0</v>
      </c>
      <c r="Z354" s="229">
        <v>1</v>
      </c>
      <c r="AA354" s="321">
        <v>0</v>
      </c>
      <c r="AB354" s="322">
        <v>0</v>
      </c>
      <c r="AC354" s="320">
        <v>0</v>
      </c>
      <c r="AD354" s="320">
        <v>0</v>
      </c>
      <c r="AE354" s="320">
        <v>0</v>
      </c>
      <c r="AF354" s="320">
        <v>0</v>
      </c>
      <c r="AG354" s="320">
        <v>0</v>
      </c>
      <c r="AH354" s="320">
        <v>0</v>
      </c>
      <c r="AI354" s="320">
        <v>0</v>
      </c>
      <c r="AJ354" s="320">
        <v>0</v>
      </c>
      <c r="AK354" s="321">
        <v>0</v>
      </c>
      <c r="AL354" s="323">
        <f t="shared" si="20"/>
        <v>1</v>
      </c>
      <c r="AM354" s="324">
        <f>0</f>
        <v>0</v>
      </c>
      <c r="AN354" s="344">
        <f t="shared" si="21"/>
        <v>1</v>
      </c>
      <c r="AO354" s="345">
        <v>45092</v>
      </c>
      <c r="AP354" s="346" t="s">
        <v>273</v>
      </c>
      <c r="AQ354" s="347" t="s">
        <v>1294</v>
      </c>
      <c r="AR354" s="342" t="s">
        <v>1292</v>
      </c>
      <c r="AS354" s="342"/>
      <c r="AT354" s="342"/>
      <c r="AU354" s="312"/>
      <c r="AV354" s="312"/>
      <c r="AW354" s="312"/>
      <c r="AX354" s="313"/>
      <c r="AY354" s="314"/>
      <c r="AZ354" s="315"/>
    </row>
    <row r="355" spans="1:52" ht="28" customHeight="1">
      <c r="A355" s="108">
        <v>350</v>
      </c>
      <c r="B355" s="101">
        <v>45084</v>
      </c>
      <c r="C355" s="87" t="s">
        <v>134</v>
      </c>
      <c r="D355" s="87" t="s">
        <v>135</v>
      </c>
      <c r="E355" s="87" t="s">
        <v>136</v>
      </c>
      <c r="F355" s="342" t="s">
        <v>1184</v>
      </c>
      <c r="G355" s="342" t="s">
        <v>1121</v>
      </c>
      <c r="H355" s="342" t="s">
        <v>110</v>
      </c>
      <c r="I355" s="343" t="s">
        <v>1122</v>
      </c>
      <c r="J355" s="341" t="s">
        <v>1123</v>
      </c>
      <c r="K355" s="342" t="s">
        <v>80</v>
      </c>
      <c r="L355" s="342" t="s">
        <v>1112</v>
      </c>
      <c r="M355" s="342" t="s">
        <v>154</v>
      </c>
      <c r="N355" s="343" t="s">
        <v>212</v>
      </c>
      <c r="O355" s="343" t="s">
        <v>1217</v>
      </c>
      <c r="P355" s="177" t="s">
        <v>80</v>
      </c>
      <c r="Q355" s="177" t="s">
        <v>80</v>
      </c>
      <c r="R355" s="319">
        <f>0</f>
        <v>0</v>
      </c>
      <c r="S355" s="320">
        <v>0</v>
      </c>
      <c r="T355" s="320">
        <v>0</v>
      </c>
      <c r="U355" s="320">
        <v>0</v>
      </c>
      <c r="V355" s="320">
        <v>0</v>
      </c>
      <c r="W355" s="320">
        <v>0</v>
      </c>
      <c r="X355" s="320">
        <v>0</v>
      </c>
      <c r="Y355" s="320">
        <v>0</v>
      </c>
      <c r="Z355" s="229">
        <v>1</v>
      </c>
      <c r="AA355" s="321">
        <v>0</v>
      </c>
      <c r="AB355" s="322">
        <v>0</v>
      </c>
      <c r="AC355" s="320">
        <v>0</v>
      </c>
      <c r="AD355" s="320">
        <v>0</v>
      </c>
      <c r="AE355" s="320">
        <v>0</v>
      </c>
      <c r="AF355" s="320">
        <v>0</v>
      </c>
      <c r="AG355" s="320">
        <v>0</v>
      </c>
      <c r="AH355" s="320">
        <v>0</v>
      </c>
      <c r="AI355" s="320">
        <v>0</v>
      </c>
      <c r="AJ355" s="320">
        <v>0</v>
      </c>
      <c r="AK355" s="321">
        <v>0</v>
      </c>
      <c r="AL355" s="323">
        <f t="shared" ref="AL355:AL386" si="22">SUM(R355:AK355)</f>
        <v>1</v>
      </c>
      <c r="AM355" s="324">
        <f>0</f>
        <v>0</v>
      </c>
      <c r="AN355" s="344">
        <f t="shared" ref="AN355:AN386" si="23">AL355-AM355</f>
        <v>1</v>
      </c>
      <c r="AO355" s="345">
        <v>45092</v>
      </c>
      <c r="AP355" s="346" t="s">
        <v>273</v>
      </c>
      <c r="AQ355" s="347" t="s">
        <v>1294</v>
      </c>
      <c r="AR355" s="342" t="s">
        <v>1292</v>
      </c>
      <c r="AS355" s="342"/>
      <c r="AT355" s="342"/>
      <c r="AU355" s="312"/>
      <c r="AV355" s="312"/>
      <c r="AW355" s="312"/>
      <c r="AX355" s="313"/>
      <c r="AY355" s="314"/>
      <c r="AZ355" s="315"/>
    </row>
    <row r="356" spans="1:52" ht="28" customHeight="1">
      <c r="A356" s="108">
        <v>351</v>
      </c>
      <c r="B356" s="101">
        <v>45084</v>
      </c>
      <c r="C356" s="87" t="s">
        <v>134</v>
      </c>
      <c r="D356" s="87" t="s">
        <v>135</v>
      </c>
      <c r="E356" s="87" t="s">
        <v>136</v>
      </c>
      <c r="F356" s="342" t="s">
        <v>1184</v>
      </c>
      <c r="G356" s="342" t="s">
        <v>1124</v>
      </c>
      <c r="H356" s="342" t="s">
        <v>110</v>
      </c>
      <c r="I356" s="343" t="s">
        <v>1125</v>
      </c>
      <c r="J356" s="341" t="s">
        <v>1126</v>
      </c>
      <c r="K356" s="342" t="s">
        <v>80</v>
      </c>
      <c r="L356" s="342" t="s">
        <v>1112</v>
      </c>
      <c r="M356" s="342" t="s">
        <v>154</v>
      </c>
      <c r="N356" s="343" t="s">
        <v>80</v>
      </c>
      <c r="O356" s="343" t="s">
        <v>1217</v>
      </c>
      <c r="P356" s="177" t="s">
        <v>80</v>
      </c>
      <c r="Q356" s="177" t="s">
        <v>80</v>
      </c>
      <c r="R356" s="319">
        <f>0</f>
        <v>0</v>
      </c>
      <c r="S356" s="320">
        <v>0</v>
      </c>
      <c r="T356" s="320">
        <v>0</v>
      </c>
      <c r="U356" s="320">
        <v>0</v>
      </c>
      <c r="V356" s="320">
        <v>0</v>
      </c>
      <c r="W356" s="320">
        <v>0</v>
      </c>
      <c r="X356" s="320">
        <v>0</v>
      </c>
      <c r="Y356" s="320">
        <v>0</v>
      </c>
      <c r="Z356" s="229">
        <v>1</v>
      </c>
      <c r="AA356" s="321">
        <v>0</v>
      </c>
      <c r="AB356" s="322">
        <v>0</v>
      </c>
      <c r="AC356" s="320">
        <v>0</v>
      </c>
      <c r="AD356" s="320">
        <v>0</v>
      </c>
      <c r="AE356" s="320">
        <v>0</v>
      </c>
      <c r="AF356" s="320">
        <v>0</v>
      </c>
      <c r="AG356" s="320">
        <v>0</v>
      </c>
      <c r="AH356" s="320">
        <v>0</v>
      </c>
      <c r="AI356" s="320">
        <v>0</v>
      </c>
      <c r="AJ356" s="320">
        <v>0</v>
      </c>
      <c r="AK356" s="321">
        <v>0</v>
      </c>
      <c r="AL356" s="323">
        <f t="shared" si="22"/>
        <v>1</v>
      </c>
      <c r="AM356" s="324">
        <f>0</f>
        <v>0</v>
      </c>
      <c r="AN356" s="344">
        <f t="shared" si="23"/>
        <v>1</v>
      </c>
      <c r="AO356" s="345">
        <v>45092</v>
      </c>
      <c r="AP356" s="346" t="s">
        <v>273</v>
      </c>
      <c r="AQ356" s="347" t="s">
        <v>1294</v>
      </c>
      <c r="AR356" s="342" t="s">
        <v>1292</v>
      </c>
      <c r="AS356" s="342"/>
      <c r="AT356" s="342"/>
      <c r="AU356" s="312"/>
      <c r="AV356" s="312"/>
      <c r="AW356" s="312"/>
      <c r="AX356" s="313"/>
      <c r="AY356" s="314"/>
      <c r="AZ356" s="315"/>
    </row>
    <row r="357" spans="1:52" ht="28" customHeight="1">
      <c r="A357" s="108">
        <v>352</v>
      </c>
      <c r="B357" s="101">
        <v>45084</v>
      </c>
      <c r="C357" s="87" t="s">
        <v>134</v>
      </c>
      <c r="D357" s="87" t="s">
        <v>135</v>
      </c>
      <c r="E357" s="87" t="s">
        <v>136</v>
      </c>
      <c r="F357" s="342" t="s">
        <v>1184</v>
      </c>
      <c r="G357" s="342" t="s">
        <v>1127</v>
      </c>
      <c r="H357" s="342" t="s">
        <v>110</v>
      </c>
      <c r="I357" s="343" t="s">
        <v>1128</v>
      </c>
      <c r="J357" s="341" t="s">
        <v>1129</v>
      </c>
      <c r="K357" s="342" t="s">
        <v>80</v>
      </c>
      <c r="L357" s="342" t="s">
        <v>1112</v>
      </c>
      <c r="M357" s="342" t="s">
        <v>481</v>
      </c>
      <c r="N357" s="343" t="s">
        <v>212</v>
      </c>
      <c r="O357" s="343" t="s">
        <v>1217</v>
      </c>
      <c r="P357" s="177" t="s">
        <v>80</v>
      </c>
      <c r="Q357" s="177" t="s">
        <v>80</v>
      </c>
      <c r="R357" s="319">
        <f>0</f>
        <v>0</v>
      </c>
      <c r="S357" s="320">
        <v>0</v>
      </c>
      <c r="T357" s="320">
        <v>0</v>
      </c>
      <c r="U357" s="320">
        <v>0</v>
      </c>
      <c r="V357" s="320">
        <v>0</v>
      </c>
      <c r="W357" s="320">
        <v>0</v>
      </c>
      <c r="X357" s="320">
        <v>0</v>
      </c>
      <c r="Y357" s="320">
        <v>0</v>
      </c>
      <c r="Z357" s="229">
        <v>1</v>
      </c>
      <c r="AA357" s="321">
        <v>0</v>
      </c>
      <c r="AB357" s="322">
        <v>0</v>
      </c>
      <c r="AC357" s="320">
        <v>0</v>
      </c>
      <c r="AD357" s="320">
        <v>0</v>
      </c>
      <c r="AE357" s="320">
        <v>0</v>
      </c>
      <c r="AF357" s="320">
        <v>0</v>
      </c>
      <c r="AG357" s="320">
        <v>0</v>
      </c>
      <c r="AH357" s="320">
        <v>0</v>
      </c>
      <c r="AI357" s="320">
        <v>0</v>
      </c>
      <c r="AJ357" s="320">
        <v>0</v>
      </c>
      <c r="AK357" s="321">
        <v>0</v>
      </c>
      <c r="AL357" s="323">
        <f t="shared" si="22"/>
        <v>1</v>
      </c>
      <c r="AM357" s="324">
        <f>0</f>
        <v>0</v>
      </c>
      <c r="AN357" s="344">
        <f t="shared" si="23"/>
        <v>1</v>
      </c>
      <c r="AO357" s="345">
        <v>45092</v>
      </c>
      <c r="AP357" s="346" t="s">
        <v>273</v>
      </c>
      <c r="AQ357" s="347" t="s">
        <v>1294</v>
      </c>
      <c r="AR357" s="342" t="s">
        <v>1292</v>
      </c>
      <c r="AS357" s="342"/>
      <c r="AT357" s="342"/>
      <c r="AU357" s="312"/>
      <c r="AV357" s="312"/>
      <c r="AW357" s="312"/>
      <c r="AX357" s="313"/>
      <c r="AY357" s="314"/>
      <c r="AZ357" s="315"/>
    </row>
    <row r="358" spans="1:52" ht="28" hidden="1" customHeight="1">
      <c r="A358" s="219">
        <v>353</v>
      </c>
      <c r="B358" s="182">
        <v>45084</v>
      </c>
      <c r="C358" s="328" t="s">
        <v>134</v>
      </c>
      <c r="D358" s="328" t="s">
        <v>135</v>
      </c>
      <c r="E358" s="328" t="s">
        <v>136</v>
      </c>
      <c r="F358" s="329" t="s">
        <v>1184</v>
      </c>
      <c r="G358" s="329" t="s">
        <v>1130</v>
      </c>
      <c r="H358" s="329" t="s">
        <v>110</v>
      </c>
      <c r="I358" s="330" t="s">
        <v>251</v>
      </c>
      <c r="J358" s="331" t="s">
        <v>1131</v>
      </c>
      <c r="K358" s="329" t="s">
        <v>80</v>
      </c>
      <c r="L358" s="329" t="s">
        <v>209</v>
      </c>
      <c r="M358" s="329" t="s">
        <v>114</v>
      </c>
      <c r="N358" s="330" t="s">
        <v>80</v>
      </c>
      <c r="O358" s="330" t="s">
        <v>1217</v>
      </c>
      <c r="P358" s="177" t="s">
        <v>80</v>
      </c>
      <c r="Q358" s="177" t="s">
        <v>80</v>
      </c>
      <c r="R358" s="319">
        <f>0</f>
        <v>0</v>
      </c>
      <c r="S358" s="320">
        <v>0</v>
      </c>
      <c r="T358" s="320">
        <v>0</v>
      </c>
      <c r="U358" s="320">
        <v>0</v>
      </c>
      <c r="V358" s="320">
        <v>0</v>
      </c>
      <c r="W358" s="320">
        <v>0</v>
      </c>
      <c r="X358" s="320">
        <v>0</v>
      </c>
      <c r="Y358" s="320">
        <v>0</v>
      </c>
      <c r="Z358" s="229">
        <v>1</v>
      </c>
      <c r="AA358" s="321">
        <v>0</v>
      </c>
      <c r="AB358" s="322">
        <v>0</v>
      </c>
      <c r="AC358" s="320">
        <v>0</v>
      </c>
      <c r="AD358" s="320">
        <v>0</v>
      </c>
      <c r="AE358" s="320">
        <v>0</v>
      </c>
      <c r="AF358" s="320">
        <v>0</v>
      </c>
      <c r="AG358" s="320">
        <v>0</v>
      </c>
      <c r="AH358" s="320">
        <v>0</v>
      </c>
      <c r="AI358" s="320">
        <v>0</v>
      </c>
      <c r="AJ358" s="320">
        <v>0</v>
      </c>
      <c r="AK358" s="321">
        <v>0</v>
      </c>
      <c r="AL358" s="323">
        <f t="shared" si="22"/>
        <v>1</v>
      </c>
      <c r="AM358" s="324">
        <f>0</f>
        <v>0</v>
      </c>
      <c r="AN358" s="334">
        <f t="shared" si="23"/>
        <v>1</v>
      </c>
      <c r="AO358" s="336">
        <v>45090</v>
      </c>
      <c r="AP358" s="337" t="s">
        <v>273</v>
      </c>
      <c r="AQ358" s="188" t="s">
        <v>1290</v>
      </c>
      <c r="AR358" s="329" t="s">
        <v>276</v>
      </c>
      <c r="AS358" s="188"/>
      <c r="AT358" s="188"/>
      <c r="AU358" s="189"/>
      <c r="AV358" s="189"/>
      <c r="AW358" s="189"/>
      <c r="AX358" s="190"/>
      <c r="AY358" s="191"/>
      <c r="AZ358" s="192"/>
    </row>
    <row r="359" spans="1:52" ht="28" hidden="1" customHeight="1">
      <c r="A359" s="219">
        <v>354</v>
      </c>
      <c r="B359" s="182">
        <v>45084</v>
      </c>
      <c r="C359" s="328" t="s">
        <v>134</v>
      </c>
      <c r="D359" s="328" t="s">
        <v>135</v>
      </c>
      <c r="E359" s="328" t="s">
        <v>136</v>
      </c>
      <c r="F359" s="329" t="s">
        <v>1184</v>
      </c>
      <c r="G359" s="329" t="s">
        <v>1132</v>
      </c>
      <c r="H359" s="329" t="s">
        <v>110</v>
      </c>
      <c r="I359" s="330" t="s">
        <v>251</v>
      </c>
      <c r="J359" s="331" t="s">
        <v>1133</v>
      </c>
      <c r="K359" s="329" t="s">
        <v>80</v>
      </c>
      <c r="L359" s="329" t="s">
        <v>209</v>
      </c>
      <c r="M359" s="329" t="s">
        <v>114</v>
      </c>
      <c r="N359" s="330" t="s">
        <v>80</v>
      </c>
      <c r="O359" s="330" t="s">
        <v>1217</v>
      </c>
      <c r="P359" s="177" t="s">
        <v>80</v>
      </c>
      <c r="Q359" s="177" t="s">
        <v>80</v>
      </c>
      <c r="R359" s="319">
        <f>0</f>
        <v>0</v>
      </c>
      <c r="S359" s="320">
        <v>0</v>
      </c>
      <c r="T359" s="320">
        <v>0</v>
      </c>
      <c r="U359" s="320">
        <v>0</v>
      </c>
      <c r="V359" s="320">
        <v>0</v>
      </c>
      <c r="W359" s="320">
        <v>0</v>
      </c>
      <c r="X359" s="320">
        <v>0</v>
      </c>
      <c r="Y359" s="320">
        <v>0</v>
      </c>
      <c r="Z359" s="229">
        <v>1</v>
      </c>
      <c r="AA359" s="321">
        <v>0</v>
      </c>
      <c r="AB359" s="322">
        <v>0</v>
      </c>
      <c r="AC359" s="320">
        <v>0</v>
      </c>
      <c r="AD359" s="320">
        <v>0</v>
      </c>
      <c r="AE359" s="320">
        <v>0</v>
      </c>
      <c r="AF359" s="320">
        <v>0</v>
      </c>
      <c r="AG359" s="320">
        <v>0</v>
      </c>
      <c r="AH359" s="320">
        <v>0</v>
      </c>
      <c r="AI359" s="320">
        <v>0</v>
      </c>
      <c r="AJ359" s="320">
        <v>0</v>
      </c>
      <c r="AK359" s="321">
        <v>0</v>
      </c>
      <c r="AL359" s="323">
        <f t="shared" si="22"/>
        <v>1</v>
      </c>
      <c r="AM359" s="324">
        <f>0</f>
        <v>0</v>
      </c>
      <c r="AN359" s="334">
        <f t="shared" si="23"/>
        <v>1</v>
      </c>
      <c r="AO359" s="336">
        <v>45090</v>
      </c>
      <c r="AP359" s="337" t="s">
        <v>273</v>
      </c>
      <c r="AQ359" s="188" t="s">
        <v>1290</v>
      </c>
      <c r="AR359" s="329" t="s">
        <v>276</v>
      </c>
      <c r="AS359" s="188"/>
      <c r="AT359" s="188"/>
      <c r="AU359" s="189"/>
      <c r="AV359" s="189"/>
      <c r="AW359" s="189"/>
      <c r="AX359" s="190"/>
      <c r="AY359" s="191"/>
      <c r="AZ359" s="192"/>
    </row>
    <row r="360" spans="1:52" ht="28" hidden="1" customHeight="1">
      <c r="A360" s="219">
        <v>355</v>
      </c>
      <c r="B360" s="182">
        <v>45084</v>
      </c>
      <c r="C360" s="328" t="s">
        <v>134</v>
      </c>
      <c r="D360" s="328" t="s">
        <v>135</v>
      </c>
      <c r="E360" s="328" t="s">
        <v>136</v>
      </c>
      <c r="F360" s="329" t="s">
        <v>1184</v>
      </c>
      <c r="G360" s="329" t="s">
        <v>1134</v>
      </c>
      <c r="H360" s="329" t="s">
        <v>287</v>
      </c>
      <c r="I360" s="330" t="s">
        <v>126</v>
      </c>
      <c r="J360" s="331" t="s">
        <v>1135</v>
      </c>
      <c r="K360" s="329" t="s">
        <v>80</v>
      </c>
      <c r="L360" s="329" t="s">
        <v>209</v>
      </c>
      <c r="M360" s="329" t="s">
        <v>114</v>
      </c>
      <c r="N360" s="330" t="s">
        <v>80</v>
      </c>
      <c r="O360" s="330" t="s">
        <v>1217</v>
      </c>
      <c r="P360" s="177" t="s">
        <v>80</v>
      </c>
      <c r="Q360" s="177" t="s">
        <v>80</v>
      </c>
      <c r="R360" s="319">
        <f>0</f>
        <v>0</v>
      </c>
      <c r="S360" s="320">
        <v>0</v>
      </c>
      <c r="T360" s="320">
        <v>0</v>
      </c>
      <c r="U360" s="320">
        <v>0</v>
      </c>
      <c r="V360" s="320">
        <v>0</v>
      </c>
      <c r="W360" s="320">
        <v>0</v>
      </c>
      <c r="X360" s="320">
        <v>0</v>
      </c>
      <c r="Y360" s="320">
        <v>0</v>
      </c>
      <c r="Z360" s="229">
        <v>1</v>
      </c>
      <c r="AA360" s="321">
        <v>0</v>
      </c>
      <c r="AB360" s="322">
        <v>0</v>
      </c>
      <c r="AC360" s="320">
        <v>0</v>
      </c>
      <c r="AD360" s="320">
        <v>0</v>
      </c>
      <c r="AE360" s="320">
        <v>0</v>
      </c>
      <c r="AF360" s="320">
        <v>0</v>
      </c>
      <c r="AG360" s="320">
        <v>0</v>
      </c>
      <c r="AH360" s="320">
        <v>0</v>
      </c>
      <c r="AI360" s="320">
        <v>0</v>
      </c>
      <c r="AJ360" s="320">
        <v>0</v>
      </c>
      <c r="AK360" s="321">
        <v>0</v>
      </c>
      <c r="AL360" s="323">
        <f t="shared" si="22"/>
        <v>1</v>
      </c>
      <c r="AM360" s="324">
        <f>0</f>
        <v>0</v>
      </c>
      <c r="AN360" s="334">
        <f t="shared" si="23"/>
        <v>1</v>
      </c>
      <c r="AO360" s="336">
        <v>45090</v>
      </c>
      <c r="AP360" s="337" t="s">
        <v>273</v>
      </c>
      <c r="AQ360" s="188" t="s">
        <v>1290</v>
      </c>
      <c r="AR360" s="329" t="s">
        <v>276</v>
      </c>
      <c r="AS360" s="188"/>
      <c r="AT360" s="188"/>
      <c r="AU360" s="189"/>
      <c r="AV360" s="189"/>
      <c r="AW360" s="189"/>
      <c r="AX360" s="190"/>
      <c r="AY360" s="191"/>
      <c r="AZ360" s="192"/>
    </row>
    <row r="361" spans="1:52" ht="28" hidden="1" customHeight="1">
      <c r="A361" s="219">
        <v>356</v>
      </c>
      <c r="B361" s="182">
        <v>45084</v>
      </c>
      <c r="C361" s="328" t="s">
        <v>134</v>
      </c>
      <c r="D361" s="328" t="s">
        <v>135</v>
      </c>
      <c r="E361" s="328" t="s">
        <v>136</v>
      </c>
      <c r="F361" s="329" t="s">
        <v>1184</v>
      </c>
      <c r="G361" s="329" t="s">
        <v>1136</v>
      </c>
      <c r="H361" s="329" t="s">
        <v>110</v>
      </c>
      <c r="I361" s="330" t="s">
        <v>1003</v>
      </c>
      <c r="J361" s="331" t="s">
        <v>1137</v>
      </c>
      <c r="K361" s="329" t="s">
        <v>80</v>
      </c>
      <c r="L361" s="329" t="s">
        <v>209</v>
      </c>
      <c r="M361" s="329" t="s">
        <v>114</v>
      </c>
      <c r="N361" s="330" t="s">
        <v>80</v>
      </c>
      <c r="O361" s="330" t="s">
        <v>1217</v>
      </c>
      <c r="P361" s="177" t="s">
        <v>80</v>
      </c>
      <c r="Q361" s="177" t="s">
        <v>80</v>
      </c>
      <c r="R361" s="319">
        <f>0</f>
        <v>0</v>
      </c>
      <c r="S361" s="320">
        <v>0</v>
      </c>
      <c r="T361" s="320">
        <v>0</v>
      </c>
      <c r="U361" s="320">
        <v>0</v>
      </c>
      <c r="V361" s="320">
        <v>0</v>
      </c>
      <c r="W361" s="320">
        <v>0</v>
      </c>
      <c r="X361" s="320">
        <v>0</v>
      </c>
      <c r="Y361" s="320">
        <v>0</v>
      </c>
      <c r="Z361" s="229">
        <v>1</v>
      </c>
      <c r="AA361" s="321">
        <v>0</v>
      </c>
      <c r="AB361" s="322">
        <v>0</v>
      </c>
      <c r="AC361" s="320">
        <v>0</v>
      </c>
      <c r="AD361" s="320">
        <v>0</v>
      </c>
      <c r="AE361" s="320">
        <v>0</v>
      </c>
      <c r="AF361" s="320">
        <v>0</v>
      </c>
      <c r="AG361" s="320">
        <v>0</v>
      </c>
      <c r="AH361" s="320">
        <v>0</v>
      </c>
      <c r="AI361" s="320">
        <v>0</v>
      </c>
      <c r="AJ361" s="320">
        <v>0</v>
      </c>
      <c r="AK361" s="321">
        <v>0</v>
      </c>
      <c r="AL361" s="323">
        <f t="shared" si="22"/>
        <v>1</v>
      </c>
      <c r="AM361" s="324">
        <f>0</f>
        <v>0</v>
      </c>
      <c r="AN361" s="334">
        <f t="shared" si="23"/>
        <v>1</v>
      </c>
      <c r="AO361" s="336">
        <v>45090</v>
      </c>
      <c r="AP361" s="337" t="s">
        <v>273</v>
      </c>
      <c r="AQ361" s="188" t="s">
        <v>1290</v>
      </c>
      <c r="AR361" s="329" t="s">
        <v>276</v>
      </c>
      <c r="AS361" s="188"/>
      <c r="AT361" s="188"/>
      <c r="AU361" s="189"/>
      <c r="AV361" s="189"/>
      <c r="AW361" s="189"/>
      <c r="AX361" s="190"/>
      <c r="AY361" s="191"/>
      <c r="AZ361" s="192"/>
    </row>
    <row r="362" spans="1:52" ht="28" hidden="1" customHeight="1">
      <c r="A362" s="219">
        <v>357</v>
      </c>
      <c r="B362" s="182">
        <v>45084</v>
      </c>
      <c r="C362" s="328" t="s">
        <v>134</v>
      </c>
      <c r="D362" s="328" t="s">
        <v>135</v>
      </c>
      <c r="E362" s="328" t="s">
        <v>136</v>
      </c>
      <c r="F362" s="329" t="s">
        <v>1184</v>
      </c>
      <c r="G362" s="329" t="s">
        <v>1138</v>
      </c>
      <c r="H362" s="329" t="s">
        <v>110</v>
      </c>
      <c r="I362" s="330" t="s">
        <v>251</v>
      </c>
      <c r="J362" s="331" t="s">
        <v>1139</v>
      </c>
      <c r="K362" s="329" t="s">
        <v>80</v>
      </c>
      <c r="L362" s="329" t="s">
        <v>209</v>
      </c>
      <c r="M362" s="329" t="s">
        <v>114</v>
      </c>
      <c r="N362" s="330" t="s">
        <v>80</v>
      </c>
      <c r="O362" s="330" t="s">
        <v>1217</v>
      </c>
      <c r="P362" s="177" t="s">
        <v>80</v>
      </c>
      <c r="Q362" s="177" t="s">
        <v>80</v>
      </c>
      <c r="R362" s="319">
        <f>0</f>
        <v>0</v>
      </c>
      <c r="S362" s="320">
        <v>0</v>
      </c>
      <c r="T362" s="320">
        <v>0</v>
      </c>
      <c r="U362" s="320">
        <v>0</v>
      </c>
      <c r="V362" s="320">
        <v>0</v>
      </c>
      <c r="W362" s="320">
        <v>0</v>
      </c>
      <c r="X362" s="320">
        <v>0</v>
      </c>
      <c r="Y362" s="320">
        <v>0</v>
      </c>
      <c r="Z362" s="229">
        <v>1</v>
      </c>
      <c r="AA362" s="321">
        <v>0</v>
      </c>
      <c r="AB362" s="322">
        <v>0</v>
      </c>
      <c r="AC362" s="320">
        <v>0</v>
      </c>
      <c r="AD362" s="320">
        <v>0</v>
      </c>
      <c r="AE362" s="320">
        <v>0</v>
      </c>
      <c r="AF362" s="320">
        <v>0</v>
      </c>
      <c r="AG362" s="320">
        <v>0</v>
      </c>
      <c r="AH362" s="320">
        <v>0</v>
      </c>
      <c r="AI362" s="320">
        <v>0</v>
      </c>
      <c r="AJ362" s="320">
        <v>0</v>
      </c>
      <c r="AK362" s="321">
        <v>0</v>
      </c>
      <c r="AL362" s="323">
        <f t="shared" si="22"/>
        <v>1</v>
      </c>
      <c r="AM362" s="324">
        <f>0</f>
        <v>0</v>
      </c>
      <c r="AN362" s="334">
        <f t="shared" si="23"/>
        <v>1</v>
      </c>
      <c r="AO362" s="336">
        <v>45090</v>
      </c>
      <c r="AP362" s="337" t="s">
        <v>273</v>
      </c>
      <c r="AQ362" s="188" t="s">
        <v>1290</v>
      </c>
      <c r="AR362" s="329" t="s">
        <v>276</v>
      </c>
      <c r="AS362" s="188"/>
      <c r="AT362" s="188"/>
      <c r="AU362" s="189"/>
      <c r="AV362" s="189"/>
      <c r="AW362" s="189"/>
      <c r="AX362" s="190"/>
      <c r="AY362" s="191"/>
      <c r="AZ362" s="192"/>
    </row>
    <row r="363" spans="1:52" ht="28" hidden="1" customHeight="1">
      <c r="A363" s="219">
        <v>358</v>
      </c>
      <c r="B363" s="182">
        <v>45084</v>
      </c>
      <c r="C363" s="328" t="s">
        <v>134</v>
      </c>
      <c r="D363" s="328" t="s">
        <v>135</v>
      </c>
      <c r="E363" s="328" t="s">
        <v>136</v>
      </c>
      <c r="F363" s="329" t="s">
        <v>1184</v>
      </c>
      <c r="G363" s="329" t="s">
        <v>1140</v>
      </c>
      <c r="H363" s="329" t="s">
        <v>110</v>
      </c>
      <c r="I363" s="330" t="s">
        <v>1214</v>
      </c>
      <c r="J363" s="331" t="s">
        <v>1141</v>
      </c>
      <c r="K363" s="329" t="s">
        <v>80</v>
      </c>
      <c r="L363" s="329" t="s">
        <v>209</v>
      </c>
      <c r="M363" s="329" t="s">
        <v>114</v>
      </c>
      <c r="N363" s="330" t="s">
        <v>80</v>
      </c>
      <c r="O363" s="330" t="s">
        <v>1217</v>
      </c>
      <c r="P363" s="177" t="s">
        <v>80</v>
      </c>
      <c r="Q363" s="177" t="s">
        <v>80</v>
      </c>
      <c r="R363" s="319">
        <f>0</f>
        <v>0</v>
      </c>
      <c r="S363" s="320">
        <v>0</v>
      </c>
      <c r="T363" s="320">
        <v>0</v>
      </c>
      <c r="U363" s="320">
        <v>0</v>
      </c>
      <c r="V363" s="320">
        <v>0</v>
      </c>
      <c r="W363" s="320">
        <v>0</v>
      </c>
      <c r="X363" s="320">
        <v>0</v>
      </c>
      <c r="Y363" s="320">
        <v>0</v>
      </c>
      <c r="Z363" s="229">
        <v>1</v>
      </c>
      <c r="AA363" s="321">
        <v>0</v>
      </c>
      <c r="AB363" s="322">
        <v>0</v>
      </c>
      <c r="AC363" s="320">
        <v>0</v>
      </c>
      <c r="AD363" s="320">
        <v>0</v>
      </c>
      <c r="AE363" s="320">
        <v>0</v>
      </c>
      <c r="AF363" s="320">
        <v>0</v>
      </c>
      <c r="AG363" s="320">
        <v>0</v>
      </c>
      <c r="AH363" s="320">
        <v>0</v>
      </c>
      <c r="AI363" s="320">
        <v>0</v>
      </c>
      <c r="AJ363" s="320">
        <v>0</v>
      </c>
      <c r="AK363" s="321">
        <v>0</v>
      </c>
      <c r="AL363" s="323">
        <f t="shared" si="22"/>
        <v>1</v>
      </c>
      <c r="AM363" s="324">
        <f>0</f>
        <v>0</v>
      </c>
      <c r="AN363" s="334">
        <f t="shared" si="23"/>
        <v>1</v>
      </c>
      <c r="AO363" s="336">
        <v>45090</v>
      </c>
      <c r="AP363" s="337" t="s">
        <v>273</v>
      </c>
      <c r="AQ363" s="188" t="s">
        <v>1290</v>
      </c>
      <c r="AR363" s="329" t="s">
        <v>276</v>
      </c>
      <c r="AS363" s="188"/>
      <c r="AT363" s="188"/>
      <c r="AU363" s="189"/>
      <c r="AV363" s="189"/>
      <c r="AW363" s="189"/>
      <c r="AX363" s="190"/>
      <c r="AY363" s="191"/>
      <c r="AZ363" s="192"/>
    </row>
    <row r="364" spans="1:52" ht="28" hidden="1" customHeight="1">
      <c r="A364" s="219">
        <v>359</v>
      </c>
      <c r="B364" s="182">
        <v>45084</v>
      </c>
      <c r="C364" s="328" t="s">
        <v>134</v>
      </c>
      <c r="D364" s="328" t="s">
        <v>135</v>
      </c>
      <c r="E364" s="328" t="s">
        <v>136</v>
      </c>
      <c r="F364" s="329" t="s">
        <v>1184</v>
      </c>
      <c r="G364" s="329" t="s">
        <v>1142</v>
      </c>
      <c r="H364" s="329" t="s">
        <v>110</v>
      </c>
      <c r="I364" s="330" t="s">
        <v>1143</v>
      </c>
      <c r="J364" s="331" t="s">
        <v>1144</v>
      </c>
      <c r="K364" s="329" t="s">
        <v>80</v>
      </c>
      <c r="L364" s="329" t="s">
        <v>209</v>
      </c>
      <c r="M364" s="329" t="s">
        <v>114</v>
      </c>
      <c r="N364" s="330" t="s">
        <v>80</v>
      </c>
      <c r="O364" s="330" t="s">
        <v>1217</v>
      </c>
      <c r="P364" s="177" t="s">
        <v>80</v>
      </c>
      <c r="Q364" s="177" t="s">
        <v>80</v>
      </c>
      <c r="R364" s="319">
        <f>0</f>
        <v>0</v>
      </c>
      <c r="S364" s="320">
        <v>0</v>
      </c>
      <c r="T364" s="320">
        <v>0</v>
      </c>
      <c r="U364" s="320">
        <v>0</v>
      </c>
      <c r="V364" s="320">
        <v>0</v>
      </c>
      <c r="W364" s="320">
        <v>0</v>
      </c>
      <c r="X364" s="320">
        <v>0</v>
      </c>
      <c r="Y364" s="320">
        <v>0</v>
      </c>
      <c r="Z364" s="229">
        <v>1</v>
      </c>
      <c r="AA364" s="321">
        <v>0</v>
      </c>
      <c r="AB364" s="322">
        <v>0</v>
      </c>
      <c r="AC364" s="320">
        <v>0</v>
      </c>
      <c r="AD364" s="320">
        <v>0</v>
      </c>
      <c r="AE364" s="320">
        <v>0</v>
      </c>
      <c r="AF364" s="320">
        <v>0</v>
      </c>
      <c r="AG364" s="320">
        <v>0</v>
      </c>
      <c r="AH364" s="320">
        <v>0</v>
      </c>
      <c r="AI364" s="320">
        <v>0</v>
      </c>
      <c r="AJ364" s="320">
        <v>0</v>
      </c>
      <c r="AK364" s="321">
        <v>0</v>
      </c>
      <c r="AL364" s="323">
        <f t="shared" si="22"/>
        <v>1</v>
      </c>
      <c r="AM364" s="324">
        <f>0</f>
        <v>0</v>
      </c>
      <c r="AN364" s="334">
        <f t="shared" si="23"/>
        <v>1</v>
      </c>
      <c r="AO364" s="336">
        <v>45090</v>
      </c>
      <c r="AP364" s="337" t="s">
        <v>273</v>
      </c>
      <c r="AQ364" s="188" t="s">
        <v>1290</v>
      </c>
      <c r="AR364" s="329" t="s">
        <v>276</v>
      </c>
      <c r="AS364" s="188"/>
      <c r="AT364" s="188"/>
      <c r="AU364" s="189"/>
      <c r="AV364" s="189"/>
      <c r="AW364" s="189"/>
      <c r="AX364" s="190"/>
      <c r="AY364" s="191"/>
      <c r="AZ364" s="192"/>
    </row>
    <row r="365" spans="1:52" ht="28" hidden="1" customHeight="1">
      <c r="A365" s="219">
        <v>360</v>
      </c>
      <c r="B365" s="182">
        <v>45084</v>
      </c>
      <c r="C365" s="328" t="s">
        <v>134</v>
      </c>
      <c r="D365" s="328" t="s">
        <v>135</v>
      </c>
      <c r="E365" s="328" t="s">
        <v>136</v>
      </c>
      <c r="F365" s="329" t="s">
        <v>1184</v>
      </c>
      <c r="G365" s="329" t="s">
        <v>1145</v>
      </c>
      <c r="H365" s="329" t="s">
        <v>110</v>
      </c>
      <c r="I365" s="330" t="s">
        <v>1146</v>
      </c>
      <c r="J365" s="331" t="s">
        <v>1147</v>
      </c>
      <c r="K365" s="329" t="s">
        <v>80</v>
      </c>
      <c r="L365" s="329" t="s">
        <v>209</v>
      </c>
      <c r="M365" s="329" t="s">
        <v>114</v>
      </c>
      <c r="N365" s="330" t="s">
        <v>80</v>
      </c>
      <c r="O365" s="330" t="s">
        <v>1217</v>
      </c>
      <c r="P365" s="177" t="s">
        <v>80</v>
      </c>
      <c r="Q365" s="177" t="s">
        <v>80</v>
      </c>
      <c r="R365" s="319">
        <f>0</f>
        <v>0</v>
      </c>
      <c r="S365" s="320">
        <v>0</v>
      </c>
      <c r="T365" s="320">
        <v>0</v>
      </c>
      <c r="U365" s="320">
        <v>0</v>
      </c>
      <c r="V365" s="320">
        <v>0</v>
      </c>
      <c r="W365" s="320">
        <v>0</v>
      </c>
      <c r="X365" s="320">
        <v>0</v>
      </c>
      <c r="Y365" s="320">
        <v>0</v>
      </c>
      <c r="Z365" s="229">
        <v>1</v>
      </c>
      <c r="AA365" s="321">
        <v>0</v>
      </c>
      <c r="AB365" s="322">
        <v>0</v>
      </c>
      <c r="AC365" s="320">
        <v>0</v>
      </c>
      <c r="AD365" s="320">
        <v>0</v>
      </c>
      <c r="AE365" s="320">
        <v>0</v>
      </c>
      <c r="AF365" s="320">
        <v>0</v>
      </c>
      <c r="AG365" s="320">
        <v>0</v>
      </c>
      <c r="AH365" s="320">
        <v>0</v>
      </c>
      <c r="AI365" s="320">
        <v>0</v>
      </c>
      <c r="AJ365" s="320">
        <v>0</v>
      </c>
      <c r="AK365" s="321">
        <v>0</v>
      </c>
      <c r="AL365" s="323">
        <f t="shared" si="22"/>
        <v>1</v>
      </c>
      <c r="AM365" s="324">
        <f>0</f>
        <v>0</v>
      </c>
      <c r="AN365" s="334">
        <f t="shared" si="23"/>
        <v>1</v>
      </c>
      <c r="AO365" s="336">
        <v>45090</v>
      </c>
      <c r="AP365" s="337" t="s">
        <v>273</v>
      </c>
      <c r="AQ365" s="188" t="s">
        <v>1290</v>
      </c>
      <c r="AR365" s="329" t="s">
        <v>276</v>
      </c>
      <c r="AS365" s="188"/>
      <c r="AT365" s="188"/>
      <c r="AU365" s="189"/>
      <c r="AV365" s="189"/>
      <c r="AW365" s="189"/>
      <c r="AX365" s="190"/>
      <c r="AY365" s="191"/>
      <c r="AZ365" s="192"/>
    </row>
    <row r="366" spans="1:52" ht="28" hidden="1" customHeight="1">
      <c r="A366" s="219">
        <v>361</v>
      </c>
      <c r="B366" s="182">
        <v>45084</v>
      </c>
      <c r="C366" s="328" t="s">
        <v>134</v>
      </c>
      <c r="D366" s="328" t="s">
        <v>135</v>
      </c>
      <c r="E366" s="328" t="s">
        <v>136</v>
      </c>
      <c r="F366" s="329" t="s">
        <v>1184</v>
      </c>
      <c r="G366" s="329" t="s">
        <v>1148</v>
      </c>
      <c r="H366" s="329" t="s">
        <v>110</v>
      </c>
      <c r="I366" s="330" t="s">
        <v>1003</v>
      </c>
      <c r="J366" s="331" t="s">
        <v>1149</v>
      </c>
      <c r="K366" s="329" t="s">
        <v>80</v>
      </c>
      <c r="L366" s="329" t="s">
        <v>209</v>
      </c>
      <c r="M366" s="329" t="s">
        <v>114</v>
      </c>
      <c r="N366" s="330" t="s">
        <v>80</v>
      </c>
      <c r="O366" s="330" t="s">
        <v>1217</v>
      </c>
      <c r="P366" s="177" t="s">
        <v>80</v>
      </c>
      <c r="Q366" s="177" t="s">
        <v>80</v>
      </c>
      <c r="R366" s="319">
        <f>0</f>
        <v>0</v>
      </c>
      <c r="S366" s="320">
        <v>0</v>
      </c>
      <c r="T366" s="320">
        <v>0</v>
      </c>
      <c r="U366" s="320">
        <v>0</v>
      </c>
      <c r="V366" s="320">
        <v>0</v>
      </c>
      <c r="W366" s="320">
        <v>0</v>
      </c>
      <c r="X366" s="320">
        <v>0</v>
      </c>
      <c r="Y366" s="320">
        <v>0</v>
      </c>
      <c r="Z366" s="229">
        <v>1</v>
      </c>
      <c r="AA366" s="321">
        <v>0</v>
      </c>
      <c r="AB366" s="322">
        <v>0</v>
      </c>
      <c r="AC366" s="320">
        <v>0</v>
      </c>
      <c r="AD366" s="320">
        <v>0</v>
      </c>
      <c r="AE366" s="320">
        <v>0</v>
      </c>
      <c r="AF366" s="320">
        <v>0</v>
      </c>
      <c r="AG366" s="320">
        <v>0</v>
      </c>
      <c r="AH366" s="320">
        <v>0</v>
      </c>
      <c r="AI366" s="320">
        <v>0</v>
      </c>
      <c r="AJ366" s="320">
        <v>0</v>
      </c>
      <c r="AK366" s="321">
        <v>0</v>
      </c>
      <c r="AL366" s="323">
        <f t="shared" si="22"/>
        <v>1</v>
      </c>
      <c r="AM366" s="324">
        <f>0</f>
        <v>0</v>
      </c>
      <c r="AN366" s="334">
        <f t="shared" si="23"/>
        <v>1</v>
      </c>
      <c r="AO366" s="336">
        <v>45090</v>
      </c>
      <c r="AP366" s="337" t="s">
        <v>273</v>
      </c>
      <c r="AQ366" s="188" t="s">
        <v>1290</v>
      </c>
      <c r="AR366" s="329" t="s">
        <v>276</v>
      </c>
      <c r="AS366" s="188"/>
      <c r="AT366" s="188"/>
      <c r="AU366" s="189"/>
      <c r="AV366" s="189"/>
      <c r="AW366" s="189"/>
      <c r="AX366" s="190"/>
      <c r="AY366" s="191"/>
      <c r="AZ366" s="192"/>
    </row>
    <row r="367" spans="1:52" ht="28" hidden="1" customHeight="1">
      <c r="A367" s="219">
        <v>362</v>
      </c>
      <c r="B367" s="182">
        <v>45084</v>
      </c>
      <c r="C367" s="328" t="s">
        <v>134</v>
      </c>
      <c r="D367" s="328" t="s">
        <v>135</v>
      </c>
      <c r="E367" s="328" t="s">
        <v>136</v>
      </c>
      <c r="F367" s="329" t="s">
        <v>1184</v>
      </c>
      <c r="G367" s="329" t="s">
        <v>1150</v>
      </c>
      <c r="H367" s="329" t="s">
        <v>110</v>
      </c>
      <c r="I367" s="330" t="s">
        <v>1003</v>
      </c>
      <c r="J367" s="331" t="s">
        <v>1151</v>
      </c>
      <c r="K367" s="329" t="s">
        <v>80</v>
      </c>
      <c r="L367" s="329" t="s">
        <v>209</v>
      </c>
      <c r="M367" s="329" t="s">
        <v>114</v>
      </c>
      <c r="N367" s="330" t="s">
        <v>80</v>
      </c>
      <c r="O367" s="330" t="s">
        <v>1217</v>
      </c>
      <c r="P367" s="177" t="s">
        <v>80</v>
      </c>
      <c r="Q367" s="177" t="s">
        <v>80</v>
      </c>
      <c r="R367" s="319">
        <f>0</f>
        <v>0</v>
      </c>
      <c r="S367" s="320">
        <v>0</v>
      </c>
      <c r="T367" s="320">
        <v>0</v>
      </c>
      <c r="U367" s="320">
        <v>0</v>
      </c>
      <c r="V367" s="320">
        <v>0</v>
      </c>
      <c r="W367" s="320">
        <v>0</v>
      </c>
      <c r="X367" s="320">
        <v>0</v>
      </c>
      <c r="Y367" s="320">
        <v>0</v>
      </c>
      <c r="Z367" s="229">
        <v>1</v>
      </c>
      <c r="AA367" s="321">
        <v>0</v>
      </c>
      <c r="AB367" s="322">
        <v>0</v>
      </c>
      <c r="AC367" s="320">
        <v>0</v>
      </c>
      <c r="AD367" s="320">
        <v>0</v>
      </c>
      <c r="AE367" s="320">
        <v>0</v>
      </c>
      <c r="AF367" s="320">
        <v>0</v>
      </c>
      <c r="AG367" s="320">
        <v>0</v>
      </c>
      <c r="AH367" s="320">
        <v>0</v>
      </c>
      <c r="AI367" s="320">
        <v>0</v>
      </c>
      <c r="AJ367" s="320">
        <v>0</v>
      </c>
      <c r="AK367" s="321">
        <v>0</v>
      </c>
      <c r="AL367" s="323">
        <f t="shared" si="22"/>
        <v>1</v>
      </c>
      <c r="AM367" s="324">
        <f>0</f>
        <v>0</v>
      </c>
      <c r="AN367" s="334">
        <f t="shared" si="23"/>
        <v>1</v>
      </c>
      <c r="AO367" s="336">
        <v>45090</v>
      </c>
      <c r="AP367" s="337" t="s">
        <v>273</v>
      </c>
      <c r="AQ367" s="188" t="s">
        <v>1290</v>
      </c>
      <c r="AR367" s="329" t="s">
        <v>276</v>
      </c>
      <c r="AS367" s="188"/>
      <c r="AT367" s="188"/>
      <c r="AU367" s="189"/>
      <c r="AV367" s="189"/>
      <c r="AW367" s="189"/>
      <c r="AX367" s="190"/>
      <c r="AY367" s="191"/>
      <c r="AZ367" s="192"/>
    </row>
    <row r="368" spans="1:52" ht="28" hidden="1" customHeight="1">
      <c r="A368" s="219">
        <v>363</v>
      </c>
      <c r="B368" s="182">
        <v>45084</v>
      </c>
      <c r="C368" s="328" t="s">
        <v>134</v>
      </c>
      <c r="D368" s="328" t="s">
        <v>135</v>
      </c>
      <c r="E368" s="328" t="s">
        <v>136</v>
      </c>
      <c r="F368" s="329" t="s">
        <v>1184</v>
      </c>
      <c r="G368" s="329" t="s">
        <v>1152</v>
      </c>
      <c r="H368" s="329" t="s">
        <v>110</v>
      </c>
      <c r="I368" s="330" t="s">
        <v>251</v>
      </c>
      <c r="J368" s="331" t="s">
        <v>1153</v>
      </c>
      <c r="K368" s="329" t="s">
        <v>80</v>
      </c>
      <c r="L368" s="329" t="s">
        <v>209</v>
      </c>
      <c r="M368" s="329" t="s">
        <v>114</v>
      </c>
      <c r="N368" s="330" t="s">
        <v>80</v>
      </c>
      <c r="O368" s="330" t="s">
        <v>1217</v>
      </c>
      <c r="P368" s="177" t="s">
        <v>80</v>
      </c>
      <c r="Q368" s="177" t="s">
        <v>80</v>
      </c>
      <c r="R368" s="319">
        <f>0</f>
        <v>0</v>
      </c>
      <c r="S368" s="320">
        <v>0</v>
      </c>
      <c r="T368" s="320">
        <v>0</v>
      </c>
      <c r="U368" s="320">
        <v>0</v>
      </c>
      <c r="V368" s="320">
        <v>0</v>
      </c>
      <c r="W368" s="320">
        <v>0</v>
      </c>
      <c r="X368" s="320">
        <v>0</v>
      </c>
      <c r="Y368" s="320">
        <v>0</v>
      </c>
      <c r="Z368" s="229">
        <v>1</v>
      </c>
      <c r="AA368" s="321">
        <v>0</v>
      </c>
      <c r="AB368" s="322">
        <v>0</v>
      </c>
      <c r="AC368" s="320">
        <v>0</v>
      </c>
      <c r="AD368" s="320">
        <v>0</v>
      </c>
      <c r="AE368" s="320">
        <v>0</v>
      </c>
      <c r="AF368" s="320">
        <v>0</v>
      </c>
      <c r="AG368" s="320">
        <v>0</v>
      </c>
      <c r="AH368" s="320">
        <v>0</v>
      </c>
      <c r="AI368" s="320">
        <v>0</v>
      </c>
      <c r="AJ368" s="320">
        <v>0</v>
      </c>
      <c r="AK368" s="321">
        <v>0</v>
      </c>
      <c r="AL368" s="323">
        <f t="shared" si="22"/>
        <v>1</v>
      </c>
      <c r="AM368" s="324">
        <f>0</f>
        <v>0</v>
      </c>
      <c r="AN368" s="334">
        <f t="shared" si="23"/>
        <v>1</v>
      </c>
      <c r="AO368" s="336">
        <v>45090</v>
      </c>
      <c r="AP368" s="337" t="s">
        <v>273</v>
      </c>
      <c r="AQ368" s="188" t="s">
        <v>1290</v>
      </c>
      <c r="AR368" s="329" t="s">
        <v>276</v>
      </c>
      <c r="AS368" s="188"/>
      <c r="AT368" s="188"/>
      <c r="AU368" s="189"/>
      <c r="AV368" s="189"/>
      <c r="AW368" s="189"/>
      <c r="AX368" s="190"/>
      <c r="AY368" s="191"/>
      <c r="AZ368" s="192"/>
    </row>
    <row r="369" spans="1:52" ht="28" hidden="1" customHeight="1">
      <c r="A369" s="219">
        <v>364</v>
      </c>
      <c r="B369" s="182">
        <v>45084</v>
      </c>
      <c r="C369" s="328" t="s">
        <v>134</v>
      </c>
      <c r="D369" s="328" t="s">
        <v>135</v>
      </c>
      <c r="E369" s="328" t="s">
        <v>136</v>
      </c>
      <c r="F369" s="329" t="s">
        <v>1184</v>
      </c>
      <c r="G369" s="329" t="s">
        <v>1154</v>
      </c>
      <c r="H369" s="329" t="s">
        <v>110</v>
      </c>
      <c r="I369" s="330" t="s">
        <v>251</v>
      </c>
      <c r="J369" s="331" t="s">
        <v>1155</v>
      </c>
      <c r="K369" s="329" t="s">
        <v>80</v>
      </c>
      <c r="L369" s="329" t="s">
        <v>209</v>
      </c>
      <c r="M369" s="329" t="s">
        <v>114</v>
      </c>
      <c r="N369" s="330" t="s">
        <v>80</v>
      </c>
      <c r="O369" s="330" t="s">
        <v>1217</v>
      </c>
      <c r="P369" s="177" t="s">
        <v>80</v>
      </c>
      <c r="Q369" s="177" t="s">
        <v>80</v>
      </c>
      <c r="R369" s="319">
        <f>0</f>
        <v>0</v>
      </c>
      <c r="S369" s="320">
        <v>0</v>
      </c>
      <c r="T369" s="320">
        <v>0</v>
      </c>
      <c r="U369" s="320">
        <v>0</v>
      </c>
      <c r="V369" s="320">
        <v>0</v>
      </c>
      <c r="W369" s="320">
        <v>0</v>
      </c>
      <c r="X369" s="320">
        <v>0</v>
      </c>
      <c r="Y369" s="320">
        <v>0</v>
      </c>
      <c r="Z369" s="229">
        <v>1</v>
      </c>
      <c r="AA369" s="321">
        <v>0</v>
      </c>
      <c r="AB369" s="322">
        <v>0</v>
      </c>
      <c r="AC369" s="320">
        <v>0</v>
      </c>
      <c r="AD369" s="320">
        <v>0</v>
      </c>
      <c r="AE369" s="320">
        <v>0</v>
      </c>
      <c r="AF369" s="320">
        <v>0</v>
      </c>
      <c r="AG369" s="320">
        <v>0</v>
      </c>
      <c r="AH369" s="320">
        <v>0</v>
      </c>
      <c r="AI369" s="320">
        <v>0</v>
      </c>
      <c r="AJ369" s="320">
        <v>0</v>
      </c>
      <c r="AK369" s="321">
        <v>0</v>
      </c>
      <c r="AL369" s="323">
        <f t="shared" si="22"/>
        <v>1</v>
      </c>
      <c r="AM369" s="324">
        <f>0</f>
        <v>0</v>
      </c>
      <c r="AN369" s="334">
        <f t="shared" si="23"/>
        <v>1</v>
      </c>
      <c r="AO369" s="336">
        <v>45090</v>
      </c>
      <c r="AP369" s="337" t="s">
        <v>273</v>
      </c>
      <c r="AQ369" s="188" t="s">
        <v>1290</v>
      </c>
      <c r="AR369" s="329" t="s">
        <v>276</v>
      </c>
      <c r="AS369" s="188"/>
      <c r="AT369" s="188"/>
      <c r="AU369" s="189"/>
      <c r="AV369" s="189"/>
      <c r="AW369" s="189"/>
      <c r="AX369" s="190"/>
      <c r="AY369" s="191"/>
      <c r="AZ369" s="192"/>
    </row>
    <row r="370" spans="1:52" ht="28" hidden="1" customHeight="1">
      <c r="A370" s="219">
        <v>365</v>
      </c>
      <c r="B370" s="182">
        <v>45084</v>
      </c>
      <c r="C370" s="328" t="s">
        <v>134</v>
      </c>
      <c r="D370" s="328" t="s">
        <v>135</v>
      </c>
      <c r="E370" s="328" t="s">
        <v>136</v>
      </c>
      <c r="F370" s="329" t="s">
        <v>1184</v>
      </c>
      <c r="G370" s="329" t="s">
        <v>1156</v>
      </c>
      <c r="H370" s="329" t="s">
        <v>110</v>
      </c>
      <c r="I370" s="330" t="s">
        <v>126</v>
      </c>
      <c r="J370" s="331" t="s">
        <v>1157</v>
      </c>
      <c r="K370" s="329" t="s">
        <v>80</v>
      </c>
      <c r="L370" s="329" t="s">
        <v>209</v>
      </c>
      <c r="M370" s="329" t="s">
        <v>114</v>
      </c>
      <c r="N370" s="330" t="s">
        <v>80</v>
      </c>
      <c r="O370" s="330" t="s">
        <v>1217</v>
      </c>
      <c r="P370" s="177" t="s">
        <v>80</v>
      </c>
      <c r="Q370" s="177" t="s">
        <v>80</v>
      </c>
      <c r="R370" s="319">
        <f>0</f>
        <v>0</v>
      </c>
      <c r="S370" s="320">
        <v>0</v>
      </c>
      <c r="T370" s="320">
        <v>0</v>
      </c>
      <c r="U370" s="320">
        <v>0</v>
      </c>
      <c r="V370" s="320">
        <v>0</v>
      </c>
      <c r="W370" s="320">
        <v>0</v>
      </c>
      <c r="X370" s="320">
        <v>0</v>
      </c>
      <c r="Y370" s="320">
        <v>0</v>
      </c>
      <c r="Z370" s="229">
        <v>1</v>
      </c>
      <c r="AA370" s="321">
        <v>0</v>
      </c>
      <c r="AB370" s="322">
        <v>0</v>
      </c>
      <c r="AC370" s="320">
        <v>0</v>
      </c>
      <c r="AD370" s="320">
        <v>0</v>
      </c>
      <c r="AE370" s="320">
        <v>0</v>
      </c>
      <c r="AF370" s="320">
        <v>0</v>
      </c>
      <c r="AG370" s="320">
        <v>0</v>
      </c>
      <c r="AH370" s="320">
        <v>0</v>
      </c>
      <c r="AI370" s="320">
        <v>0</v>
      </c>
      <c r="AJ370" s="320">
        <v>0</v>
      </c>
      <c r="AK370" s="321">
        <v>0</v>
      </c>
      <c r="AL370" s="323">
        <f t="shared" si="22"/>
        <v>1</v>
      </c>
      <c r="AM370" s="324">
        <f>0</f>
        <v>0</v>
      </c>
      <c r="AN370" s="334">
        <f t="shared" si="23"/>
        <v>1</v>
      </c>
      <c r="AO370" s="336">
        <v>45090</v>
      </c>
      <c r="AP370" s="337" t="s">
        <v>273</v>
      </c>
      <c r="AQ370" s="188" t="s">
        <v>1290</v>
      </c>
      <c r="AR370" s="329" t="s">
        <v>276</v>
      </c>
      <c r="AS370" s="188"/>
      <c r="AT370" s="188"/>
      <c r="AU370" s="189"/>
      <c r="AV370" s="189"/>
      <c r="AW370" s="189"/>
      <c r="AX370" s="190"/>
      <c r="AY370" s="191"/>
      <c r="AZ370" s="192"/>
    </row>
    <row r="371" spans="1:52" ht="28" hidden="1" customHeight="1">
      <c r="A371" s="219">
        <v>366</v>
      </c>
      <c r="B371" s="182">
        <v>45084</v>
      </c>
      <c r="C371" s="328" t="s">
        <v>134</v>
      </c>
      <c r="D371" s="328" t="s">
        <v>135</v>
      </c>
      <c r="E371" s="328" t="s">
        <v>136</v>
      </c>
      <c r="F371" s="329" t="s">
        <v>1184</v>
      </c>
      <c r="G371" s="329" t="s">
        <v>1158</v>
      </c>
      <c r="H371" s="329" t="s">
        <v>110</v>
      </c>
      <c r="I371" s="330" t="s">
        <v>1159</v>
      </c>
      <c r="J371" s="331" t="s">
        <v>1160</v>
      </c>
      <c r="K371" s="329"/>
      <c r="L371" s="329" t="s">
        <v>209</v>
      </c>
      <c r="M371" s="329" t="s">
        <v>154</v>
      </c>
      <c r="N371" s="330" t="s">
        <v>80</v>
      </c>
      <c r="O371" s="330" t="s">
        <v>1217</v>
      </c>
      <c r="P371" s="177" t="s">
        <v>80</v>
      </c>
      <c r="Q371" s="177" t="s">
        <v>80</v>
      </c>
      <c r="R371" s="319">
        <f>0</f>
        <v>0</v>
      </c>
      <c r="S371" s="320">
        <v>0</v>
      </c>
      <c r="T371" s="320">
        <v>0</v>
      </c>
      <c r="U371" s="320">
        <v>0</v>
      </c>
      <c r="V371" s="320">
        <v>0</v>
      </c>
      <c r="W371" s="320">
        <v>0</v>
      </c>
      <c r="X371" s="320">
        <v>0</v>
      </c>
      <c r="Y371" s="320">
        <v>0</v>
      </c>
      <c r="Z371" s="229">
        <v>1</v>
      </c>
      <c r="AA371" s="321">
        <v>0</v>
      </c>
      <c r="AB371" s="322">
        <v>0</v>
      </c>
      <c r="AC371" s="320">
        <v>0</v>
      </c>
      <c r="AD371" s="320">
        <v>0</v>
      </c>
      <c r="AE371" s="320">
        <v>0</v>
      </c>
      <c r="AF371" s="320">
        <v>0</v>
      </c>
      <c r="AG371" s="320">
        <v>0</v>
      </c>
      <c r="AH371" s="320">
        <v>0</v>
      </c>
      <c r="AI371" s="320">
        <v>0</v>
      </c>
      <c r="AJ371" s="320">
        <v>0</v>
      </c>
      <c r="AK371" s="321">
        <v>0</v>
      </c>
      <c r="AL371" s="332">
        <f t="shared" si="22"/>
        <v>1</v>
      </c>
      <c r="AM371" s="333">
        <f>0</f>
        <v>0</v>
      </c>
      <c r="AN371" s="334">
        <f t="shared" si="23"/>
        <v>1</v>
      </c>
      <c r="AO371" s="247">
        <v>45090</v>
      </c>
      <c r="AP371" s="186" t="s">
        <v>273</v>
      </c>
      <c r="AQ371" s="187" t="s">
        <v>1288</v>
      </c>
      <c r="AR371" s="187" t="s">
        <v>148</v>
      </c>
      <c r="AS371" s="188"/>
      <c r="AT371" s="188"/>
      <c r="AU371" s="189"/>
      <c r="AV371" s="189"/>
      <c r="AW371" s="189"/>
      <c r="AX371" s="190"/>
      <c r="AY371" s="191"/>
      <c r="AZ371" s="192"/>
    </row>
    <row r="372" spans="1:52" ht="28" hidden="1" customHeight="1">
      <c r="A372" s="219">
        <v>367</v>
      </c>
      <c r="B372" s="182">
        <v>45084</v>
      </c>
      <c r="C372" s="328" t="s">
        <v>134</v>
      </c>
      <c r="D372" s="328" t="s">
        <v>135</v>
      </c>
      <c r="E372" s="328" t="s">
        <v>136</v>
      </c>
      <c r="F372" s="329" t="s">
        <v>1184</v>
      </c>
      <c r="G372" s="329" t="s">
        <v>1161</v>
      </c>
      <c r="H372" s="329" t="s">
        <v>110</v>
      </c>
      <c r="I372" s="330" t="s">
        <v>251</v>
      </c>
      <c r="J372" s="331" t="s">
        <v>1162</v>
      </c>
      <c r="K372" s="329" t="s">
        <v>80</v>
      </c>
      <c r="L372" s="329" t="s">
        <v>209</v>
      </c>
      <c r="M372" s="329" t="s">
        <v>114</v>
      </c>
      <c r="N372" s="330" t="s">
        <v>80</v>
      </c>
      <c r="O372" s="330" t="s">
        <v>1217</v>
      </c>
      <c r="P372" s="177" t="s">
        <v>80</v>
      </c>
      <c r="Q372" s="177" t="s">
        <v>80</v>
      </c>
      <c r="R372" s="319">
        <f>0</f>
        <v>0</v>
      </c>
      <c r="S372" s="320">
        <v>0</v>
      </c>
      <c r="T372" s="320">
        <v>0</v>
      </c>
      <c r="U372" s="320">
        <v>0</v>
      </c>
      <c r="V372" s="320">
        <v>0</v>
      </c>
      <c r="W372" s="320">
        <v>0</v>
      </c>
      <c r="X372" s="320">
        <v>0</v>
      </c>
      <c r="Y372" s="320">
        <v>0</v>
      </c>
      <c r="Z372" s="229">
        <v>1</v>
      </c>
      <c r="AA372" s="321">
        <v>0</v>
      </c>
      <c r="AB372" s="322">
        <v>0</v>
      </c>
      <c r="AC372" s="320">
        <v>0</v>
      </c>
      <c r="AD372" s="320">
        <v>0</v>
      </c>
      <c r="AE372" s="320">
        <v>0</v>
      </c>
      <c r="AF372" s="320">
        <v>0</v>
      </c>
      <c r="AG372" s="320">
        <v>0</v>
      </c>
      <c r="AH372" s="320">
        <v>0</v>
      </c>
      <c r="AI372" s="320">
        <v>0</v>
      </c>
      <c r="AJ372" s="320">
        <v>0</v>
      </c>
      <c r="AK372" s="321">
        <v>0</v>
      </c>
      <c r="AL372" s="323">
        <f t="shared" si="22"/>
        <v>1</v>
      </c>
      <c r="AM372" s="324">
        <f>0</f>
        <v>0</v>
      </c>
      <c r="AN372" s="334">
        <f t="shared" si="23"/>
        <v>1</v>
      </c>
      <c r="AO372" s="336">
        <v>45090</v>
      </c>
      <c r="AP372" s="337" t="s">
        <v>273</v>
      </c>
      <c r="AQ372" s="188" t="s">
        <v>1290</v>
      </c>
      <c r="AR372" s="329" t="s">
        <v>276</v>
      </c>
      <c r="AS372" s="188"/>
      <c r="AT372" s="188"/>
      <c r="AU372" s="189"/>
      <c r="AV372" s="189"/>
      <c r="AW372" s="189"/>
      <c r="AX372" s="190"/>
      <c r="AY372" s="191"/>
      <c r="AZ372" s="192"/>
    </row>
    <row r="373" spans="1:52" ht="28" hidden="1" customHeight="1">
      <c r="A373" s="219">
        <v>368</v>
      </c>
      <c r="B373" s="182">
        <v>45084</v>
      </c>
      <c r="C373" s="328" t="s">
        <v>134</v>
      </c>
      <c r="D373" s="328" t="s">
        <v>135</v>
      </c>
      <c r="E373" s="328" t="s">
        <v>136</v>
      </c>
      <c r="F373" s="329" t="s">
        <v>1184</v>
      </c>
      <c r="G373" s="329" t="s">
        <v>1163</v>
      </c>
      <c r="H373" s="329" t="s">
        <v>287</v>
      </c>
      <c r="I373" s="330" t="s">
        <v>251</v>
      </c>
      <c r="J373" s="331" t="s">
        <v>1164</v>
      </c>
      <c r="K373" s="329" t="s">
        <v>80</v>
      </c>
      <c r="L373" s="329" t="s">
        <v>209</v>
      </c>
      <c r="M373" s="329" t="s">
        <v>114</v>
      </c>
      <c r="N373" s="330" t="s">
        <v>80</v>
      </c>
      <c r="O373" s="330" t="s">
        <v>1217</v>
      </c>
      <c r="P373" s="177" t="s">
        <v>80</v>
      </c>
      <c r="Q373" s="177" t="s">
        <v>80</v>
      </c>
      <c r="R373" s="319">
        <f>0</f>
        <v>0</v>
      </c>
      <c r="S373" s="320">
        <v>0</v>
      </c>
      <c r="T373" s="320">
        <v>0</v>
      </c>
      <c r="U373" s="320">
        <v>0</v>
      </c>
      <c r="V373" s="320">
        <v>0</v>
      </c>
      <c r="W373" s="320">
        <v>0</v>
      </c>
      <c r="X373" s="320">
        <v>0</v>
      </c>
      <c r="Y373" s="320">
        <v>0</v>
      </c>
      <c r="Z373" s="229">
        <v>1</v>
      </c>
      <c r="AA373" s="321">
        <v>0</v>
      </c>
      <c r="AB373" s="322">
        <v>0</v>
      </c>
      <c r="AC373" s="320">
        <v>0</v>
      </c>
      <c r="AD373" s="320">
        <v>0</v>
      </c>
      <c r="AE373" s="320">
        <v>0</v>
      </c>
      <c r="AF373" s="320">
        <v>0</v>
      </c>
      <c r="AG373" s="320">
        <v>0</v>
      </c>
      <c r="AH373" s="320">
        <v>0</v>
      </c>
      <c r="AI373" s="320">
        <v>0</v>
      </c>
      <c r="AJ373" s="320">
        <v>0</v>
      </c>
      <c r="AK373" s="321">
        <v>0</v>
      </c>
      <c r="AL373" s="323">
        <f t="shared" si="22"/>
        <v>1</v>
      </c>
      <c r="AM373" s="324">
        <f>0</f>
        <v>0</v>
      </c>
      <c r="AN373" s="334">
        <f t="shared" si="23"/>
        <v>1</v>
      </c>
      <c r="AO373" s="336">
        <v>45090</v>
      </c>
      <c r="AP373" s="337" t="s">
        <v>273</v>
      </c>
      <c r="AQ373" s="188" t="s">
        <v>1290</v>
      </c>
      <c r="AR373" s="329" t="s">
        <v>276</v>
      </c>
      <c r="AS373" s="188"/>
      <c r="AT373" s="188"/>
      <c r="AU373" s="189"/>
      <c r="AV373" s="189"/>
      <c r="AW373" s="189"/>
      <c r="AX373" s="190"/>
      <c r="AY373" s="191"/>
      <c r="AZ373" s="192"/>
    </row>
    <row r="374" spans="1:52" ht="28" customHeight="1">
      <c r="A374" s="108">
        <v>369</v>
      </c>
      <c r="B374" s="101">
        <v>45084</v>
      </c>
      <c r="C374" s="87" t="s">
        <v>134</v>
      </c>
      <c r="D374" s="87" t="s">
        <v>135</v>
      </c>
      <c r="E374" s="87" t="s">
        <v>136</v>
      </c>
      <c r="F374" s="342" t="s">
        <v>1184</v>
      </c>
      <c r="G374" s="342" t="s">
        <v>1165</v>
      </c>
      <c r="H374" s="342" t="s">
        <v>110</v>
      </c>
      <c r="I374" s="343" t="s">
        <v>248</v>
      </c>
      <c r="J374" s="341" t="s">
        <v>1166</v>
      </c>
      <c r="K374" s="342" t="s">
        <v>80</v>
      </c>
      <c r="L374" s="342" t="s">
        <v>168</v>
      </c>
      <c r="M374" s="342" t="s">
        <v>154</v>
      </c>
      <c r="N374" s="343" t="s">
        <v>80</v>
      </c>
      <c r="O374" s="343" t="s">
        <v>149</v>
      </c>
      <c r="P374" s="177" t="s">
        <v>80</v>
      </c>
      <c r="Q374" s="177" t="s">
        <v>80</v>
      </c>
      <c r="R374" s="319">
        <f>0</f>
        <v>0</v>
      </c>
      <c r="S374" s="320">
        <v>0</v>
      </c>
      <c r="T374" s="320">
        <v>0</v>
      </c>
      <c r="U374" s="320">
        <v>0</v>
      </c>
      <c r="V374" s="320">
        <v>0</v>
      </c>
      <c r="W374" s="320">
        <v>0</v>
      </c>
      <c r="X374" s="320">
        <v>0</v>
      </c>
      <c r="Y374" s="320">
        <v>0</v>
      </c>
      <c r="Z374" s="229">
        <v>1</v>
      </c>
      <c r="AA374" s="321">
        <v>0</v>
      </c>
      <c r="AB374" s="322">
        <v>0</v>
      </c>
      <c r="AC374" s="320">
        <v>0</v>
      </c>
      <c r="AD374" s="320">
        <v>0</v>
      </c>
      <c r="AE374" s="320">
        <v>0</v>
      </c>
      <c r="AF374" s="320">
        <v>0</v>
      </c>
      <c r="AG374" s="320">
        <v>0</v>
      </c>
      <c r="AH374" s="320">
        <v>0</v>
      </c>
      <c r="AI374" s="320">
        <v>0</v>
      </c>
      <c r="AJ374" s="320">
        <v>0</v>
      </c>
      <c r="AK374" s="321">
        <v>0</v>
      </c>
      <c r="AL374" s="323">
        <f t="shared" si="22"/>
        <v>1</v>
      </c>
      <c r="AM374" s="324">
        <f>0</f>
        <v>0</v>
      </c>
      <c r="AN374" s="344">
        <f t="shared" si="23"/>
        <v>1</v>
      </c>
      <c r="AO374" s="345">
        <v>45092</v>
      </c>
      <c r="AP374" s="346" t="s">
        <v>273</v>
      </c>
      <c r="AQ374" s="347" t="s">
        <v>1291</v>
      </c>
      <c r="AR374" s="342" t="s">
        <v>1292</v>
      </c>
      <c r="AS374" s="342"/>
      <c r="AT374" s="342"/>
      <c r="AU374" s="312"/>
      <c r="AV374" s="312"/>
      <c r="AW374" s="312"/>
      <c r="AX374" s="313"/>
      <c r="AY374" s="314"/>
      <c r="AZ374" s="315"/>
    </row>
    <row r="375" spans="1:52" ht="28" hidden="1" customHeight="1">
      <c r="A375" s="219">
        <v>370</v>
      </c>
      <c r="B375" s="182">
        <v>45084</v>
      </c>
      <c r="C375" s="328" t="s">
        <v>134</v>
      </c>
      <c r="D375" s="328" t="s">
        <v>135</v>
      </c>
      <c r="E375" s="328" t="s">
        <v>136</v>
      </c>
      <c r="F375" s="329" t="s">
        <v>1184</v>
      </c>
      <c r="G375" s="329" t="s">
        <v>1223</v>
      </c>
      <c r="H375" s="329" t="s">
        <v>1168</v>
      </c>
      <c r="I375" s="330" t="s">
        <v>280</v>
      </c>
      <c r="J375" s="331" t="s">
        <v>1223</v>
      </c>
      <c r="K375" s="329" t="s">
        <v>1167</v>
      </c>
      <c r="L375" s="329" t="s">
        <v>281</v>
      </c>
      <c r="M375" s="329" t="s">
        <v>148</v>
      </c>
      <c r="N375" s="330" t="s">
        <v>212</v>
      </c>
      <c r="O375" s="330" t="s">
        <v>149</v>
      </c>
      <c r="P375" s="177" t="s">
        <v>80</v>
      </c>
      <c r="Q375" s="177" t="s">
        <v>80</v>
      </c>
      <c r="R375" s="319">
        <f>0</f>
        <v>0</v>
      </c>
      <c r="S375" s="320">
        <v>0</v>
      </c>
      <c r="T375" s="320">
        <v>0</v>
      </c>
      <c r="U375" s="320">
        <v>0</v>
      </c>
      <c r="V375" s="320">
        <v>0</v>
      </c>
      <c r="W375" s="320">
        <v>0</v>
      </c>
      <c r="X375" s="320">
        <v>0</v>
      </c>
      <c r="Y375" s="320">
        <v>0</v>
      </c>
      <c r="Z375" s="229">
        <v>1</v>
      </c>
      <c r="AA375" s="321">
        <v>0</v>
      </c>
      <c r="AB375" s="322">
        <v>0</v>
      </c>
      <c r="AC375" s="320">
        <v>0</v>
      </c>
      <c r="AD375" s="320">
        <v>0</v>
      </c>
      <c r="AE375" s="320">
        <v>0</v>
      </c>
      <c r="AF375" s="320">
        <v>0</v>
      </c>
      <c r="AG375" s="320">
        <v>0</v>
      </c>
      <c r="AH375" s="320">
        <v>0</v>
      </c>
      <c r="AI375" s="320">
        <v>0</v>
      </c>
      <c r="AJ375" s="320">
        <v>0</v>
      </c>
      <c r="AK375" s="321">
        <v>0</v>
      </c>
      <c r="AL375" s="332">
        <f t="shared" si="22"/>
        <v>1</v>
      </c>
      <c r="AM375" s="333">
        <f>0</f>
        <v>0</v>
      </c>
      <c r="AN375" s="334">
        <f t="shared" si="23"/>
        <v>1</v>
      </c>
      <c r="AO375" s="247">
        <v>45090</v>
      </c>
      <c r="AP375" s="186" t="s">
        <v>273</v>
      </c>
      <c r="AQ375" s="187" t="s">
        <v>1288</v>
      </c>
      <c r="AR375" s="187" t="s">
        <v>148</v>
      </c>
      <c r="AS375" s="188"/>
      <c r="AT375" s="188"/>
      <c r="AU375" s="189"/>
      <c r="AV375" s="189"/>
      <c r="AW375" s="189"/>
      <c r="AX375" s="190"/>
      <c r="AY375" s="191"/>
      <c r="AZ375" s="192"/>
    </row>
    <row r="376" spans="1:52" ht="28" hidden="1" customHeight="1">
      <c r="A376" s="219">
        <v>371</v>
      </c>
      <c r="B376" s="182">
        <v>45084</v>
      </c>
      <c r="C376" s="328" t="s">
        <v>134</v>
      </c>
      <c r="D376" s="328" t="s">
        <v>135</v>
      </c>
      <c r="E376" s="328" t="s">
        <v>136</v>
      </c>
      <c r="F376" s="329" t="s">
        <v>1184</v>
      </c>
      <c r="G376" s="329" t="s">
        <v>278</v>
      </c>
      <c r="H376" s="329" t="s">
        <v>279</v>
      </c>
      <c r="I376" s="330" t="s">
        <v>280</v>
      </c>
      <c r="J376" s="331" t="s">
        <v>457</v>
      </c>
      <c r="K376" s="329" t="s">
        <v>433</v>
      </c>
      <c r="L376" s="329" t="s">
        <v>281</v>
      </c>
      <c r="M376" s="329" t="s">
        <v>148</v>
      </c>
      <c r="N376" s="330" t="s">
        <v>212</v>
      </c>
      <c r="O376" s="330" t="s">
        <v>149</v>
      </c>
      <c r="P376" s="177" t="s">
        <v>80</v>
      </c>
      <c r="Q376" s="177" t="s">
        <v>80</v>
      </c>
      <c r="R376" s="319">
        <f>0</f>
        <v>0</v>
      </c>
      <c r="S376" s="320">
        <v>0</v>
      </c>
      <c r="T376" s="320">
        <v>0</v>
      </c>
      <c r="U376" s="320">
        <v>0</v>
      </c>
      <c r="V376" s="320">
        <v>0</v>
      </c>
      <c r="W376" s="320">
        <v>0</v>
      </c>
      <c r="X376" s="320">
        <v>0</v>
      </c>
      <c r="Y376" s="320">
        <v>0</v>
      </c>
      <c r="Z376" s="229">
        <v>3</v>
      </c>
      <c r="AA376" s="321">
        <v>0</v>
      </c>
      <c r="AB376" s="322">
        <v>0</v>
      </c>
      <c r="AC376" s="320">
        <v>0</v>
      </c>
      <c r="AD376" s="320">
        <v>0</v>
      </c>
      <c r="AE376" s="320">
        <v>0</v>
      </c>
      <c r="AF376" s="320">
        <v>0</v>
      </c>
      <c r="AG376" s="320">
        <v>0</v>
      </c>
      <c r="AH376" s="320">
        <v>0</v>
      </c>
      <c r="AI376" s="320">
        <v>0</v>
      </c>
      <c r="AJ376" s="320">
        <v>0</v>
      </c>
      <c r="AK376" s="321">
        <v>0</v>
      </c>
      <c r="AL376" s="332">
        <f t="shared" si="22"/>
        <v>3</v>
      </c>
      <c r="AM376" s="333">
        <f>0</f>
        <v>0</v>
      </c>
      <c r="AN376" s="334">
        <f t="shared" si="23"/>
        <v>3</v>
      </c>
      <c r="AO376" s="247">
        <v>45090</v>
      </c>
      <c r="AP376" s="186" t="s">
        <v>273</v>
      </c>
      <c r="AQ376" s="187" t="s">
        <v>1288</v>
      </c>
      <c r="AR376" s="187" t="s">
        <v>148</v>
      </c>
      <c r="AS376" s="188"/>
      <c r="AT376" s="188"/>
      <c r="AU376" s="189"/>
      <c r="AV376" s="189"/>
      <c r="AW376" s="189"/>
      <c r="AX376" s="190"/>
      <c r="AY376" s="191"/>
      <c r="AZ376" s="192"/>
    </row>
    <row r="377" spans="1:52" ht="28" hidden="1" customHeight="1">
      <c r="A377" s="219">
        <v>372</v>
      </c>
      <c r="B377" s="182">
        <v>45084</v>
      </c>
      <c r="C377" s="328" t="s">
        <v>134</v>
      </c>
      <c r="D377" s="328" t="s">
        <v>135</v>
      </c>
      <c r="E377" s="328" t="s">
        <v>136</v>
      </c>
      <c r="F377" s="329" t="s">
        <v>1184</v>
      </c>
      <c r="G377" s="329" t="s">
        <v>1224</v>
      </c>
      <c r="H377" s="329" t="s">
        <v>283</v>
      </c>
      <c r="I377" s="330" t="s">
        <v>284</v>
      </c>
      <c r="J377" s="331" t="s">
        <v>1224</v>
      </c>
      <c r="K377" s="329" t="s">
        <v>282</v>
      </c>
      <c r="L377" s="329" t="s">
        <v>281</v>
      </c>
      <c r="M377" s="329" t="s">
        <v>148</v>
      </c>
      <c r="N377" s="330" t="s">
        <v>212</v>
      </c>
      <c r="O377" s="330" t="s">
        <v>149</v>
      </c>
      <c r="P377" s="177" t="s">
        <v>80</v>
      </c>
      <c r="Q377" s="177" t="s">
        <v>80</v>
      </c>
      <c r="R377" s="319">
        <f>0</f>
        <v>0</v>
      </c>
      <c r="S377" s="320">
        <v>0</v>
      </c>
      <c r="T377" s="320">
        <v>0</v>
      </c>
      <c r="U377" s="320">
        <v>0</v>
      </c>
      <c r="V377" s="320">
        <v>0</v>
      </c>
      <c r="W377" s="320">
        <v>0</v>
      </c>
      <c r="X377" s="320">
        <v>0</v>
      </c>
      <c r="Y377" s="320">
        <v>0</v>
      </c>
      <c r="Z377" s="229">
        <v>2</v>
      </c>
      <c r="AA377" s="321">
        <v>0</v>
      </c>
      <c r="AB377" s="322">
        <v>0</v>
      </c>
      <c r="AC377" s="320">
        <v>0</v>
      </c>
      <c r="AD377" s="320">
        <v>0</v>
      </c>
      <c r="AE377" s="320">
        <v>0</v>
      </c>
      <c r="AF377" s="320">
        <v>0</v>
      </c>
      <c r="AG377" s="320">
        <v>0</v>
      </c>
      <c r="AH377" s="320">
        <v>0</v>
      </c>
      <c r="AI377" s="320">
        <v>0</v>
      </c>
      <c r="AJ377" s="320">
        <v>0</v>
      </c>
      <c r="AK377" s="321">
        <v>0</v>
      </c>
      <c r="AL377" s="332">
        <f t="shared" si="22"/>
        <v>2</v>
      </c>
      <c r="AM377" s="333">
        <f>0</f>
        <v>0</v>
      </c>
      <c r="AN377" s="334">
        <f t="shared" si="23"/>
        <v>2</v>
      </c>
      <c r="AO377" s="247">
        <v>45090</v>
      </c>
      <c r="AP377" s="186" t="s">
        <v>273</v>
      </c>
      <c r="AQ377" s="187" t="s">
        <v>1288</v>
      </c>
      <c r="AR377" s="187" t="s">
        <v>148</v>
      </c>
      <c r="AS377" s="188"/>
      <c r="AT377" s="188"/>
      <c r="AU377" s="189"/>
      <c r="AV377" s="189"/>
      <c r="AW377" s="189"/>
      <c r="AX377" s="190"/>
      <c r="AY377" s="191"/>
      <c r="AZ377" s="192"/>
    </row>
    <row r="378" spans="1:52" ht="28" hidden="1" customHeight="1">
      <c r="A378" s="219">
        <v>373</v>
      </c>
      <c r="B378" s="182">
        <v>45084</v>
      </c>
      <c r="C378" s="335"/>
      <c r="D378" s="335"/>
      <c r="E378" s="335"/>
      <c r="F378" s="329" t="s">
        <v>1184</v>
      </c>
      <c r="G378" s="329" t="s">
        <v>1169</v>
      </c>
      <c r="H378" s="329">
        <v>0</v>
      </c>
      <c r="I378" s="330" t="s">
        <v>1215</v>
      </c>
      <c r="J378" s="331" t="s">
        <v>1170</v>
      </c>
      <c r="K378" s="329" t="s">
        <v>1171</v>
      </c>
      <c r="L378" s="329" t="s">
        <v>471</v>
      </c>
      <c r="M378" s="329" t="s">
        <v>148</v>
      </c>
      <c r="N378" s="330" t="s">
        <v>80</v>
      </c>
      <c r="O378" s="330" t="s">
        <v>149</v>
      </c>
      <c r="P378" s="177" t="s">
        <v>80</v>
      </c>
      <c r="Q378" s="177" t="s">
        <v>80</v>
      </c>
      <c r="R378" s="319">
        <v>0</v>
      </c>
      <c r="S378" s="320">
        <v>0</v>
      </c>
      <c r="T378" s="320">
        <v>0</v>
      </c>
      <c r="U378" s="320">
        <v>0</v>
      </c>
      <c r="V378" s="320">
        <v>0</v>
      </c>
      <c r="W378" s="320">
        <v>0</v>
      </c>
      <c r="X378" s="320">
        <v>0</v>
      </c>
      <c r="Y378" s="320">
        <v>0</v>
      </c>
      <c r="Z378" s="229">
        <v>2</v>
      </c>
      <c r="AA378" s="321">
        <v>0</v>
      </c>
      <c r="AB378" s="322">
        <v>0</v>
      </c>
      <c r="AC378" s="320">
        <v>0</v>
      </c>
      <c r="AD378" s="320">
        <v>0</v>
      </c>
      <c r="AE378" s="320">
        <v>0</v>
      </c>
      <c r="AF378" s="320">
        <v>0</v>
      </c>
      <c r="AG378" s="320">
        <v>0</v>
      </c>
      <c r="AH378" s="320">
        <v>0</v>
      </c>
      <c r="AI378" s="320">
        <v>0</v>
      </c>
      <c r="AJ378" s="320">
        <v>0</v>
      </c>
      <c r="AK378" s="321">
        <v>0</v>
      </c>
      <c r="AL378" s="332">
        <f t="shared" si="22"/>
        <v>2</v>
      </c>
      <c r="AM378" s="333">
        <f>0</f>
        <v>0</v>
      </c>
      <c r="AN378" s="334">
        <f t="shared" si="23"/>
        <v>2</v>
      </c>
      <c r="AO378" s="247">
        <v>45090</v>
      </c>
      <c r="AP378" s="186" t="s">
        <v>273</v>
      </c>
      <c r="AQ378" s="187" t="s">
        <v>1288</v>
      </c>
      <c r="AR378" s="187" t="s">
        <v>148</v>
      </c>
      <c r="AS378" s="188"/>
      <c r="AT378" s="188"/>
      <c r="AU378" s="189"/>
      <c r="AV378" s="189"/>
      <c r="AW378" s="189"/>
      <c r="AX378" s="190"/>
      <c r="AY378" s="191"/>
      <c r="AZ378" s="192"/>
    </row>
    <row r="379" spans="1:52" ht="28" hidden="1" customHeight="1">
      <c r="A379" s="219">
        <v>374</v>
      </c>
      <c r="B379" s="182">
        <v>45084</v>
      </c>
      <c r="C379" s="328" t="s">
        <v>134</v>
      </c>
      <c r="D379" s="328" t="s">
        <v>135</v>
      </c>
      <c r="E379" s="328" t="s">
        <v>136</v>
      </c>
      <c r="F379" s="329" t="s">
        <v>1184</v>
      </c>
      <c r="G379" s="329" t="s">
        <v>1172</v>
      </c>
      <c r="H379" s="329" t="s">
        <v>279</v>
      </c>
      <c r="I379" s="330" t="s">
        <v>280</v>
      </c>
      <c r="J379" s="331" t="s">
        <v>457</v>
      </c>
      <c r="K379" s="329" t="s">
        <v>1216</v>
      </c>
      <c r="L379" s="329" t="s">
        <v>1173</v>
      </c>
      <c r="M379" s="329" t="s">
        <v>148</v>
      </c>
      <c r="N379" s="330" t="s">
        <v>212</v>
      </c>
      <c r="O379" s="330" t="s">
        <v>149</v>
      </c>
      <c r="P379" s="177" t="s">
        <v>80</v>
      </c>
      <c r="Q379" s="177" t="s">
        <v>80</v>
      </c>
      <c r="R379" s="319">
        <v>0</v>
      </c>
      <c r="S379" s="320">
        <v>0</v>
      </c>
      <c r="T379" s="320">
        <v>0</v>
      </c>
      <c r="U379" s="320">
        <v>0</v>
      </c>
      <c r="V379" s="320">
        <v>0</v>
      </c>
      <c r="W379" s="320">
        <v>0</v>
      </c>
      <c r="X379" s="320">
        <v>0</v>
      </c>
      <c r="Y379" s="320">
        <v>0</v>
      </c>
      <c r="Z379" s="229">
        <v>1</v>
      </c>
      <c r="AA379" s="321">
        <v>0</v>
      </c>
      <c r="AB379" s="322">
        <v>0</v>
      </c>
      <c r="AC379" s="320">
        <v>0</v>
      </c>
      <c r="AD379" s="320">
        <v>0</v>
      </c>
      <c r="AE379" s="320">
        <v>0</v>
      </c>
      <c r="AF379" s="320">
        <v>0</v>
      </c>
      <c r="AG379" s="320">
        <v>0</v>
      </c>
      <c r="AH379" s="320">
        <v>0</v>
      </c>
      <c r="AI379" s="320">
        <v>0</v>
      </c>
      <c r="AJ379" s="320">
        <v>0</v>
      </c>
      <c r="AK379" s="321">
        <v>0</v>
      </c>
      <c r="AL379" s="332">
        <f t="shared" si="22"/>
        <v>1</v>
      </c>
      <c r="AM379" s="333">
        <f>0</f>
        <v>0</v>
      </c>
      <c r="AN379" s="334">
        <f t="shared" si="23"/>
        <v>1</v>
      </c>
      <c r="AO379" s="247">
        <v>45090</v>
      </c>
      <c r="AP379" s="186" t="s">
        <v>273</v>
      </c>
      <c r="AQ379" s="187" t="s">
        <v>1288</v>
      </c>
      <c r="AR379" s="187" t="s">
        <v>148</v>
      </c>
      <c r="AS379" s="188"/>
      <c r="AT379" s="188"/>
      <c r="AU379" s="189"/>
      <c r="AV379" s="189"/>
      <c r="AW379" s="189"/>
      <c r="AX379" s="190"/>
      <c r="AY379" s="191"/>
      <c r="AZ379" s="192"/>
    </row>
    <row r="380" spans="1:52" ht="28" hidden="1" customHeight="1">
      <c r="A380" s="219">
        <v>375</v>
      </c>
      <c r="B380" s="182">
        <v>45084</v>
      </c>
      <c r="C380" s="328" t="s">
        <v>134</v>
      </c>
      <c r="D380" s="328" t="s">
        <v>135</v>
      </c>
      <c r="E380" s="328" t="s">
        <v>136</v>
      </c>
      <c r="F380" s="329" t="s">
        <v>1184</v>
      </c>
      <c r="G380" s="329" t="s">
        <v>1174</v>
      </c>
      <c r="H380" s="329" t="s">
        <v>287</v>
      </c>
      <c r="I380" s="330" t="s">
        <v>1175</v>
      </c>
      <c r="J380" s="331" t="s">
        <v>1176</v>
      </c>
      <c r="K380" s="329" t="s">
        <v>1174</v>
      </c>
      <c r="L380" s="329" t="s">
        <v>168</v>
      </c>
      <c r="M380" s="329" t="s">
        <v>148</v>
      </c>
      <c r="N380" s="330" t="s">
        <v>214</v>
      </c>
      <c r="O380" s="330" t="s">
        <v>149</v>
      </c>
      <c r="P380" s="177" t="s">
        <v>80</v>
      </c>
      <c r="Q380" s="177" t="s">
        <v>80</v>
      </c>
      <c r="R380" s="319">
        <v>0</v>
      </c>
      <c r="S380" s="320">
        <v>0</v>
      </c>
      <c r="T380" s="320">
        <v>0</v>
      </c>
      <c r="U380" s="320">
        <v>0</v>
      </c>
      <c r="V380" s="320">
        <v>0</v>
      </c>
      <c r="W380" s="320">
        <v>0</v>
      </c>
      <c r="X380" s="320">
        <v>0</v>
      </c>
      <c r="Y380" s="320">
        <v>0</v>
      </c>
      <c r="Z380" s="229">
        <v>12</v>
      </c>
      <c r="AA380" s="321">
        <v>0</v>
      </c>
      <c r="AB380" s="322">
        <v>0</v>
      </c>
      <c r="AC380" s="320">
        <v>0</v>
      </c>
      <c r="AD380" s="320">
        <v>0</v>
      </c>
      <c r="AE380" s="320">
        <v>0</v>
      </c>
      <c r="AF380" s="320">
        <v>0</v>
      </c>
      <c r="AG380" s="320">
        <v>0</v>
      </c>
      <c r="AH380" s="320">
        <v>0</v>
      </c>
      <c r="AI380" s="320">
        <v>0</v>
      </c>
      <c r="AJ380" s="320">
        <v>0</v>
      </c>
      <c r="AK380" s="321">
        <v>0</v>
      </c>
      <c r="AL380" s="332">
        <f t="shared" si="22"/>
        <v>12</v>
      </c>
      <c r="AM380" s="333">
        <f>0</f>
        <v>0</v>
      </c>
      <c r="AN380" s="334">
        <f t="shared" si="23"/>
        <v>12</v>
      </c>
      <c r="AO380" s="247">
        <v>45090</v>
      </c>
      <c r="AP380" s="186" t="s">
        <v>273</v>
      </c>
      <c r="AQ380" s="187" t="s">
        <v>1288</v>
      </c>
      <c r="AR380" s="187" t="s">
        <v>148</v>
      </c>
      <c r="AS380" s="188"/>
      <c r="AT380" s="188"/>
      <c r="AU380" s="189"/>
      <c r="AV380" s="189"/>
      <c r="AW380" s="189"/>
      <c r="AX380" s="190"/>
      <c r="AY380" s="191"/>
      <c r="AZ380" s="192"/>
    </row>
    <row r="381" spans="1:52" ht="28" hidden="1" customHeight="1">
      <c r="A381" s="219">
        <v>376</v>
      </c>
      <c r="B381" s="182">
        <v>45084</v>
      </c>
      <c r="C381" s="328" t="s">
        <v>134</v>
      </c>
      <c r="D381" s="328" t="s">
        <v>135</v>
      </c>
      <c r="E381" s="328" t="s">
        <v>136</v>
      </c>
      <c r="F381" s="329" t="s">
        <v>1184</v>
      </c>
      <c r="G381" s="329" t="s">
        <v>1177</v>
      </c>
      <c r="H381" s="329" t="s">
        <v>287</v>
      </c>
      <c r="I381" s="330" t="s">
        <v>1175</v>
      </c>
      <c r="J381" s="331" t="s">
        <v>1178</v>
      </c>
      <c r="K381" s="329" t="s">
        <v>1177</v>
      </c>
      <c r="L381" s="329" t="s">
        <v>168</v>
      </c>
      <c r="M381" s="329" t="s">
        <v>148</v>
      </c>
      <c r="N381" s="330" t="s">
        <v>214</v>
      </c>
      <c r="O381" s="330" t="s">
        <v>149</v>
      </c>
      <c r="P381" s="177" t="s">
        <v>80</v>
      </c>
      <c r="Q381" s="177" t="s">
        <v>80</v>
      </c>
      <c r="R381" s="319">
        <v>0</v>
      </c>
      <c r="S381" s="320">
        <v>0</v>
      </c>
      <c r="T381" s="320">
        <v>0</v>
      </c>
      <c r="U381" s="320">
        <v>0</v>
      </c>
      <c r="V381" s="320">
        <v>0</v>
      </c>
      <c r="W381" s="320">
        <v>0</v>
      </c>
      <c r="X381" s="320">
        <v>0</v>
      </c>
      <c r="Y381" s="320">
        <v>0</v>
      </c>
      <c r="Z381" s="229">
        <v>2</v>
      </c>
      <c r="AA381" s="321">
        <v>0</v>
      </c>
      <c r="AB381" s="322">
        <v>0</v>
      </c>
      <c r="AC381" s="320">
        <v>0</v>
      </c>
      <c r="AD381" s="320">
        <v>0</v>
      </c>
      <c r="AE381" s="320">
        <v>0</v>
      </c>
      <c r="AF381" s="320">
        <v>0</v>
      </c>
      <c r="AG381" s="320">
        <v>0</v>
      </c>
      <c r="AH381" s="320">
        <v>0</v>
      </c>
      <c r="AI381" s="320">
        <v>0</v>
      </c>
      <c r="AJ381" s="320">
        <v>0</v>
      </c>
      <c r="AK381" s="321">
        <v>0</v>
      </c>
      <c r="AL381" s="332">
        <f t="shared" si="22"/>
        <v>2</v>
      </c>
      <c r="AM381" s="333">
        <f>0</f>
        <v>0</v>
      </c>
      <c r="AN381" s="334">
        <f t="shared" si="23"/>
        <v>2</v>
      </c>
      <c r="AO381" s="247">
        <v>45090</v>
      </c>
      <c r="AP381" s="186" t="s">
        <v>273</v>
      </c>
      <c r="AQ381" s="187" t="s">
        <v>1288</v>
      </c>
      <c r="AR381" s="187" t="s">
        <v>148</v>
      </c>
      <c r="AS381" s="188"/>
      <c r="AT381" s="188"/>
      <c r="AU381" s="189"/>
      <c r="AV381" s="189"/>
      <c r="AW381" s="189"/>
      <c r="AX381" s="190"/>
      <c r="AY381" s="191"/>
      <c r="AZ381" s="192"/>
    </row>
    <row r="382" spans="1:52" ht="28" hidden="1" customHeight="1">
      <c r="A382" s="219">
        <v>377</v>
      </c>
      <c r="B382" s="182">
        <v>45084</v>
      </c>
      <c r="C382" s="328" t="s">
        <v>134</v>
      </c>
      <c r="D382" s="328" t="s">
        <v>135</v>
      </c>
      <c r="E382" s="328" t="s">
        <v>136</v>
      </c>
      <c r="F382" s="329" t="s">
        <v>1184</v>
      </c>
      <c r="G382" s="329" t="s">
        <v>1179</v>
      </c>
      <c r="H382" s="329" t="s">
        <v>110</v>
      </c>
      <c r="I382" s="330" t="s">
        <v>1180</v>
      </c>
      <c r="J382" s="331" t="s">
        <v>1181</v>
      </c>
      <c r="K382" s="331" t="s">
        <v>1181</v>
      </c>
      <c r="L382" s="329" t="s">
        <v>168</v>
      </c>
      <c r="M382" s="329" t="s">
        <v>154</v>
      </c>
      <c r="N382" s="330" t="s">
        <v>573</v>
      </c>
      <c r="O382" s="330" t="s">
        <v>149</v>
      </c>
      <c r="P382" s="177" t="s">
        <v>80</v>
      </c>
      <c r="Q382" s="177" t="s">
        <v>80</v>
      </c>
      <c r="R382" s="319">
        <v>0</v>
      </c>
      <c r="S382" s="320">
        <v>0</v>
      </c>
      <c r="T382" s="320">
        <v>0</v>
      </c>
      <c r="U382" s="320">
        <v>0</v>
      </c>
      <c r="V382" s="320">
        <v>0</v>
      </c>
      <c r="W382" s="320">
        <v>0</v>
      </c>
      <c r="X382" s="320">
        <v>0</v>
      </c>
      <c r="Y382" s="320">
        <v>0</v>
      </c>
      <c r="Z382" s="229">
        <v>1</v>
      </c>
      <c r="AA382" s="321">
        <v>0</v>
      </c>
      <c r="AB382" s="322">
        <v>0</v>
      </c>
      <c r="AC382" s="320">
        <v>0</v>
      </c>
      <c r="AD382" s="320">
        <v>0</v>
      </c>
      <c r="AE382" s="320">
        <v>0</v>
      </c>
      <c r="AF382" s="320">
        <v>0</v>
      </c>
      <c r="AG382" s="320">
        <v>0</v>
      </c>
      <c r="AH382" s="320">
        <v>0</v>
      </c>
      <c r="AI382" s="320">
        <v>0</v>
      </c>
      <c r="AJ382" s="320">
        <v>0</v>
      </c>
      <c r="AK382" s="321">
        <v>0</v>
      </c>
      <c r="AL382" s="332">
        <f t="shared" si="22"/>
        <v>1</v>
      </c>
      <c r="AM382" s="333">
        <f>0</f>
        <v>0</v>
      </c>
      <c r="AN382" s="334">
        <f t="shared" si="23"/>
        <v>1</v>
      </c>
      <c r="AO382" s="247">
        <v>45090</v>
      </c>
      <c r="AP382" s="186" t="s">
        <v>273</v>
      </c>
      <c r="AQ382" s="187" t="s">
        <v>1288</v>
      </c>
      <c r="AR382" s="187" t="s">
        <v>148</v>
      </c>
      <c r="AS382" s="188"/>
      <c r="AT382" s="188"/>
      <c r="AU382" s="189"/>
      <c r="AV382" s="189"/>
      <c r="AW382" s="189"/>
      <c r="AX382" s="190"/>
      <c r="AY382" s="191"/>
      <c r="AZ382" s="192"/>
    </row>
    <row r="383" spans="1:52" ht="28" hidden="1" customHeight="1">
      <c r="A383" s="219">
        <v>378</v>
      </c>
      <c r="B383" s="182">
        <v>45084</v>
      </c>
      <c r="C383" s="328" t="s">
        <v>134</v>
      </c>
      <c r="D383" s="328" t="s">
        <v>135</v>
      </c>
      <c r="E383" s="328" t="s">
        <v>136</v>
      </c>
      <c r="F383" s="329" t="s">
        <v>1184</v>
      </c>
      <c r="G383" s="329" t="s">
        <v>1182</v>
      </c>
      <c r="H383" s="329" t="s">
        <v>287</v>
      </c>
      <c r="I383" s="330" t="s">
        <v>1180</v>
      </c>
      <c r="J383" s="331" t="s">
        <v>1222</v>
      </c>
      <c r="K383" s="329" t="s">
        <v>1182</v>
      </c>
      <c r="L383" s="329" t="s">
        <v>147</v>
      </c>
      <c r="M383" s="329" t="s">
        <v>148</v>
      </c>
      <c r="N383" s="330" t="s">
        <v>573</v>
      </c>
      <c r="O383" s="330" t="s">
        <v>149</v>
      </c>
      <c r="P383" s="177" t="s">
        <v>80</v>
      </c>
      <c r="Q383" s="177" t="s">
        <v>80</v>
      </c>
      <c r="R383" s="319">
        <v>0</v>
      </c>
      <c r="S383" s="320">
        <v>0</v>
      </c>
      <c r="T383" s="320">
        <v>0</v>
      </c>
      <c r="U383" s="320">
        <v>0</v>
      </c>
      <c r="V383" s="320">
        <v>0</v>
      </c>
      <c r="W383" s="320">
        <v>0</v>
      </c>
      <c r="X383" s="320">
        <v>0</v>
      </c>
      <c r="Y383" s="320">
        <v>0</v>
      </c>
      <c r="Z383" s="229">
        <v>1</v>
      </c>
      <c r="AA383" s="321">
        <v>0</v>
      </c>
      <c r="AB383" s="322">
        <v>0</v>
      </c>
      <c r="AC383" s="320">
        <v>0</v>
      </c>
      <c r="AD383" s="320">
        <v>0</v>
      </c>
      <c r="AE383" s="320">
        <v>0</v>
      </c>
      <c r="AF383" s="320">
        <v>0</v>
      </c>
      <c r="AG383" s="320">
        <v>0</v>
      </c>
      <c r="AH383" s="320">
        <v>0</v>
      </c>
      <c r="AI383" s="320">
        <v>0</v>
      </c>
      <c r="AJ383" s="320">
        <v>0</v>
      </c>
      <c r="AK383" s="321">
        <v>0</v>
      </c>
      <c r="AL383" s="332">
        <f t="shared" si="22"/>
        <v>1</v>
      </c>
      <c r="AM383" s="333">
        <f>0</f>
        <v>0</v>
      </c>
      <c r="AN383" s="334">
        <f t="shared" si="23"/>
        <v>1</v>
      </c>
      <c r="AO383" s="247">
        <v>45090</v>
      </c>
      <c r="AP383" s="186" t="s">
        <v>273</v>
      </c>
      <c r="AQ383" s="187" t="s">
        <v>1288</v>
      </c>
      <c r="AR383" s="187" t="s">
        <v>148</v>
      </c>
      <c r="AS383" s="188"/>
      <c r="AT383" s="188"/>
      <c r="AU383" s="189"/>
      <c r="AV383" s="189"/>
      <c r="AW383" s="189"/>
      <c r="AX383" s="190"/>
      <c r="AY383" s="191"/>
      <c r="AZ383" s="192"/>
    </row>
    <row r="384" spans="1:52" ht="28" hidden="1" customHeight="1">
      <c r="A384" s="219">
        <v>379</v>
      </c>
      <c r="B384" s="182">
        <v>45084</v>
      </c>
      <c r="C384" s="328" t="s">
        <v>134</v>
      </c>
      <c r="D384" s="328" t="s">
        <v>135</v>
      </c>
      <c r="E384" s="328" t="s">
        <v>136</v>
      </c>
      <c r="F384" s="329" t="s">
        <v>1184</v>
      </c>
      <c r="G384" s="329" t="s">
        <v>145</v>
      </c>
      <c r="H384" s="329" t="s">
        <v>110</v>
      </c>
      <c r="I384" s="330" t="s">
        <v>146</v>
      </c>
      <c r="J384" s="331" t="s">
        <v>1183</v>
      </c>
      <c r="K384" s="329" t="s">
        <v>145</v>
      </c>
      <c r="L384" s="329" t="s">
        <v>147</v>
      </c>
      <c r="M384" s="329" t="s">
        <v>148</v>
      </c>
      <c r="N384" s="330" t="s">
        <v>80</v>
      </c>
      <c r="O384" s="330" t="s">
        <v>149</v>
      </c>
      <c r="P384" s="177" t="s">
        <v>80</v>
      </c>
      <c r="Q384" s="177" t="s">
        <v>80</v>
      </c>
      <c r="R384" s="319">
        <v>0</v>
      </c>
      <c r="S384" s="320">
        <v>0</v>
      </c>
      <c r="T384" s="320">
        <v>0</v>
      </c>
      <c r="U384" s="320">
        <v>0</v>
      </c>
      <c r="V384" s="320">
        <v>0</v>
      </c>
      <c r="W384" s="320">
        <v>0</v>
      </c>
      <c r="X384" s="320">
        <v>0</v>
      </c>
      <c r="Y384" s="320">
        <v>0</v>
      </c>
      <c r="Z384" s="229">
        <v>11</v>
      </c>
      <c r="AA384" s="321">
        <v>0</v>
      </c>
      <c r="AB384" s="322">
        <v>0</v>
      </c>
      <c r="AC384" s="320">
        <v>0</v>
      </c>
      <c r="AD384" s="320">
        <v>0</v>
      </c>
      <c r="AE384" s="320">
        <v>0</v>
      </c>
      <c r="AF384" s="320">
        <v>0</v>
      </c>
      <c r="AG384" s="320">
        <v>0</v>
      </c>
      <c r="AH384" s="320">
        <v>0</v>
      </c>
      <c r="AI384" s="320">
        <v>0</v>
      </c>
      <c r="AJ384" s="320">
        <v>0</v>
      </c>
      <c r="AK384" s="321">
        <v>0</v>
      </c>
      <c r="AL384" s="332">
        <f t="shared" si="22"/>
        <v>11</v>
      </c>
      <c r="AM384" s="333">
        <f>0</f>
        <v>0</v>
      </c>
      <c r="AN384" s="334">
        <f t="shared" si="23"/>
        <v>11</v>
      </c>
      <c r="AO384" s="247">
        <v>45090</v>
      </c>
      <c r="AP384" s="186" t="s">
        <v>273</v>
      </c>
      <c r="AQ384" s="187" t="s">
        <v>1288</v>
      </c>
      <c r="AR384" s="187" t="s">
        <v>148</v>
      </c>
      <c r="AS384" s="188"/>
      <c r="AT384" s="188"/>
      <c r="AU384" s="189"/>
      <c r="AV384" s="189"/>
      <c r="AW384" s="189"/>
      <c r="AX384" s="190"/>
      <c r="AY384" s="191"/>
      <c r="AZ384" s="192"/>
    </row>
    <row r="385" spans="1:52" ht="28" hidden="1" customHeight="1">
      <c r="A385" s="219">
        <v>380</v>
      </c>
      <c r="B385" s="182">
        <v>45089</v>
      </c>
      <c r="C385" s="328" t="s">
        <v>134</v>
      </c>
      <c r="D385" s="328" t="s">
        <v>135</v>
      </c>
      <c r="E385" s="328" t="s">
        <v>136</v>
      </c>
      <c r="F385" s="329" t="s">
        <v>668</v>
      </c>
      <c r="G385" s="329" t="s">
        <v>1239</v>
      </c>
      <c r="H385" s="329" t="s">
        <v>110</v>
      </c>
      <c r="I385" s="330" t="s">
        <v>1233</v>
      </c>
      <c r="J385" s="331" t="s">
        <v>1234</v>
      </c>
      <c r="K385" s="329"/>
      <c r="L385" s="329" t="s">
        <v>119</v>
      </c>
      <c r="M385" s="329" t="s">
        <v>114</v>
      </c>
      <c r="N385" s="330"/>
      <c r="O385" s="330" t="s">
        <v>80</v>
      </c>
      <c r="P385" s="177"/>
      <c r="Q385" s="177"/>
      <c r="R385" s="319">
        <v>0</v>
      </c>
      <c r="S385" s="320">
        <v>0</v>
      </c>
      <c r="T385" s="320">
        <v>0</v>
      </c>
      <c r="U385" s="320">
        <v>0</v>
      </c>
      <c r="V385" s="320">
        <v>0</v>
      </c>
      <c r="W385" s="327">
        <v>1</v>
      </c>
      <c r="X385" s="320">
        <v>0</v>
      </c>
      <c r="Y385" s="320">
        <v>0</v>
      </c>
      <c r="Z385" s="282">
        <v>0</v>
      </c>
      <c r="AA385" s="321">
        <v>0</v>
      </c>
      <c r="AB385" s="322">
        <v>0</v>
      </c>
      <c r="AC385" s="320">
        <v>0</v>
      </c>
      <c r="AD385" s="320">
        <v>0</v>
      </c>
      <c r="AE385" s="320">
        <v>0</v>
      </c>
      <c r="AF385" s="320">
        <v>0</v>
      </c>
      <c r="AG385" s="320">
        <v>0</v>
      </c>
      <c r="AH385" s="320">
        <v>0</v>
      </c>
      <c r="AI385" s="320">
        <v>0</v>
      </c>
      <c r="AJ385" s="320">
        <v>0</v>
      </c>
      <c r="AK385" s="321">
        <v>0</v>
      </c>
      <c r="AL385" s="323">
        <f t="shared" si="22"/>
        <v>1</v>
      </c>
      <c r="AM385" s="324">
        <f>0</f>
        <v>0</v>
      </c>
      <c r="AN385" s="334">
        <f t="shared" si="23"/>
        <v>1</v>
      </c>
      <c r="AO385" s="336">
        <v>45090</v>
      </c>
      <c r="AP385" s="337" t="s">
        <v>273</v>
      </c>
      <c r="AQ385" s="188" t="s">
        <v>1290</v>
      </c>
      <c r="AR385" s="329" t="s">
        <v>276</v>
      </c>
      <c r="AS385" s="188"/>
      <c r="AT385" s="188"/>
      <c r="AU385" s="189"/>
      <c r="AV385" s="189"/>
      <c r="AW385" s="189"/>
      <c r="AX385" s="190"/>
      <c r="AY385" s="191"/>
      <c r="AZ385" s="192"/>
    </row>
    <row r="386" spans="1:52" ht="28" hidden="1" customHeight="1">
      <c r="A386" s="219">
        <v>381</v>
      </c>
      <c r="B386" s="182">
        <v>45089</v>
      </c>
      <c r="C386" s="328" t="s">
        <v>134</v>
      </c>
      <c r="D386" s="328" t="s">
        <v>135</v>
      </c>
      <c r="E386" s="328" t="s">
        <v>136</v>
      </c>
      <c r="F386" s="329" t="s">
        <v>668</v>
      </c>
      <c r="G386" s="329" t="s">
        <v>1240</v>
      </c>
      <c r="H386" s="329" t="s">
        <v>110</v>
      </c>
      <c r="I386" s="330" t="s">
        <v>1235</v>
      </c>
      <c r="J386" s="331" t="s">
        <v>1236</v>
      </c>
      <c r="K386" s="329"/>
      <c r="L386" s="329" t="s">
        <v>119</v>
      </c>
      <c r="M386" s="329" t="s">
        <v>114</v>
      </c>
      <c r="N386" s="330"/>
      <c r="O386" s="330" t="s">
        <v>80</v>
      </c>
      <c r="P386" s="177"/>
      <c r="Q386" s="177"/>
      <c r="R386" s="319">
        <v>0</v>
      </c>
      <c r="S386" s="320">
        <v>0</v>
      </c>
      <c r="T386" s="320">
        <v>0</v>
      </c>
      <c r="U386" s="320">
        <v>0</v>
      </c>
      <c r="V386" s="320">
        <v>0</v>
      </c>
      <c r="W386" s="327">
        <v>1</v>
      </c>
      <c r="X386" s="320">
        <v>0</v>
      </c>
      <c r="Y386" s="320">
        <v>0</v>
      </c>
      <c r="Z386" s="282">
        <v>0</v>
      </c>
      <c r="AA386" s="321">
        <v>0</v>
      </c>
      <c r="AB386" s="322">
        <v>0</v>
      </c>
      <c r="AC386" s="320">
        <v>0</v>
      </c>
      <c r="AD386" s="320">
        <v>0</v>
      </c>
      <c r="AE386" s="320">
        <v>0</v>
      </c>
      <c r="AF386" s="320">
        <v>0</v>
      </c>
      <c r="AG386" s="320">
        <v>0</v>
      </c>
      <c r="AH386" s="320">
        <v>0</v>
      </c>
      <c r="AI386" s="320">
        <v>0</v>
      </c>
      <c r="AJ386" s="320">
        <v>0</v>
      </c>
      <c r="AK386" s="321">
        <v>0</v>
      </c>
      <c r="AL386" s="323">
        <f t="shared" si="22"/>
        <v>1</v>
      </c>
      <c r="AM386" s="324">
        <f>0</f>
        <v>0</v>
      </c>
      <c r="AN386" s="334">
        <f t="shared" si="23"/>
        <v>1</v>
      </c>
      <c r="AO386" s="336">
        <v>45090</v>
      </c>
      <c r="AP386" s="337" t="s">
        <v>273</v>
      </c>
      <c r="AQ386" s="188" t="s">
        <v>1290</v>
      </c>
      <c r="AR386" s="329" t="s">
        <v>276</v>
      </c>
      <c r="AS386" s="188"/>
      <c r="AT386" s="188"/>
      <c r="AU386" s="189"/>
      <c r="AV386" s="189"/>
      <c r="AW386" s="189"/>
      <c r="AX386" s="190"/>
      <c r="AY386" s="191"/>
      <c r="AZ386" s="192"/>
    </row>
    <row r="387" spans="1:52" ht="28" hidden="1" customHeight="1">
      <c r="A387" s="219">
        <v>382</v>
      </c>
      <c r="B387" s="182">
        <v>45089</v>
      </c>
      <c r="C387" s="328" t="s">
        <v>134</v>
      </c>
      <c r="D387" s="328" t="s">
        <v>135</v>
      </c>
      <c r="E387" s="328" t="s">
        <v>136</v>
      </c>
      <c r="F387" s="329" t="s">
        <v>668</v>
      </c>
      <c r="G387" s="329" t="s">
        <v>1241</v>
      </c>
      <c r="H387" s="329" t="s">
        <v>110</v>
      </c>
      <c r="I387" s="330" t="s">
        <v>1237</v>
      </c>
      <c r="J387" s="331" t="s">
        <v>1238</v>
      </c>
      <c r="K387" s="329"/>
      <c r="L387" s="329" t="s">
        <v>119</v>
      </c>
      <c r="M387" s="329" t="s">
        <v>114</v>
      </c>
      <c r="N387" s="330"/>
      <c r="O387" s="330" t="s">
        <v>80</v>
      </c>
      <c r="P387" s="177"/>
      <c r="Q387" s="177"/>
      <c r="R387" s="319">
        <v>0</v>
      </c>
      <c r="S387" s="320">
        <v>0</v>
      </c>
      <c r="T387" s="320">
        <v>0</v>
      </c>
      <c r="U387" s="320">
        <v>0</v>
      </c>
      <c r="V387" s="320">
        <v>0</v>
      </c>
      <c r="W387" s="327">
        <v>1</v>
      </c>
      <c r="X387" s="320">
        <v>0</v>
      </c>
      <c r="Y387" s="320">
        <v>0</v>
      </c>
      <c r="Z387" s="282">
        <v>0</v>
      </c>
      <c r="AA387" s="321">
        <v>0</v>
      </c>
      <c r="AB387" s="322">
        <v>0</v>
      </c>
      <c r="AC387" s="320">
        <v>0</v>
      </c>
      <c r="AD387" s="320">
        <v>0</v>
      </c>
      <c r="AE387" s="320">
        <v>0</v>
      </c>
      <c r="AF387" s="320">
        <v>0</v>
      </c>
      <c r="AG387" s="320">
        <v>0</v>
      </c>
      <c r="AH387" s="320">
        <v>0</v>
      </c>
      <c r="AI387" s="320">
        <v>0</v>
      </c>
      <c r="AJ387" s="320">
        <v>0</v>
      </c>
      <c r="AK387" s="321">
        <v>0</v>
      </c>
      <c r="AL387" s="323">
        <f t="shared" ref="AL387:AL402" si="24">SUM(R387:AK387)</f>
        <v>1</v>
      </c>
      <c r="AM387" s="324">
        <f>0</f>
        <v>0</v>
      </c>
      <c r="AN387" s="334">
        <f t="shared" ref="AN387:AN402" si="25">AL387-AM387</f>
        <v>1</v>
      </c>
      <c r="AO387" s="336">
        <v>45090</v>
      </c>
      <c r="AP387" s="337" t="s">
        <v>273</v>
      </c>
      <c r="AQ387" s="188" t="s">
        <v>1290</v>
      </c>
      <c r="AR387" s="329" t="s">
        <v>276</v>
      </c>
      <c r="AS387" s="188"/>
      <c r="AT387" s="188"/>
      <c r="AU387" s="189"/>
      <c r="AV387" s="189"/>
      <c r="AW387" s="189"/>
      <c r="AX387" s="190"/>
      <c r="AY387" s="191"/>
      <c r="AZ387" s="192"/>
    </row>
    <row r="388" spans="1:52" ht="28" hidden="1" customHeight="1">
      <c r="A388" s="219">
        <v>383</v>
      </c>
      <c r="B388" s="182">
        <v>45089</v>
      </c>
      <c r="C388" s="328" t="s">
        <v>134</v>
      </c>
      <c r="D388" s="328" t="s">
        <v>135</v>
      </c>
      <c r="E388" s="328"/>
      <c r="F388" s="329" t="s">
        <v>668</v>
      </c>
      <c r="G388" s="329" t="s">
        <v>1277</v>
      </c>
      <c r="H388" s="329" t="s">
        <v>110</v>
      </c>
      <c r="I388" s="330" t="s">
        <v>1276</v>
      </c>
      <c r="J388" s="331" t="s">
        <v>1242</v>
      </c>
      <c r="K388" s="329"/>
      <c r="L388" s="329" t="s">
        <v>1243</v>
      </c>
      <c r="M388" s="329" t="s">
        <v>1244</v>
      </c>
      <c r="N388" s="330"/>
      <c r="O388" s="330"/>
      <c r="P388" s="177" t="s">
        <v>1283</v>
      </c>
      <c r="Q388" s="177"/>
      <c r="R388" s="319">
        <v>0</v>
      </c>
      <c r="S388" s="320">
        <v>0</v>
      </c>
      <c r="T388" s="320">
        <v>0</v>
      </c>
      <c r="U388" s="320">
        <v>0</v>
      </c>
      <c r="V388" s="320">
        <v>0</v>
      </c>
      <c r="W388" s="327">
        <v>1</v>
      </c>
      <c r="X388" s="320">
        <v>0</v>
      </c>
      <c r="Y388" s="320">
        <v>0</v>
      </c>
      <c r="Z388" s="282">
        <v>0</v>
      </c>
      <c r="AA388" s="321">
        <v>0</v>
      </c>
      <c r="AB388" s="322">
        <v>0</v>
      </c>
      <c r="AC388" s="320">
        <v>0</v>
      </c>
      <c r="AD388" s="320">
        <v>0</v>
      </c>
      <c r="AE388" s="320">
        <v>0</v>
      </c>
      <c r="AF388" s="320">
        <v>0</v>
      </c>
      <c r="AG388" s="320">
        <v>0</v>
      </c>
      <c r="AH388" s="320">
        <v>0</v>
      </c>
      <c r="AI388" s="320">
        <v>0</v>
      </c>
      <c r="AJ388" s="320">
        <v>0</v>
      </c>
      <c r="AK388" s="321">
        <v>0</v>
      </c>
      <c r="AL388" s="323">
        <f t="shared" si="24"/>
        <v>1</v>
      </c>
      <c r="AM388" s="324">
        <f>0</f>
        <v>0</v>
      </c>
      <c r="AN388" s="334">
        <f t="shared" si="25"/>
        <v>1</v>
      </c>
      <c r="AO388" s="336">
        <v>45090</v>
      </c>
      <c r="AP388" s="337" t="s">
        <v>273</v>
      </c>
      <c r="AQ388" s="188" t="s">
        <v>1290</v>
      </c>
      <c r="AR388" s="329" t="s">
        <v>276</v>
      </c>
      <c r="AS388" s="188"/>
      <c r="AT388" s="188"/>
      <c r="AU388" s="189"/>
      <c r="AV388" s="189"/>
      <c r="AW388" s="189"/>
      <c r="AX388" s="190"/>
      <c r="AY388" s="191"/>
      <c r="AZ388" s="192"/>
    </row>
    <row r="389" spans="1:52" ht="28" hidden="1" customHeight="1">
      <c r="A389" s="219">
        <v>384</v>
      </c>
      <c r="B389" s="182">
        <v>45089</v>
      </c>
      <c r="C389" s="328" t="s">
        <v>134</v>
      </c>
      <c r="D389" s="328" t="s">
        <v>135</v>
      </c>
      <c r="E389" s="328" t="s">
        <v>136</v>
      </c>
      <c r="F389" s="329" t="s">
        <v>668</v>
      </c>
      <c r="G389" s="329" t="s">
        <v>1245</v>
      </c>
      <c r="H389" s="329" t="s">
        <v>110</v>
      </c>
      <c r="I389" s="330" t="s">
        <v>1246</v>
      </c>
      <c r="J389" s="331" t="s">
        <v>1247</v>
      </c>
      <c r="K389" s="329"/>
      <c r="L389" s="329" t="s">
        <v>119</v>
      </c>
      <c r="M389" s="329" t="s">
        <v>114</v>
      </c>
      <c r="N389" s="330"/>
      <c r="O389" s="330"/>
      <c r="P389" s="177"/>
      <c r="Q389" s="177"/>
      <c r="R389" s="319">
        <v>0</v>
      </c>
      <c r="S389" s="320">
        <v>0</v>
      </c>
      <c r="T389" s="320">
        <v>0</v>
      </c>
      <c r="U389" s="320">
        <v>0</v>
      </c>
      <c r="V389" s="320">
        <v>0</v>
      </c>
      <c r="W389" s="327">
        <v>2</v>
      </c>
      <c r="X389" s="320">
        <v>0</v>
      </c>
      <c r="Y389" s="320">
        <v>0</v>
      </c>
      <c r="Z389" s="282">
        <v>0</v>
      </c>
      <c r="AA389" s="321">
        <v>0</v>
      </c>
      <c r="AB389" s="322">
        <v>0</v>
      </c>
      <c r="AC389" s="320">
        <v>0</v>
      </c>
      <c r="AD389" s="320">
        <v>0</v>
      </c>
      <c r="AE389" s="320">
        <v>0</v>
      </c>
      <c r="AF389" s="320">
        <v>0</v>
      </c>
      <c r="AG389" s="320">
        <v>0</v>
      </c>
      <c r="AH389" s="320">
        <v>0</v>
      </c>
      <c r="AI389" s="320">
        <v>0</v>
      </c>
      <c r="AJ389" s="320">
        <v>0</v>
      </c>
      <c r="AK389" s="321">
        <v>0</v>
      </c>
      <c r="AL389" s="323">
        <f t="shared" si="24"/>
        <v>2</v>
      </c>
      <c r="AM389" s="324">
        <f>0</f>
        <v>0</v>
      </c>
      <c r="AN389" s="334">
        <f t="shared" si="25"/>
        <v>2</v>
      </c>
      <c r="AO389" s="336">
        <v>45090</v>
      </c>
      <c r="AP389" s="337" t="s">
        <v>273</v>
      </c>
      <c r="AQ389" s="188" t="s">
        <v>1290</v>
      </c>
      <c r="AR389" s="329" t="s">
        <v>276</v>
      </c>
      <c r="AS389" s="188"/>
      <c r="AT389" s="188"/>
      <c r="AU389" s="189"/>
      <c r="AV389" s="189"/>
      <c r="AW389" s="189"/>
      <c r="AX389" s="190"/>
      <c r="AY389" s="191"/>
      <c r="AZ389" s="192"/>
    </row>
    <row r="390" spans="1:52" ht="28" hidden="1" customHeight="1">
      <c r="A390" s="219">
        <v>385</v>
      </c>
      <c r="B390" s="182">
        <v>45089</v>
      </c>
      <c r="C390" s="328" t="s">
        <v>134</v>
      </c>
      <c r="D390" s="328" t="s">
        <v>135</v>
      </c>
      <c r="E390" s="328" t="s">
        <v>136</v>
      </c>
      <c r="F390" s="329" t="s">
        <v>668</v>
      </c>
      <c r="G390" s="329" t="s">
        <v>1278</v>
      </c>
      <c r="H390" s="329" t="s">
        <v>110</v>
      </c>
      <c r="I390" s="330" t="s">
        <v>1248</v>
      </c>
      <c r="J390" s="331" t="s">
        <v>1249</v>
      </c>
      <c r="K390" s="329"/>
      <c r="L390" s="329" t="s">
        <v>119</v>
      </c>
      <c r="M390" s="329" t="s">
        <v>114</v>
      </c>
      <c r="N390" s="330"/>
      <c r="O390" s="330"/>
      <c r="P390" s="177"/>
      <c r="Q390" s="177"/>
      <c r="R390" s="319">
        <v>0</v>
      </c>
      <c r="S390" s="320">
        <v>0</v>
      </c>
      <c r="T390" s="320">
        <v>0</v>
      </c>
      <c r="U390" s="320">
        <v>0</v>
      </c>
      <c r="V390" s="320">
        <v>0</v>
      </c>
      <c r="W390" s="327">
        <v>1</v>
      </c>
      <c r="X390" s="320">
        <v>0</v>
      </c>
      <c r="Y390" s="320">
        <v>0</v>
      </c>
      <c r="Z390" s="282">
        <v>0</v>
      </c>
      <c r="AA390" s="321">
        <v>0</v>
      </c>
      <c r="AB390" s="322">
        <v>0</v>
      </c>
      <c r="AC390" s="320">
        <v>0</v>
      </c>
      <c r="AD390" s="320">
        <v>0</v>
      </c>
      <c r="AE390" s="320">
        <v>0</v>
      </c>
      <c r="AF390" s="320">
        <v>0</v>
      </c>
      <c r="AG390" s="320">
        <v>0</v>
      </c>
      <c r="AH390" s="320">
        <v>0</v>
      </c>
      <c r="AI390" s="320">
        <v>0</v>
      </c>
      <c r="AJ390" s="320">
        <v>0</v>
      </c>
      <c r="AK390" s="321">
        <v>0</v>
      </c>
      <c r="AL390" s="323">
        <f t="shared" si="24"/>
        <v>1</v>
      </c>
      <c r="AM390" s="324">
        <f>0</f>
        <v>0</v>
      </c>
      <c r="AN390" s="334">
        <f t="shared" si="25"/>
        <v>1</v>
      </c>
      <c r="AO390" s="336">
        <v>45090</v>
      </c>
      <c r="AP390" s="337" t="s">
        <v>273</v>
      </c>
      <c r="AQ390" s="188" t="s">
        <v>1290</v>
      </c>
      <c r="AR390" s="329" t="s">
        <v>276</v>
      </c>
      <c r="AS390" s="188"/>
      <c r="AT390" s="188"/>
      <c r="AU390" s="189"/>
      <c r="AV390" s="189"/>
      <c r="AW390" s="189"/>
      <c r="AX390" s="190"/>
      <c r="AY390" s="191"/>
      <c r="AZ390" s="192"/>
    </row>
    <row r="391" spans="1:52" ht="28" hidden="1" customHeight="1">
      <c r="A391" s="219">
        <v>386</v>
      </c>
      <c r="B391" s="182">
        <v>45089</v>
      </c>
      <c r="C391" s="328" t="s">
        <v>134</v>
      </c>
      <c r="D391" s="328" t="s">
        <v>135</v>
      </c>
      <c r="E391" s="328" t="s">
        <v>136</v>
      </c>
      <c r="F391" s="329" t="s">
        <v>668</v>
      </c>
      <c r="G391" s="329" t="s">
        <v>1279</v>
      </c>
      <c r="H391" s="329" t="s">
        <v>110</v>
      </c>
      <c r="I391" s="330" t="s">
        <v>1250</v>
      </c>
      <c r="J391" s="331" t="s">
        <v>1251</v>
      </c>
      <c r="K391" s="329"/>
      <c r="L391" s="329" t="s">
        <v>119</v>
      </c>
      <c r="M391" s="329" t="s">
        <v>114</v>
      </c>
      <c r="N391" s="330"/>
      <c r="O391" s="330"/>
      <c r="P391" s="177"/>
      <c r="Q391" s="177"/>
      <c r="R391" s="319">
        <v>0</v>
      </c>
      <c r="S391" s="320">
        <v>0</v>
      </c>
      <c r="T391" s="320">
        <v>0</v>
      </c>
      <c r="U391" s="320">
        <v>0</v>
      </c>
      <c r="V391" s="320">
        <v>0</v>
      </c>
      <c r="W391" s="327">
        <v>1</v>
      </c>
      <c r="X391" s="320">
        <v>0</v>
      </c>
      <c r="Y391" s="320">
        <v>0</v>
      </c>
      <c r="Z391" s="282">
        <v>0</v>
      </c>
      <c r="AA391" s="321">
        <v>0</v>
      </c>
      <c r="AB391" s="322">
        <v>0</v>
      </c>
      <c r="AC391" s="320">
        <v>0</v>
      </c>
      <c r="AD391" s="320">
        <v>0</v>
      </c>
      <c r="AE391" s="320">
        <v>0</v>
      </c>
      <c r="AF391" s="320">
        <v>0</v>
      </c>
      <c r="AG391" s="320">
        <v>0</v>
      </c>
      <c r="AH391" s="320">
        <v>0</v>
      </c>
      <c r="AI391" s="320">
        <v>0</v>
      </c>
      <c r="AJ391" s="320">
        <v>0</v>
      </c>
      <c r="AK391" s="321">
        <v>0</v>
      </c>
      <c r="AL391" s="323">
        <f t="shared" si="24"/>
        <v>1</v>
      </c>
      <c r="AM391" s="324">
        <f>0</f>
        <v>0</v>
      </c>
      <c r="AN391" s="334">
        <f t="shared" si="25"/>
        <v>1</v>
      </c>
      <c r="AO391" s="336">
        <v>45090</v>
      </c>
      <c r="AP391" s="337" t="s">
        <v>273</v>
      </c>
      <c r="AQ391" s="188" t="s">
        <v>1290</v>
      </c>
      <c r="AR391" s="329" t="s">
        <v>276</v>
      </c>
      <c r="AS391" s="188"/>
      <c r="AT391" s="188"/>
      <c r="AU391" s="189"/>
      <c r="AV391" s="189"/>
      <c r="AW391" s="189"/>
      <c r="AX391" s="190"/>
      <c r="AY391" s="191"/>
      <c r="AZ391" s="192"/>
    </row>
    <row r="392" spans="1:52" ht="28" hidden="1" customHeight="1">
      <c r="A392" s="219">
        <v>387</v>
      </c>
      <c r="B392" s="182">
        <v>45089</v>
      </c>
      <c r="C392" s="328" t="s">
        <v>134</v>
      </c>
      <c r="D392" s="328" t="s">
        <v>135</v>
      </c>
      <c r="E392" s="328" t="s">
        <v>136</v>
      </c>
      <c r="F392" s="329" t="s">
        <v>668</v>
      </c>
      <c r="G392" s="329" t="s">
        <v>1280</v>
      </c>
      <c r="H392" s="329" t="s">
        <v>110</v>
      </c>
      <c r="I392" s="330" t="s">
        <v>1252</v>
      </c>
      <c r="J392" s="331" t="s">
        <v>1253</v>
      </c>
      <c r="K392" s="329"/>
      <c r="L392" s="329" t="s">
        <v>304</v>
      </c>
      <c r="M392" s="329" t="s">
        <v>154</v>
      </c>
      <c r="N392" s="330"/>
      <c r="O392" s="330"/>
      <c r="P392" s="177"/>
      <c r="Q392" s="177"/>
      <c r="R392" s="319">
        <v>0</v>
      </c>
      <c r="S392" s="320">
        <v>0</v>
      </c>
      <c r="T392" s="320">
        <v>0</v>
      </c>
      <c r="U392" s="320">
        <v>0</v>
      </c>
      <c r="V392" s="320">
        <v>0</v>
      </c>
      <c r="W392" s="327">
        <v>4</v>
      </c>
      <c r="X392" s="320">
        <v>0</v>
      </c>
      <c r="Y392" s="320">
        <v>0</v>
      </c>
      <c r="Z392" s="282">
        <v>0</v>
      </c>
      <c r="AA392" s="321">
        <v>0</v>
      </c>
      <c r="AB392" s="322">
        <v>0</v>
      </c>
      <c r="AC392" s="320">
        <v>0</v>
      </c>
      <c r="AD392" s="320">
        <v>0</v>
      </c>
      <c r="AE392" s="320">
        <v>0</v>
      </c>
      <c r="AF392" s="320">
        <v>0</v>
      </c>
      <c r="AG392" s="320">
        <v>0</v>
      </c>
      <c r="AH392" s="320">
        <v>0</v>
      </c>
      <c r="AI392" s="320">
        <v>0</v>
      </c>
      <c r="AJ392" s="320">
        <v>0</v>
      </c>
      <c r="AK392" s="321">
        <v>0</v>
      </c>
      <c r="AL392" s="332">
        <f t="shared" si="24"/>
        <v>4</v>
      </c>
      <c r="AM392" s="333">
        <f>0</f>
        <v>0</v>
      </c>
      <c r="AN392" s="334">
        <f t="shared" si="25"/>
        <v>4</v>
      </c>
      <c r="AO392" s="247">
        <v>45090</v>
      </c>
      <c r="AP392" s="186" t="s">
        <v>273</v>
      </c>
      <c r="AQ392" s="187" t="s">
        <v>1288</v>
      </c>
      <c r="AR392" s="187" t="s">
        <v>148</v>
      </c>
      <c r="AS392" s="188"/>
      <c r="AT392" s="188"/>
      <c r="AU392" s="189"/>
      <c r="AV392" s="189"/>
      <c r="AW392" s="189"/>
      <c r="AX392" s="190"/>
      <c r="AY392" s="191"/>
      <c r="AZ392" s="192"/>
    </row>
    <row r="393" spans="1:52" ht="28" hidden="1" customHeight="1">
      <c r="A393" s="108">
        <v>388</v>
      </c>
      <c r="B393" s="101">
        <v>45089</v>
      </c>
      <c r="C393" s="87" t="s">
        <v>134</v>
      </c>
      <c r="D393" s="87" t="s">
        <v>135</v>
      </c>
      <c r="E393" s="87" t="s">
        <v>136</v>
      </c>
      <c r="F393" s="316" t="s">
        <v>668</v>
      </c>
      <c r="G393" s="316" t="s">
        <v>1254</v>
      </c>
      <c r="H393" s="316" t="s">
        <v>110</v>
      </c>
      <c r="I393" s="317" t="s">
        <v>1255</v>
      </c>
      <c r="J393" s="318" t="s">
        <v>1256</v>
      </c>
      <c r="K393" s="316"/>
      <c r="L393" s="316" t="s">
        <v>113</v>
      </c>
      <c r="M393" s="316" t="s">
        <v>126</v>
      </c>
      <c r="N393" s="317"/>
      <c r="O393" s="326"/>
      <c r="P393" s="177"/>
      <c r="Q393" s="177"/>
      <c r="R393" s="319">
        <v>0</v>
      </c>
      <c r="S393" s="320">
        <v>0</v>
      </c>
      <c r="T393" s="320">
        <v>0</v>
      </c>
      <c r="U393" s="320">
        <v>0</v>
      </c>
      <c r="V393" s="320">
        <v>0</v>
      </c>
      <c r="W393" s="327">
        <v>1</v>
      </c>
      <c r="X393" s="320">
        <v>0</v>
      </c>
      <c r="Y393" s="320">
        <v>0</v>
      </c>
      <c r="Z393" s="282">
        <v>0</v>
      </c>
      <c r="AA393" s="321">
        <v>0</v>
      </c>
      <c r="AB393" s="322">
        <v>0</v>
      </c>
      <c r="AC393" s="320">
        <v>0</v>
      </c>
      <c r="AD393" s="320">
        <v>0</v>
      </c>
      <c r="AE393" s="320">
        <v>0</v>
      </c>
      <c r="AF393" s="320">
        <v>0</v>
      </c>
      <c r="AG393" s="320">
        <v>0</v>
      </c>
      <c r="AH393" s="320">
        <v>0</v>
      </c>
      <c r="AI393" s="320">
        <v>0</v>
      </c>
      <c r="AJ393" s="320">
        <v>0</v>
      </c>
      <c r="AK393" s="321">
        <v>0</v>
      </c>
      <c r="AL393" s="323">
        <f t="shared" si="24"/>
        <v>1</v>
      </c>
      <c r="AM393" s="324">
        <f>0</f>
        <v>0</v>
      </c>
      <c r="AN393" s="325">
        <f t="shared" si="25"/>
        <v>1</v>
      </c>
      <c r="AO393" s="252"/>
      <c r="AP393" s="104"/>
      <c r="AQ393" s="99"/>
      <c r="AR393" s="316" t="s">
        <v>271</v>
      </c>
      <c r="AS393" s="99"/>
      <c r="AT393" s="99"/>
      <c r="AU393" s="98"/>
      <c r="AV393" s="98"/>
      <c r="AW393" s="98"/>
      <c r="AX393" s="105"/>
      <c r="AY393" s="106"/>
      <c r="AZ393" s="107"/>
    </row>
    <row r="394" spans="1:52" ht="28" hidden="1" customHeight="1">
      <c r="A394" s="108">
        <v>389</v>
      </c>
      <c r="B394" s="101">
        <v>45089</v>
      </c>
      <c r="C394" s="87" t="s">
        <v>134</v>
      </c>
      <c r="D394" s="87" t="s">
        <v>135</v>
      </c>
      <c r="E394" s="87" t="s">
        <v>136</v>
      </c>
      <c r="F394" s="316" t="s">
        <v>668</v>
      </c>
      <c r="G394" s="316" t="s">
        <v>1257</v>
      </c>
      <c r="H394" s="316" t="s">
        <v>110</v>
      </c>
      <c r="I394" s="317" t="s">
        <v>1258</v>
      </c>
      <c r="J394" s="318" t="s">
        <v>1259</v>
      </c>
      <c r="K394" s="316"/>
      <c r="L394" s="316" t="s">
        <v>113</v>
      </c>
      <c r="M394" s="316" t="s">
        <v>126</v>
      </c>
      <c r="N394" s="317"/>
      <c r="O394" s="326"/>
      <c r="P394" s="177"/>
      <c r="Q394" s="177"/>
      <c r="R394" s="319">
        <v>0</v>
      </c>
      <c r="S394" s="320">
        <v>0</v>
      </c>
      <c r="T394" s="320">
        <v>0</v>
      </c>
      <c r="U394" s="320">
        <v>0</v>
      </c>
      <c r="V394" s="320">
        <v>0</v>
      </c>
      <c r="W394" s="327">
        <v>1</v>
      </c>
      <c r="X394" s="320">
        <v>0</v>
      </c>
      <c r="Y394" s="320">
        <v>0</v>
      </c>
      <c r="Z394" s="282">
        <v>0</v>
      </c>
      <c r="AA394" s="321">
        <v>0</v>
      </c>
      <c r="AB394" s="322">
        <v>0</v>
      </c>
      <c r="AC394" s="320">
        <v>0</v>
      </c>
      <c r="AD394" s="320">
        <v>0</v>
      </c>
      <c r="AE394" s="320">
        <v>0</v>
      </c>
      <c r="AF394" s="320">
        <v>0</v>
      </c>
      <c r="AG394" s="320">
        <v>0</v>
      </c>
      <c r="AH394" s="320">
        <v>0</v>
      </c>
      <c r="AI394" s="320">
        <v>0</v>
      </c>
      <c r="AJ394" s="320">
        <v>0</v>
      </c>
      <c r="AK394" s="321">
        <v>0</v>
      </c>
      <c r="AL394" s="323">
        <f t="shared" si="24"/>
        <v>1</v>
      </c>
      <c r="AM394" s="324">
        <f>0</f>
        <v>0</v>
      </c>
      <c r="AN394" s="325">
        <f t="shared" si="25"/>
        <v>1</v>
      </c>
      <c r="AO394" s="252"/>
      <c r="AP394" s="104"/>
      <c r="AQ394" s="99"/>
      <c r="AR394" s="316" t="s">
        <v>271</v>
      </c>
      <c r="AS394" s="99"/>
      <c r="AT394" s="99"/>
      <c r="AU394" s="98"/>
      <c r="AV394" s="98"/>
      <c r="AW394" s="98"/>
      <c r="AX394" s="105"/>
      <c r="AY394" s="106"/>
      <c r="AZ394" s="107"/>
    </row>
    <row r="395" spans="1:52" ht="28" hidden="1" customHeight="1">
      <c r="A395" s="108">
        <v>390</v>
      </c>
      <c r="B395" s="101">
        <v>45089</v>
      </c>
      <c r="C395" s="87" t="s">
        <v>134</v>
      </c>
      <c r="D395" s="87" t="s">
        <v>135</v>
      </c>
      <c r="E395" s="87" t="s">
        <v>136</v>
      </c>
      <c r="F395" s="316" t="s">
        <v>668</v>
      </c>
      <c r="G395" s="316" t="s">
        <v>1260</v>
      </c>
      <c r="H395" s="316" t="s">
        <v>110</v>
      </c>
      <c r="I395" s="317" t="s">
        <v>126</v>
      </c>
      <c r="J395" s="318" t="s">
        <v>1261</v>
      </c>
      <c r="K395" s="316"/>
      <c r="L395" s="316" t="s">
        <v>113</v>
      </c>
      <c r="M395" s="316" t="s">
        <v>126</v>
      </c>
      <c r="N395" s="317"/>
      <c r="O395" s="326"/>
      <c r="P395" s="177"/>
      <c r="Q395" s="177"/>
      <c r="R395" s="319">
        <v>0</v>
      </c>
      <c r="S395" s="320">
        <v>0</v>
      </c>
      <c r="T395" s="320">
        <v>0</v>
      </c>
      <c r="U395" s="320">
        <v>0</v>
      </c>
      <c r="V395" s="320">
        <v>0</v>
      </c>
      <c r="W395" s="327">
        <v>1</v>
      </c>
      <c r="X395" s="320">
        <v>0</v>
      </c>
      <c r="Y395" s="320">
        <v>0</v>
      </c>
      <c r="Z395" s="282">
        <v>0</v>
      </c>
      <c r="AA395" s="321">
        <v>0</v>
      </c>
      <c r="AB395" s="322">
        <v>0</v>
      </c>
      <c r="AC395" s="320">
        <v>0</v>
      </c>
      <c r="AD395" s="320">
        <v>0</v>
      </c>
      <c r="AE395" s="320">
        <v>0</v>
      </c>
      <c r="AF395" s="320">
        <v>0</v>
      </c>
      <c r="AG395" s="320">
        <v>0</v>
      </c>
      <c r="AH395" s="320">
        <v>0</v>
      </c>
      <c r="AI395" s="320">
        <v>0</v>
      </c>
      <c r="AJ395" s="320">
        <v>0</v>
      </c>
      <c r="AK395" s="321">
        <v>0</v>
      </c>
      <c r="AL395" s="323">
        <f t="shared" si="24"/>
        <v>1</v>
      </c>
      <c r="AM395" s="324">
        <f>0</f>
        <v>0</v>
      </c>
      <c r="AN395" s="325">
        <f t="shared" si="25"/>
        <v>1</v>
      </c>
      <c r="AO395" s="252"/>
      <c r="AP395" s="104"/>
      <c r="AQ395" s="99"/>
      <c r="AR395" s="316" t="s">
        <v>271</v>
      </c>
      <c r="AS395" s="99"/>
      <c r="AT395" s="99"/>
      <c r="AU395" s="98"/>
      <c r="AV395" s="98"/>
      <c r="AW395" s="98"/>
      <c r="AX395" s="105"/>
      <c r="AY395" s="106"/>
      <c r="AZ395" s="107"/>
    </row>
    <row r="396" spans="1:52" ht="28" hidden="1" customHeight="1">
      <c r="A396" s="108">
        <v>391</v>
      </c>
      <c r="B396" s="101">
        <v>45089</v>
      </c>
      <c r="C396" s="87" t="s">
        <v>134</v>
      </c>
      <c r="D396" s="87" t="s">
        <v>135</v>
      </c>
      <c r="E396" s="87" t="s">
        <v>136</v>
      </c>
      <c r="F396" s="316" t="s">
        <v>668</v>
      </c>
      <c r="G396" s="316" t="s">
        <v>1281</v>
      </c>
      <c r="H396" s="316" t="s">
        <v>110</v>
      </c>
      <c r="I396" s="317" t="s">
        <v>1262</v>
      </c>
      <c r="J396" s="318" t="s">
        <v>1263</v>
      </c>
      <c r="K396" s="316"/>
      <c r="L396" s="316" t="s">
        <v>113</v>
      </c>
      <c r="M396" s="316" t="s">
        <v>126</v>
      </c>
      <c r="N396" s="317"/>
      <c r="O396" s="326"/>
      <c r="P396" s="177"/>
      <c r="Q396" s="177"/>
      <c r="R396" s="319">
        <v>0</v>
      </c>
      <c r="S396" s="320">
        <v>0</v>
      </c>
      <c r="T396" s="320">
        <v>0</v>
      </c>
      <c r="U396" s="320">
        <v>0</v>
      </c>
      <c r="V396" s="320">
        <v>0</v>
      </c>
      <c r="W396" s="327">
        <v>1</v>
      </c>
      <c r="X396" s="320">
        <v>0</v>
      </c>
      <c r="Y396" s="320">
        <v>0</v>
      </c>
      <c r="Z396" s="282">
        <v>0</v>
      </c>
      <c r="AA396" s="321">
        <v>0</v>
      </c>
      <c r="AB396" s="322">
        <v>0</v>
      </c>
      <c r="AC396" s="320">
        <v>0</v>
      </c>
      <c r="AD396" s="320">
        <v>0</v>
      </c>
      <c r="AE396" s="320">
        <v>0</v>
      </c>
      <c r="AF396" s="320">
        <v>0</v>
      </c>
      <c r="AG396" s="320">
        <v>0</v>
      </c>
      <c r="AH396" s="320">
        <v>0</v>
      </c>
      <c r="AI396" s="320">
        <v>0</v>
      </c>
      <c r="AJ396" s="320">
        <v>0</v>
      </c>
      <c r="AK396" s="321">
        <v>0</v>
      </c>
      <c r="AL396" s="323">
        <f t="shared" si="24"/>
        <v>1</v>
      </c>
      <c r="AM396" s="324">
        <f>0</f>
        <v>0</v>
      </c>
      <c r="AN396" s="325">
        <f t="shared" si="25"/>
        <v>1</v>
      </c>
      <c r="AO396" s="252"/>
      <c r="AP396" s="104"/>
      <c r="AQ396" s="99"/>
      <c r="AR396" s="316" t="s">
        <v>271</v>
      </c>
      <c r="AS396" s="99"/>
      <c r="AT396" s="99"/>
      <c r="AU396" s="98"/>
      <c r="AV396" s="98"/>
      <c r="AW396" s="98"/>
      <c r="AX396" s="105"/>
      <c r="AY396" s="106"/>
      <c r="AZ396" s="107"/>
    </row>
    <row r="397" spans="1:52" ht="28" hidden="1" customHeight="1">
      <c r="A397" s="219">
        <v>392</v>
      </c>
      <c r="B397" s="182">
        <v>45089</v>
      </c>
      <c r="C397" s="328" t="s">
        <v>134</v>
      </c>
      <c r="D397" s="328" t="s">
        <v>135</v>
      </c>
      <c r="E397" s="328" t="s">
        <v>136</v>
      </c>
      <c r="F397" s="329" t="s">
        <v>668</v>
      </c>
      <c r="G397" s="329" t="s">
        <v>1264</v>
      </c>
      <c r="H397" s="329" t="s">
        <v>110</v>
      </c>
      <c r="I397" s="330" t="s">
        <v>1265</v>
      </c>
      <c r="J397" s="331" t="s">
        <v>1266</v>
      </c>
      <c r="K397" s="329"/>
      <c r="L397" s="329" t="s">
        <v>320</v>
      </c>
      <c r="M397" s="329" t="s">
        <v>154</v>
      </c>
      <c r="N397" s="330"/>
      <c r="O397" s="330"/>
      <c r="P397" s="177"/>
      <c r="Q397" s="177"/>
      <c r="R397" s="319">
        <v>0</v>
      </c>
      <c r="S397" s="320">
        <v>0</v>
      </c>
      <c r="T397" s="320">
        <v>0</v>
      </c>
      <c r="U397" s="320">
        <v>0</v>
      </c>
      <c r="V397" s="320">
        <v>0</v>
      </c>
      <c r="W397" s="327">
        <v>1</v>
      </c>
      <c r="X397" s="320">
        <v>0</v>
      </c>
      <c r="Y397" s="320">
        <v>0</v>
      </c>
      <c r="Z397" s="282">
        <v>0</v>
      </c>
      <c r="AA397" s="321">
        <v>0</v>
      </c>
      <c r="AB397" s="322">
        <v>0</v>
      </c>
      <c r="AC397" s="320">
        <v>0</v>
      </c>
      <c r="AD397" s="320">
        <v>0</v>
      </c>
      <c r="AE397" s="320">
        <v>0</v>
      </c>
      <c r="AF397" s="320">
        <v>0</v>
      </c>
      <c r="AG397" s="320">
        <v>0</v>
      </c>
      <c r="AH397" s="320">
        <v>0</v>
      </c>
      <c r="AI397" s="320">
        <v>0</v>
      </c>
      <c r="AJ397" s="320">
        <v>0</v>
      </c>
      <c r="AK397" s="321">
        <v>0</v>
      </c>
      <c r="AL397" s="332">
        <f t="shared" si="24"/>
        <v>1</v>
      </c>
      <c r="AM397" s="333">
        <f>0</f>
        <v>0</v>
      </c>
      <c r="AN397" s="334">
        <f t="shared" si="25"/>
        <v>1</v>
      </c>
      <c r="AO397" s="247">
        <v>45090</v>
      </c>
      <c r="AP397" s="186" t="s">
        <v>273</v>
      </c>
      <c r="AQ397" s="187" t="s">
        <v>1288</v>
      </c>
      <c r="AR397" s="187" t="s">
        <v>148</v>
      </c>
      <c r="AS397" s="188"/>
      <c r="AT397" s="188"/>
      <c r="AU397" s="189"/>
      <c r="AV397" s="189"/>
      <c r="AW397" s="189"/>
      <c r="AX397" s="190"/>
      <c r="AY397" s="191"/>
      <c r="AZ397" s="192"/>
    </row>
    <row r="398" spans="1:52" ht="28" hidden="1" customHeight="1">
      <c r="A398" s="219">
        <v>393</v>
      </c>
      <c r="B398" s="182">
        <v>45089</v>
      </c>
      <c r="C398" s="328"/>
      <c r="D398" s="328"/>
      <c r="E398" s="328"/>
      <c r="F398" s="329" t="s">
        <v>668</v>
      </c>
      <c r="G398" s="329" t="s">
        <v>1275</v>
      </c>
      <c r="H398" s="329" t="s">
        <v>110</v>
      </c>
      <c r="I398" s="330" t="s">
        <v>1265</v>
      </c>
      <c r="J398" s="331" t="s">
        <v>1271</v>
      </c>
      <c r="K398" s="329"/>
      <c r="L398" s="329" t="s">
        <v>320</v>
      </c>
      <c r="M398" s="329" t="s">
        <v>154</v>
      </c>
      <c r="N398" s="330"/>
      <c r="O398" s="330"/>
      <c r="P398" s="177"/>
      <c r="Q398" s="177"/>
      <c r="R398" s="319">
        <v>0</v>
      </c>
      <c r="S398" s="320">
        <v>0</v>
      </c>
      <c r="T398" s="320">
        <v>0</v>
      </c>
      <c r="U398" s="320">
        <v>0</v>
      </c>
      <c r="V398" s="320">
        <v>0</v>
      </c>
      <c r="W398" s="327">
        <v>1</v>
      </c>
      <c r="X398" s="320">
        <v>0</v>
      </c>
      <c r="Y398" s="320">
        <v>0</v>
      </c>
      <c r="Z398" s="282">
        <v>0</v>
      </c>
      <c r="AA398" s="321">
        <v>0</v>
      </c>
      <c r="AB398" s="322">
        <v>0</v>
      </c>
      <c r="AC398" s="320">
        <v>0</v>
      </c>
      <c r="AD398" s="320">
        <v>0</v>
      </c>
      <c r="AE398" s="320">
        <v>0</v>
      </c>
      <c r="AF398" s="320">
        <v>0</v>
      </c>
      <c r="AG398" s="320">
        <v>0</v>
      </c>
      <c r="AH398" s="320">
        <v>0</v>
      </c>
      <c r="AI398" s="320">
        <v>0</v>
      </c>
      <c r="AJ398" s="320">
        <v>0</v>
      </c>
      <c r="AK398" s="321">
        <v>0</v>
      </c>
      <c r="AL398" s="332">
        <f t="shared" si="24"/>
        <v>1</v>
      </c>
      <c r="AM398" s="333">
        <f>0</f>
        <v>0</v>
      </c>
      <c r="AN398" s="334">
        <f t="shared" si="25"/>
        <v>1</v>
      </c>
      <c r="AO398" s="247">
        <v>45090</v>
      </c>
      <c r="AP398" s="186" t="s">
        <v>273</v>
      </c>
      <c r="AQ398" s="187" t="s">
        <v>1288</v>
      </c>
      <c r="AR398" s="187" t="s">
        <v>148</v>
      </c>
      <c r="AS398" s="188"/>
      <c r="AT398" s="188"/>
      <c r="AU398" s="189"/>
      <c r="AV398" s="189"/>
      <c r="AW398" s="189"/>
      <c r="AX398" s="190"/>
      <c r="AY398" s="191"/>
      <c r="AZ398" s="192"/>
    </row>
    <row r="399" spans="1:52" ht="28" hidden="1" customHeight="1">
      <c r="A399" s="219">
        <v>394</v>
      </c>
      <c r="B399" s="182">
        <v>45089</v>
      </c>
      <c r="C399" s="328" t="s">
        <v>134</v>
      </c>
      <c r="D399" s="328" t="s">
        <v>135</v>
      </c>
      <c r="E399" s="328" t="s">
        <v>136</v>
      </c>
      <c r="F399" s="329" t="s">
        <v>668</v>
      </c>
      <c r="G399" s="329" t="s">
        <v>1273</v>
      </c>
      <c r="H399" s="329" t="s">
        <v>110</v>
      </c>
      <c r="I399" s="330" t="s">
        <v>1267</v>
      </c>
      <c r="J399" s="331" t="s">
        <v>1268</v>
      </c>
      <c r="K399" s="329"/>
      <c r="L399" s="329" t="s">
        <v>209</v>
      </c>
      <c r="M399" s="329" t="s">
        <v>114</v>
      </c>
      <c r="N399" s="330"/>
      <c r="O399" s="330"/>
      <c r="P399" s="177"/>
      <c r="Q399" s="177"/>
      <c r="R399" s="319">
        <v>0</v>
      </c>
      <c r="S399" s="320">
        <v>0</v>
      </c>
      <c r="T399" s="320">
        <v>0</v>
      </c>
      <c r="U399" s="320">
        <v>0</v>
      </c>
      <c r="V399" s="320">
        <v>0</v>
      </c>
      <c r="W399" s="327">
        <v>1</v>
      </c>
      <c r="X399" s="320">
        <v>0</v>
      </c>
      <c r="Y399" s="320">
        <v>0</v>
      </c>
      <c r="Z399" s="282">
        <v>0</v>
      </c>
      <c r="AA399" s="321">
        <v>0</v>
      </c>
      <c r="AB399" s="322">
        <v>0</v>
      </c>
      <c r="AC399" s="320">
        <v>0</v>
      </c>
      <c r="AD399" s="320">
        <v>0</v>
      </c>
      <c r="AE399" s="320">
        <v>0</v>
      </c>
      <c r="AF399" s="320">
        <v>0</v>
      </c>
      <c r="AG399" s="320">
        <v>0</v>
      </c>
      <c r="AH399" s="320">
        <v>0</v>
      </c>
      <c r="AI399" s="320">
        <v>0</v>
      </c>
      <c r="AJ399" s="320">
        <v>0</v>
      </c>
      <c r="AK399" s="321">
        <v>0</v>
      </c>
      <c r="AL399" s="323">
        <f t="shared" si="24"/>
        <v>1</v>
      </c>
      <c r="AM399" s="324">
        <f>0</f>
        <v>0</v>
      </c>
      <c r="AN399" s="334">
        <f t="shared" si="25"/>
        <v>1</v>
      </c>
      <c r="AO399" s="336">
        <v>45090</v>
      </c>
      <c r="AP399" s="337" t="s">
        <v>273</v>
      </c>
      <c r="AQ399" s="188" t="s">
        <v>1290</v>
      </c>
      <c r="AR399" s="329" t="s">
        <v>276</v>
      </c>
      <c r="AS399" s="188"/>
      <c r="AT399" s="188"/>
      <c r="AU399" s="189"/>
      <c r="AV399" s="189"/>
      <c r="AW399" s="189"/>
      <c r="AX399" s="190"/>
      <c r="AY399" s="191"/>
      <c r="AZ399" s="192"/>
    </row>
    <row r="400" spans="1:52" ht="28" hidden="1" customHeight="1">
      <c r="A400" s="219">
        <v>395</v>
      </c>
      <c r="B400" s="182">
        <v>45089</v>
      </c>
      <c r="C400" s="328"/>
      <c r="D400" s="328"/>
      <c r="E400" s="328"/>
      <c r="F400" s="329" t="s">
        <v>668</v>
      </c>
      <c r="G400" s="329" t="s">
        <v>1274</v>
      </c>
      <c r="H400" s="329" t="s">
        <v>110</v>
      </c>
      <c r="I400" s="330" t="s">
        <v>1267</v>
      </c>
      <c r="J400" s="331" t="s">
        <v>1272</v>
      </c>
      <c r="K400" s="329"/>
      <c r="L400" s="329" t="s">
        <v>209</v>
      </c>
      <c r="M400" s="329" t="s">
        <v>114</v>
      </c>
      <c r="N400" s="330"/>
      <c r="O400" s="330"/>
      <c r="P400" s="177"/>
      <c r="Q400" s="177"/>
      <c r="R400" s="319">
        <v>0</v>
      </c>
      <c r="S400" s="320">
        <v>0</v>
      </c>
      <c r="T400" s="320">
        <v>0</v>
      </c>
      <c r="U400" s="320">
        <v>0</v>
      </c>
      <c r="V400" s="320">
        <v>0</v>
      </c>
      <c r="W400" s="327">
        <v>1</v>
      </c>
      <c r="X400" s="320">
        <v>0</v>
      </c>
      <c r="Y400" s="320">
        <v>0</v>
      </c>
      <c r="Z400" s="282">
        <v>0</v>
      </c>
      <c r="AA400" s="321">
        <v>0</v>
      </c>
      <c r="AB400" s="322">
        <v>0</v>
      </c>
      <c r="AC400" s="320">
        <v>0</v>
      </c>
      <c r="AD400" s="320">
        <v>0</v>
      </c>
      <c r="AE400" s="320">
        <v>0</v>
      </c>
      <c r="AF400" s="320">
        <v>0</v>
      </c>
      <c r="AG400" s="320">
        <v>0</v>
      </c>
      <c r="AH400" s="320">
        <v>0</v>
      </c>
      <c r="AI400" s="320">
        <v>0</v>
      </c>
      <c r="AJ400" s="320">
        <v>0</v>
      </c>
      <c r="AK400" s="321">
        <v>0</v>
      </c>
      <c r="AL400" s="323">
        <f t="shared" si="24"/>
        <v>1</v>
      </c>
      <c r="AM400" s="324">
        <f>0</f>
        <v>0</v>
      </c>
      <c r="AN400" s="334">
        <f t="shared" si="25"/>
        <v>1</v>
      </c>
      <c r="AO400" s="336">
        <v>45090</v>
      </c>
      <c r="AP400" s="337" t="s">
        <v>273</v>
      </c>
      <c r="AQ400" s="188" t="s">
        <v>1290</v>
      </c>
      <c r="AR400" s="329" t="s">
        <v>276</v>
      </c>
      <c r="AS400" s="188"/>
      <c r="AT400" s="188"/>
      <c r="AU400" s="189"/>
      <c r="AV400" s="189"/>
      <c r="AW400" s="189"/>
      <c r="AX400" s="190"/>
      <c r="AY400" s="191"/>
      <c r="AZ400" s="192"/>
    </row>
    <row r="401" spans="1:52" ht="28" hidden="1" customHeight="1">
      <c r="A401" s="219">
        <v>396</v>
      </c>
      <c r="B401" s="182">
        <v>45089</v>
      </c>
      <c r="C401" s="328" t="s">
        <v>134</v>
      </c>
      <c r="D401" s="328" t="s">
        <v>135</v>
      </c>
      <c r="E401" s="328" t="s">
        <v>136</v>
      </c>
      <c r="F401" s="329" t="s">
        <v>668</v>
      </c>
      <c r="G401" s="329" t="s">
        <v>1282</v>
      </c>
      <c r="H401" s="329" t="s">
        <v>110</v>
      </c>
      <c r="I401" s="330" t="s">
        <v>1269</v>
      </c>
      <c r="J401" s="331" t="s">
        <v>1270</v>
      </c>
      <c r="K401" s="329"/>
      <c r="L401" s="329" t="s">
        <v>209</v>
      </c>
      <c r="M401" s="329" t="s">
        <v>114</v>
      </c>
      <c r="N401" s="330"/>
      <c r="O401" s="330"/>
      <c r="P401" s="177"/>
      <c r="Q401" s="177"/>
      <c r="R401" s="319">
        <v>0</v>
      </c>
      <c r="S401" s="320">
        <v>0</v>
      </c>
      <c r="T401" s="320">
        <v>0</v>
      </c>
      <c r="U401" s="320">
        <v>0</v>
      </c>
      <c r="V401" s="320">
        <v>0</v>
      </c>
      <c r="W401" s="327">
        <v>2</v>
      </c>
      <c r="X401" s="320">
        <v>0</v>
      </c>
      <c r="Y401" s="320">
        <v>0</v>
      </c>
      <c r="Z401" s="282">
        <v>0</v>
      </c>
      <c r="AA401" s="321">
        <v>0</v>
      </c>
      <c r="AB401" s="322">
        <v>0</v>
      </c>
      <c r="AC401" s="320">
        <v>0</v>
      </c>
      <c r="AD401" s="320">
        <v>0</v>
      </c>
      <c r="AE401" s="320">
        <v>0</v>
      </c>
      <c r="AF401" s="320">
        <v>0</v>
      </c>
      <c r="AG401" s="320">
        <v>0</v>
      </c>
      <c r="AH401" s="320">
        <v>0</v>
      </c>
      <c r="AI401" s="320">
        <v>0</v>
      </c>
      <c r="AJ401" s="320">
        <v>0</v>
      </c>
      <c r="AK401" s="321">
        <v>0</v>
      </c>
      <c r="AL401" s="323">
        <f t="shared" si="24"/>
        <v>2</v>
      </c>
      <c r="AM401" s="324">
        <f>0</f>
        <v>0</v>
      </c>
      <c r="AN401" s="334">
        <f t="shared" si="25"/>
        <v>2</v>
      </c>
      <c r="AO401" s="336">
        <v>45090</v>
      </c>
      <c r="AP401" s="337" t="s">
        <v>273</v>
      </c>
      <c r="AQ401" s="188" t="s">
        <v>1290</v>
      </c>
      <c r="AR401" s="329" t="s">
        <v>276</v>
      </c>
      <c r="AS401" s="188"/>
      <c r="AT401" s="188"/>
      <c r="AU401" s="189"/>
      <c r="AV401" s="189"/>
      <c r="AW401" s="189"/>
      <c r="AX401" s="190"/>
      <c r="AY401" s="191"/>
      <c r="AZ401" s="192"/>
    </row>
    <row r="402" spans="1:52" ht="28" hidden="1" customHeight="1">
      <c r="A402" s="219">
        <v>397</v>
      </c>
      <c r="B402" s="182">
        <v>45089</v>
      </c>
      <c r="C402" s="328" t="s">
        <v>134</v>
      </c>
      <c r="D402" s="328" t="s">
        <v>135</v>
      </c>
      <c r="E402" s="328" t="s">
        <v>136</v>
      </c>
      <c r="F402" s="329" t="s">
        <v>668</v>
      </c>
      <c r="G402" s="329" t="s">
        <v>1285</v>
      </c>
      <c r="H402" s="329" t="s">
        <v>110</v>
      </c>
      <c r="I402" s="330" t="s">
        <v>1284</v>
      </c>
      <c r="J402" s="331" t="s">
        <v>1286</v>
      </c>
      <c r="K402" s="329"/>
      <c r="L402" s="329" t="s">
        <v>153</v>
      </c>
      <c r="M402" s="329" t="s">
        <v>481</v>
      </c>
      <c r="N402" s="330"/>
      <c r="O402" s="330" t="s">
        <v>155</v>
      </c>
      <c r="P402" s="177"/>
      <c r="Q402" s="177"/>
      <c r="R402" s="319"/>
      <c r="S402" s="320">
        <v>0</v>
      </c>
      <c r="T402" s="320">
        <v>0</v>
      </c>
      <c r="U402" s="320">
        <v>0</v>
      </c>
      <c r="V402" s="320">
        <v>0</v>
      </c>
      <c r="W402" s="327">
        <v>1</v>
      </c>
      <c r="X402" s="320">
        <v>0</v>
      </c>
      <c r="Y402" s="320">
        <v>0</v>
      </c>
      <c r="Z402" s="282">
        <v>0</v>
      </c>
      <c r="AA402" s="321">
        <v>0</v>
      </c>
      <c r="AB402" s="322">
        <v>0</v>
      </c>
      <c r="AC402" s="320">
        <v>0</v>
      </c>
      <c r="AD402" s="320">
        <v>0</v>
      </c>
      <c r="AE402" s="320">
        <v>0</v>
      </c>
      <c r="AF402" s="320">
        <v>0</v>
      </c>
      <c r="AG402" s="320">
        <v>0</v>
      </c>
      <c r="AH402" s="320">
        <v>0</v>
      </c>
      <c r="AI402" s="320">
        <v>0</v>
      </c>
      <c r="AJ402" s="320">
        <v>0</v>
      </c>
      <c r="AK402" s="321">
        <v>0</v>
      </c>
      <c r="AL402" s="332">
        <f t="shared" si="24"/>
        <v>1</v>
      </c>
      <c r="AM402" s="333">
        <f>0</f>
        <v>0</v>
      </c>
      <c r="AN402" s="334">
        <f t="shared" si="25"/>
        <v>1</v>
      </c>
      <c r="AO402" s="247">
        <v>45090</v>
      </c>
      <c r="AP402" s="186" t="s">
        <v>273</v>
      </c>
      <c r="AQ402" s="187" t="s">
        <v>1288</v>
      </c>
      <c r="AR402" s="187" t="s">
        <v>148</v>
      </c>
      <c r="AS402" s="188"/>
      <c r="AT402" s="188"/>
      <c r="AU402" s="189"/>
      <c r="AV402" s="189"/>
      <c r="AW402" s="189"/>
      <c r="AX402" s="190"/>
      <c r="AY402" s="191"/>
      <c r="AZ402" s="192"/>
    </row>
    <row r="404" spans="1:52" ht="28" customHeight="1">
      <c r="I404" s="78"/>
    </row>
  </sheetData>
  <sheetProtection formatCells="0" formatColumns="0" formatRows="0" insertColumns="0" insertRows="0" insertHyperlinks="0" deleteColumns="0" deleteRows="0" sort="0" autoFilter="0" pivotTables="0"/>
  <autoFilter ref="A5:BD402">
    <filterColumn colId="43">
      <filters>
        <filter val="Bis zapytyanie"/>
        <filter val="GGTEch  Dawstal Ortyl"/>
      </filters>
    </filterColumn>
  </autoFilter>
  <mergeCells count="8">
    <mergeCell ref="S3:AA4"/>
    <mergeCell ref="AB3:AK4"/>
    <mergeCell ref="AZ1:AZ2"/>
    <mergeCell ref="AO1:AT2"/>
    <mergeCell ref="AU1:AW2"/>
    <mergeCell ref="AX1:AY2"/>
    <mergeCell ref="R1:AK2"/>
    <mergeCell ref="R3:R4"/>
  </mergeCells>
  <phoneticPr fontId="3" type="noConversion"/>
  <conditionalFormatting sqref="BA1:CD384 BA403:CD1048576">
    <cfRule type="containsBlanks" dxfId="15" priority="78" stopIfTrue="1">
      <formula>LEN(TRIM(BA1))=0</formula>
    </cfRule>
  </conditionalFormatting>
  <conditionalFormatting sqref="R6:AK17 S18:AK145 R18:R377">
    <cfRule type="cellIs" dxfId="14" priority="19" stopIfTrue="1" operator="equal">
      <formula>0</formula>
    </cfRule>
    <cfRule type="cellIs" dxfId="13" priority="20" stopIfTrue="1" operator="greaterThan">
      <formula>0</formula>
    </cfRule>
  </conditionalFormatting>
  <conditionalFormatting sqref="AM6:AM402">
    <cfRule type="cellIs" dxfId="12" priority="18" stopIfTrue="1" operator="equal">
      <formula>0</formula>
    </cfRule>
  </conditionalFormatting>
  <conditionalFormatting sqref="AW6">
    <cfRule type="cellIs" dxfId="11" priority="17" stopIfTrue="1" operator="greaterThan">
      <formula>0</formula>
    </cfRule>
  </conditionalFormatting>
  <conditionalFormatting sqref="AV6:AV145">
    <cfRule type="cellIs" dxfId="10" priority="15" stopIfTrue="1" operator="greaterThan">
      <formula>0</formula>
    </cfRule>
    <cfRule type="cellIs" dxfId="9" priority="16" stopIfTrue="1" operator="equal">
      <formula>0</formula>
    </cfRule>
  </conditionalFormatting>
  <conditionalFormatting sqref="R378:R384">
    <cfRule type="cellIs" dxfId="8" priority="13" stopIfTrue="1" operator="equal">
      <formula>0</formula>
    </cfRule>
    <cfRule type="cellIs" dxfId="7" priority="14" stopIfTrue="1" operator="greaterThan">
      <formula>0</formula>
    </cfRule>
  </conditionalFormatting>
  <conditionalFormatting sqref="BA385:CD387">
    <cfRule type="containsBlanks" dxfId="6" priority="12" stopIfTrue="1">
      <formula>LEN(TRIM(BA385))=0</formula>
    </cfRule>
  </conditionalFormatting>
  <conditionalFormatting sqref="R385:R401">
    <cfRule type="cellIs" dxfId="5" priority="9" stopIfTrue="1" operator="equal">
      <formula>0</formula>
    </cfRule>
    <cfRule type="cellIs" dxfId="4" priority="10" stopIfTrue="1" operator="greaterThan">
      <formula>0</formula>
    </cfRule>
  </conditionalFormatting>
  <conditionalFormatting sqref="BA388:CD401">
    <cfRule type="containsBlanks" dxfId="3" priority="7" stopIfTrue="1">
      <formula>LEN(TRIM(BA388))=0</formula>
    </cfRule>
  </conditionalFormatting>
  <conditionalFormatting sqref="R402">
    <cfRule type="cellIs" dxfId="2" priority="2" stopIfTrue="1" operator="equal">
      <formula>0</formula>
    </cfRule>
    <cfRule type="cellIs" dxfId="1" priority="3" stopIfTrue="1" operator="greaterThan">
      <formula>0</formula>
    </cfRule>
  </conditionalFormatting>
  <conditionalFormatting sqref="BA402:CD402">
    <cfRule type="containsBlanks" dxfId="0" priority="1" stopIfTrue="1">
      <formula>LEN(TRIM(BA402))=0</formula>
    </cfRule>
  </conditionalFormatting>
  <hyperlinks>
    <hyperlink ref="C6" r:id="rId1"/>
    <hyperlink ref="D6" r:id="rId2"/>
    <hyperlink ref="E6" r:id="rId3"/>
    <hyperlink ref="C7" r:id="rId4"/>
    <hyperlink ref="D7" r:id="rId5"/>
    <hyperlink ref="E7" r:id="rId6"/>
    <hyperlink ref="C8" r:id="rId7"/>
    <hyperlink ref="D8" r:id="rId8"/>
    <hyperlink ref="E8" r:id="rId9"/>
    <hyperlink ref="C9" r:id="rId10"/>
    <hyperlink ref="D9" r:id="rId11"/>
    <hyperlink ref="E9" r:id="rId12"/>
    <hyperlink ref="C10" r:id="rId13"/>
    <hyperlink ref="D10" r:id="rId14"/>
    <hyperlink ref="E10" r:id="rId15"/>
    <hyperlink ref="C11" r:id="rId16"/>
    <hyperlink ref="D11" r:id="rId17"/>
    <hyperlink ref="E11" r:id="rId18"/>
    <hyperlink ref="C12" r:id="rId19"/>
    <hyperlink ref="D12" r:id="rId20"/>
    <hyperlink ref="E12" r:id="rId21"/>
    <hyperlink ref="C13" r:id="rId22"/>
    <hyperlink ref="D13" r:id="rId23"/>
    <hyperlink ref="E13" r:id="rId24"/>
    <hyperlink ref="C14" r:id="rId25"/>
    <hyperlink ref="D14" r:id="rId26"/>
    <hyperlink ref="E14" r:id="rId27"/>
    <hyperlink ref="C15" r:id="rId28"/>
    <hyperlink ref="D15" r:id="rId29"/>
    <hyperlink ref="E15" r:id="rId30"/>
    <hyperlink ref="C16" r:id="rId31"/>
    <hyperlink ref="D16" r:id="rId32"/>
    <hyperlink ref="E16" r:id="rId33"/>
    <hyperlink ref="C17" r:id="rId34"/>
    <hyperlink ref="D17" r:id="rId35"/>
    <hyperlink ref="E17" r:id="rId36"/>
    <hyperlink ref="C18" r:id="rId37"/>
    <hyperlink ref="D18" r:id="rId38"/>
    <hyperlink ref="E18" r:id="rId39"/>
    <hyperlink ref="C19" r:id="rId40"/>
    <hyperlink ref="D19" r:id="rId41"/>
    <hyperlink ref="E19" r:id="rId42"/>
    <hyperlink ref="C20" r:id="rId43"/>
    <hyperlink ref="D20" r:id="rId44"/>
    <hyperlink ref="E20" r:id="rId45"/>
    <hyperlink ref="C22" r:id="rId46"/>
    <hyperlink ref="D22" r:id="rId47"/>
    <hyperlink ref="E22" r:id="rId48"/>
    <hyperlink ref="C23" r:id="rId49"/>
    <hyperlink ref="D23" r:id="rId50"/>
    <hyperlink ref="E23" r:id="rId51"/>
    <hyperlink ref="C24" r:id="rId52"/>
    <hyperlink ref="D24" r:id="rId53"/>
    <hyperlink ref="E24" r:id="rId54"/>
    <hyperlink ref="C25" r:id="rId55"/>
    <hyperlink ref="D25" r:id="rId56"/>
    <hyperlink ref="E25" r:id="rId57"/>
    <hyperlink ref="C26" r:id="rId58"/>
    <hyperlink ref="D26" r:id="rId59"/>
    <hyperlink ref="E26" r:id="rId60"/>
    <hyperlink ref="C27" r:id="rId61"/>
    <hyperlink ref="D27" r:id="rId62"/>
    <hyperlink ref="E27" r:id="rId63"/>
    <hyperlink ref="C28" r:id="rId64"/>
    <hyperlink ref="D28" r:id="rId65"/>
    <hyperlink ref="E28" r:id="rId66"/>
    <hyperlink ref="C29" r:id="rId67"/>
    <hyperlink ref="D29" r:id="rId68"/>
    <hyperlink ref="E29" r:id="rId69"/>
    <hyperlink ref="C30" r:id="rId70"/>
    <hyperlink ref="D30" r:id="rId71"/>
    <hyperlink ref="E30" r:id="rId72"/>
    <hyperlink ref="C31" r:id="rId73"/>
    <hyperlink ref="D31" r:id="rId74"/>
    <hyperlink ref="E31" r:id="rId75"/>
    <hyperlink ref="C32" r:id="rId76"/>
    <hyperlink ref="D32" r:id="rId77"/>
    <hyperlink ref="E32" r:id="rId78"/>
    <hyperlink ref="C33" r:id="rId79"/>
    <hyperlink ref="D33" r:id="rId80"/>
    <hyperlink ref="E33" r:id="rId81"/>
    <hyperlink ref="C34" r:id="rId82"/>
    <hyperlink ref="D34" r:id="rId83"/>
    <hyperlink ref="E34" r:id="rId84"/>
    <hyperlink ref="C35" r:id="rId85"/>
    <hyperlink ref="D35" r:id="rId86"/>
    <hyperlink ref="E35" r:id="rId87"/>
    <hyperlink ref="C36" r:id="rId88"/>
    <hyperlink ref="D36" r:id="rId89"/>
    <hyperlink ref="E36" r:id="rId90"/>
    <hyperlink ref="C37" r:id="rId91"/>
    <hyperlink ref="D37" r:id="rId92"/>
    <hyperlink ref="E37" r:id="rId93"/>
    <hyperlink ref="C38" r:id="rId94"/>
    <hyperlink ref="D38" r:id="rId95"/>
    <hyperlink ref="E38" r:id="rId96"/>
    <hyperlink ref="C39" r:id="rId97"/>
    <hyperlink ref="D39" r:id="rId98"/>
    <hyperlink ref="E39" r:id="rId99"/>
    <hyperlink ref="C40" r:id="rId100"/>
    <hyperlink ref="D40" r:id="rId101"/>
    <hyperlink ref="E40" r:id="rId102"/>
    <hyperlink ref="C41" r:id="rId103"/>
    <hyperlink ref="D41" r:id="rId104"/>
    <hyperlink ref="E41" r:id="rId105"/>
    <hyperlink ref="C42" r:id="rId106"/>
    <hyperlink ref="D42" r:id="rId107"/>
    <hyperlink ref="E42" r:id="rId108"/>
    <hyperlink ref="C43" r:id="rId109"/>
    <hyperlink ref="D43" r:id="rId110"/>
    <hyperlink ref="E43" r:id="rId111"/>
    <hyperlink ref="C44" r:id="rId112"/>
    <hyperlink ref="D44" r:id="rId113"/>
    <hyperlink ref="E44" r:id="rId114"/>
    <hyperlink ref="C45" r:id="rId115"/>
    <hyperlink ref="D45" r:id="rId116"/>
    <hyperlink ref="E45" r:id="rId117"/>
    <hyperlink ref="C47" r:id="rId118"/>
    <hyperlink ref="D47" r:id="rId119"/>
    <hyperlink ref="E47" r:id="rId120"/>
    <hyperlink ref="C48" r:id="rId121"/>
    <hyperlink ref="D48" r:id="rId122"/>
    <hyperlink ref="E48" r:id="rId123"/>
    <hyperlink ref="C49" r:id="rId124"/>
    <hyperlink ref="D49" r:id="rId125"/>
    <hyperlink ref="E49" r:id="rId126"/>
    <hyperlink ref="C50" r:id="rId127"/>
    <hyperlink ref="D50" r:id="rId128"/>
    <hyperlink ref="E50" r:id="rId129"/>
    <hyperlink ref="C51" r:id="rId130"/>
    <hyperlink ref="D51" r:id="rId131"/>
    <hyperlink ref="E51" r:id="rId132"/>
    <hyperlink ref="C52" r:id="rId133"/>
    <hyperlink ref="D52" r:id="rId134"/>
    <hyperlink ref="E52" r:id="rId135"/>
    <hyperlink ref="C53" r:id="rId136"/>
    <hyperlink ref="D53" r:id="rId137"/>
    <hyperlink ref="E53" r:id="rId138"/>
    <hyperlink ref="C54" r:id="rId139"/>
    <hyperlink ref="D54" r:id="rId140"/>
    <hyperlink ref="E54" r:id="rId141"/>
    <hyperlink ref="C55" r:id="rId142"/>
    <hyperlink ref="D55" r:id="rId143"/>
    <hyperlink ref="E55" r:id="rId144"/>
    <hyperlink ref="C56" r:id="rId145"/>
    <hyperlink ref="D56" r:id="rId146"/>
    <hyperlink ref="E56" r:id="rId147"/>
    <hyperlink ref="C57" r:id="rId148"/>
    <hyperlink ref="D57" r:id="rId149"/>
    <hyperlink ref="E57" r:id="rId150"/>
    <hyperlink ref="C58" r:id="rId151"/>
    <hyperlink ref="D58" r:id="rId152"/>
    <hyperlink ref="E58" r:id="rId153"/>
    <hyperlink ref="C59" r:id="rId154"/>
    <hyperlink ref="D59" r:id="rId155"/>
    <hyperlink ref="E59" r:id="rId156"/>
    <hyperlink ref="C60" r:id="rId157"/>
    <hyperlink ref="D60" r:id="rId158"/>
    <hyperlink ref="E60" r:id="rId159"/>
    <hyperlink ref="C61" r:id="rId160"/>
    <hyperlink ref="D61" r:id="rId161"/>
    <hyperlink ref="E61" r:id="rId162"/>
    <hyperlink ref="C62" r:id="rId163"/>
    <hyperlink ref="D62" r:id="rId164"/>
    <hyperlink ref="E62" r:id="rId165"/>
    <hyperlink ref="C63" r:id="rId166"/>
    <hyperlink ref="D63" r:id="rId167"/>
    <hyperlink ref="E63" r:id="rId168"/>
    <hyperlink ref="C64" r:id="rId169"/>
    <hyperlink ref="D64" r:id="rId170"/>
    <hyperlink ref="E64" r:id="rId171"/>
    <hyperlink ref="C65" r:id="rId172"/>
    <hyperlink ref="D65" r:id="rId173"/>
    <hyperlink ref="E65" r:id="rId174"/>
    <hyperlink ref="C66" r:id="rId175"/>
    <hyperlink ref="D66" r:id="rId176"/>
    <hyperlink ref="E66" r:id="rId177"/>
    <hyperlink ref="C67" r:id="rId178"/>
    <hyperlink ref="D67" r:id="rId179"/>
    <hyperlink ref="E67" r:id="rId180"/>
    <hyperlink ref="C68" r:id="rId181"/>
    <hyperlink ref="D68" r:id="rId182"/>
    <hyperlink ref="E68" r:id="rId183"/>
    <hyperlink ref="C69" r:id="rId184"/>
    <hyperlink ref="D69" r:id="rId185"/>
    <hyperlink ref="E69" r:id="rId186"/>
    <hyperlink ref="C70" r:id="rId187"/>
    <hyperlink ref="D70" r:id="rId188"/>
    <hyperlink ref="E70" r:id="rId189"/>
    <hyperlink ref="C71" r:id="rId190"/>
    <hyperlink ref="D71" r:id="rId191"/>
    <hyperlink ref="E71" r:id="rId192"/>
    <hyperlink ref="C72" r:id="rId193"/>
    <hyperlink ref="D72" r:id="rId194"/>
    <hyperlink ref="E72" r:id="rId195"/>
    <hyperlink ref="C73" r:id="rId196"/>
    <hyperlink ref="D73" r:id="rId197"/>
    <hyperlink ref="E73" r:id="rId198"/>
    <hyperlink ref="C74" r:id="rId199"/>
    <hyperlink ref="D74" r:id="rId200"/>
    <hyperlink ref="E74" r:id="rId201"/>
    <hyperlink ref="C75" r:id="rId202"/>
    <hyperlink ref="D75" r:id="rId203"/>
    <hyperlink ref="E75" r:id="rId204"/>
    <hyperlink ref="C76" r:id="rId205"/>
    <hyperlink ref="D76" r:id="rId206"/>
    <hyperlink ref="E76" r:id="rId207"/>
    <hyperlink ref="C77" r:id="rId208"/>
    <hyperlink ref="D77" r:id="rId209"/>
    <hyperlink ref="E77" r:id="rId210"/>
    <hyperlink ref="C78" r:id="rId211"/>
    <hyperlink ref="D78" r:id="rId212"/>
    <hyperlink ref="E78" r:id="rId213"/>
    <hyperlink ref="C79" r:id="rId214"/>
    <hyperlink ref="D79" r:id="rId215"/>
    <hyperlink ref="E79" r:id="rId216"/>
    <hyperlink ref="C80" r:id="rId217"/>
    <hyperlink ref="D80" r:id="rId218"/>
    <hyperlink ref="E80" r:id="rId219"/>
    <hyperlink ref="C81" r:id="rId220"/>
    <hyperlink ref="D81" r:id="rId221"/>
    <hyperlink ref="E81" r:id="rId222"/>
    <hyperlink ref="C82" r:id="rId223"/>
    <hyperlink ref="D82" r:id="rId224"/>
    <hyperlink ref="E82" r:id="rId225"/>
    <hyperlink ref="C83" r:id="rId226"/>
    <hyperlink ref="D83" r:id="rId227"/>
    <hyperlink ref="E83" r:id="rId228"/>
    <hyperlink ref="C84" r:id="rId229"/>
    <hyperlink ref="D84" r:id="rId230"/>
    <hyperlink ref="E84" r:id="rId231"/>
    <hyperlink ref="C85" r:id="rId232"/>
    <hyperlink ref="D85" r:id="rId233"/>
    <hyperlink ref="E85" r:id="rId234"/>
    <hyperlink ref="C86" r:id="rId235"/>
    <hyperlink ref="D86" r:id="rId236"/>
    <hyperlink ref="E86" r:id="rId237"/>
    <hyperlink ref="C87" r:id="rId238"/>
    <hyperlink ref="D87" r:id="rId239"/>
    <hyperlink ref="E87" r:id="rId240"/>
    <hyperlink ref="C88" r:id="rId241"/>
    <hyperlink ref="D88" r:id="rId242"/>
    <hyperlink ref="E88" r:id="rId243"/>
    <hyperlink ref="C89" r:id="rId244"/>
    <hyperlink ref="D89" r:id="rId245"/>
    <hyperlink ref="E89" r:id="rId246"/>
    <hyperlink ref="C90" r:id="rId247"/>
    <hyperlink ref="D90" r:id="rId248"/>
    <hyperlink ref="E90" r:id="rId249"/>
    <hyperlink ref="C91" r:id="rId250"/>
    <hyperlink ref="D91" r:id="rId251"/>
    <hyperlink ref="E91" r:id="rId252"/>
    <hyperlink ref="C92" r:id="rId253"/>
    <hyperlink ref="D92" r:id="rId254"/>
    <hyperlink ref="E92" r:id="rId255"/>
    <hyperlink ref="C93" r:id="rId256"/>
    <hyperlink ref="D93" r:id="rId257"/>
    <hyperlink ref="E93" r:id="rId258"/>
    <hyperlink ref="C94" r:id="rId259"/>
    <hyperlink ref="D94" r:id="rId260"/>
    <hyperlink ref="E94" r:id="rId261"/>
    <hyperlink ref="C95" r:id="rId262"/>
    <hyperlink ref="D95" r:id="rId263"/>
    <hyperlink ref="E95" r:id="rId264"/>
    <hyperlink ref="C96" r:id="rId265"/>
    <hyperlink ref="D96" r:id="rId266"/>
    <hyperlink ref="E96" r:id="rId267"/>
    <hyperlink ref="E97" r:id="rId268"/>
    <hyperlink ref="C98" r:id="rId269"/>
    <hyperlink ref="D98" r:id="rId270"/>
    <hyperlink ref="E98" r:id="rId271"/>
    <hyperlink ref="C99" r:id="rId272"/>
    <hyperlink ref="D99" r:id="rId273"/>
    <hyperlink ref="E99" r:id="rId274"/>
    <hyperlink ref="C101" r:id="rId275"/>
    <hyperlink ref="D101" r:id="rId276"/>
    <hyperlink ref="E101" r:id="rId277"/>
    <hyperlink ref="C102" r:id="rId278"/>
    <hyperlink ref="D102" r:id="rId279"/>
    <hyperlink ref="E102" r:id="rId280"/>
    <hyperlink ref="C103" r:id="rId281"/>
    <hyperlink ref="D103" r:id="rId282"/>
    <hyperlink ref="E103" r:id="rId283"/>
    <hyperlink ref="C104" r:id="rId284"/>
    <hyperlink ref="D104" r:id="rId285"/>
    <hyperlink ref="E104" r:id="rId286"/>
    <hyperlink ref="C105" r:id="rId287"/>
    <hyperlink ref="D105" r:id="rId288"/>
    <hyperlink ref="E105" r:id="rId289"/>
    <hyperlink ref="C106" r:id="rId290"/>
    <hyperlink ref="D106" r:id="rId291"/>
    <hyperlink ref="E106" r:id="rId292"/>
    <hyperlink ref="C107" r:id="rId293"/>
    <hyperlink ref="D107" r:id="rId294"/>
    <hyperlink ref="E107" r:id="rId295"/>
    <hyperlink ref="C108" r:id="rId296"/>
    <hyperlink ref="D108" r:id="rId297"/>
    <hyperlink ref="E108" r:id="rId298"/>
    <hyperlink ref="C109" r:id="rId299"/>
    <hyperlink ref="D109" r:id="rId300"/>
    <hyperlink ref="E109" r:id="rId301"/>
    <hyperlink ref="C110" r:id="rId302"/>
    <hyperlink ref="D110" r:id="rId303"/>
    <hyperlink ref="E110" r:id="rId304"/>
    <hyperlink ref="C111" r:id="rId305"/>
    <hyperlink ref="D111" r:id="rId306"/>
    <hyperlink ref="E111" r:id="rId307"/>
    <hyperlink ref="C112" r:id="rId308"/>
    <hyperlink ref="D112" r:id="rId309"/>
    <hyperlink ref="E112" r:id="rId310"/>
    <hyperlink ref="C113" r:id="rId311"/>
    <hyperlink ref="D113" r:id="rId312"/>
    <hyperlink ref="E113" r:id="rId313"/>
    <hyperlink ref="C114" r:id="rId314"/>
    <hyperlink ref="D114" r:id="rId315"/>
    <hyperlink ref="E114" r:id="rId316"/>
    <hyperlink ref="C115" r:id="rId317"/>
    <hyperlink ref="D115" r:id="rId318"/>
    <hyperlink ref="E115" r:id="rId319"/>
    <hyperlink ref="C116" r:id="rId320"/>
    <hyperlink ref="D116" r:id="rId321"/>
    <hyperlink ref="E116" r:id="rId322"/>
    <hyperlink ref="C117" r:id="rId323"/>
    <hyperlink ref="D117" r:id="rId324"/>
    <hyperlink ref="E117" r:id="rId325"/>
    <hyperlink ref="C118" r:id="rId326"/>
    <hyperlink ref="D118" r:id="rId327"/>
    <hyperlink ref="E118" r:id="rId328"/>
    <hyperlink ref="C119" r:id="rId329"/>
    <hyperlink ref="D119" r:id="rId330"/>
    <hyperlink ref="E119" r:id="rId331"/>
    <hyperlink ref="C120" r:id="rId332"/>
    <hyperlink ref="D120" r:id="rId333"/>
    <hyperlink ref="E120" r:id="rId334"/>
    <hyperlink ref="C121" r:id="rId335"/>
    <hyperlink ref="D121" r:id="rId336"/>
    <hyperlink ref="E121" r:id="rId337"/>
    <hyperlink ref="C122" r:id="rId338"/>
    <hyperlink ref="D122" r:id="rId339"/>
    <hyperlink ref="E122" r:id="rId340"/>
    <hyperlink ref="C123" r:id="rId341"/>
    <hyperlink ref="D123" r:id="rId342"/>
    <hyperlink ref="E123" r:id="rId343"/>
    <hyperlink ref="C125" r:id="rId344"/>
    <hyperlink ref="D125" r:id="rId345"/>
    <hyperlink ref="E125" r:id="rId346"/>
    <hyperlink ref="C126" r:id="rId347"/>
    <hyperlink ref="D126" r:id="rId348"/>
    <hyperlink ref="E126" r:id="rId349"/>
    <hyperlink ref="C127" r:id="rId350"/>
    <hyperlink ref="D127" r:id="rId351"/>
    <hyperlink ref="E127" r:id="rId352"/>
    <hyperlink ref="C128" r:id="rId353"/>
    <hyperlink ref="D128" r:id="rId354"/>
    <hyperlink ref="E128" r:id="rId355"/>
    <hyperlink ref="C129" r:id="rId356"/>
    <hyperlink ref="D129" r:id="rId357"/>
    <hyperlink ref="E129" r:id="rId358"/>
    <hyperlink ref="C130" r:id="rId359"/>
    <hyperlink ref="D130" r:id="rId360"/>
    <hyperlink ref="E130" r:id="rId361"/>
    <hyperlink ref="C131" r:id="rId362"/>
    <hyperlink ref="D131" r:id="rId363"/>
    <hyperlink ref="E131" r:id="rId364"/>
    <hyperlink ref="C132" r:id="rId365"/>
    <hyperlink ref="D132" r:id="rId366"/>
    <hyperlink ref="E132" r:id="rId367"/>
    <hyperlink ref="C133" r:id="rId368"/>
    <hyperlink ref="D133" r:id="rId369"/>
    <hyperlink ref="E133" r:id="rId370"/>
    <hyperlink ref="C134" r:id="rId371"/>
    <hyperlink ref="D134" r:id="rId372"/>
    <hyperlink ref="E134" r:id="rId373"/>
    <hyperlink ref="C135" r:id="rId374"/>
    <hyperlink ref="D135" r:id="rId375"/>
    <hyperlink ref="E135" r:id="rId376"/>
    <hyperlink ref="C136" r:id="rId377"/>
    <hyperlink ref="D136" r:id="rId378"/>
    <hyperlink ref="E136" r:id="rId379"/>
    <hyperlink ref="C137" r:id="rId380"/>
    <hyperlink ref="D137" r:id="rId381"/>
    <hyperlink ref="E137" r:id="rId382"/>
    <hyperlink ref="C138" r:id="rId383"/>
    <hyperlink ref="D138" r:id="rId384"/>
    <hyperlink ref="E138" r:id="rId385"/>
    <hyperlink ref="C139" r:id="rId386"/>
    <hyperlink ref="D139" r:id="rId387"/>
    <hyperlink ref="E139" r:id="rId388"/>
    <hyperlink ref="C140" r:id="rId389"/>
    <hyperlink ref="D140" r:id="rId390"/>
    <hyperlink ref="E140" r:id="rId391"/>
    <hyperlink ref="C141" r:id="rId392"/>
    <hyperlink ref="D141" r:id="rId393"/>
    <hyperlink ref="E141" r:id="rId394"/>
    <hyperlink ref="C142" r:id="rId395"/>
    <hyperlink ref="D142" r:id="rId396"/>
    <hyperlink ref="E142" r:id="rId397"/>
    <hyperlink ref="C143" r:id="rId398"/>
    <hyperlink ref="D143" r:id="rId399"/>
    <hyperlink ref="E143" r:id="rId400"/>
    <hyperlink ref="C144" r:id="rId401"/>
    <hyperlink ref="D144" r:id="rId402"/>
    <hyperlink ref="E144" r:id="rId403"/>
    <hyperlink ref="C145" r:id="rId404"/>
    <hyperlink ref="D145" r:id="rId405"/>
    <hyperlink ref="E145" r:id="rId406"/>
    <hyperlink ref="C146" r:id="rId407"/>
    <hyperlink ref="D146" r:id="rId408"/>
    <hyperlink ref="E146" r:id="rId409"/>
    <hyperlink ref="C147" r:id="rId410"/>
    <hyperlink ref="D147" r:id="rId411"/>
    <hyperlink ref="E147" r:id="rId412"/>
    <hyperlink ref="C148" r:id="rId413"/>
    <hyperlink ref="D148" r:id="rId414"/>
    <hyperlink ref="E148" r:id="rId415"/>
    <hyperlink ref="C149" r:id="rId416"/>
    <hyperlink ref="D149" r:id="rId417"/>
    <hyperlink ref="E149" r:id="rId418"/>
    <hyperlink ref="C150" r:id="rId419"/>
    <hyperlink ref="D150" r:id="rId420"/>
    <hyperlink ref="E150" r:id="rId421"/>
    <hyperlink ref="C151" r:id="rId422"/>
    <hyperlink ref="D151" r:id="rId423"/>
    <hyperlink ref="E151" r:id="rId424"/>
    <hyperlink ref="C152" r:id="rId425"/>
    <hyperlink ref="D152" r:id="rId426"/>
    <hyperlink ref="E152" r:id="rId427"/>
    <hyperlink ref="C153" r:id="rId428"/>
    <hyperlink ref="D153" r:id="rId429"/>
    <hyperlink ref="E153" r:id="rId430"/>
    <hyperlink ref="C154" r:id="rId431"/>
    <hyperlink ref="D154" r:id="rId432"/>
    <hyperlink ref="E154" r:id="rId433"/>
    <hyperlink ref="C155" r:id="rId434"/>
    <hyperlink ref="D155" r:id="rId435"/>
    <hyperlink ref="E155" r:id="rId436"/>
    <hyperlink ref="C156" r:id="rId437"/>
    <hyperlink ref="D156" r:id="rId438"/>
    <hyperlink ref="E156" r:id="rId439"/>
    <hyperlink ref="C157" r:id="rId440"/>
    <hyperlink ref="D157" r:id="rId441"/>
    <hyperlink ref="E157" r:id="rId442"/>
    <hyperlink ref="C158" r:id="rId443"/>
    <hyperlink ref="D158" r:id="rId444"/>
    <hyperlink ref="E158" r:id="rId445"/>
    <hyperlink ref="C159" r:id="rId446"/>
    <hyperlink ref="D159" r:id="rId447"/>
    <hyperlink ref="E159" r:id="rId448"/>
    <hyperlink ref="C160" r:id="rId449"/>
    <hyperlink ref="D160" r:id="rId450"/>
    <hyperlink ref="E160" r:id="rId451"/>
    <hyperlink ref="C161" r:id="rId452"/>
    <hyperlink ref="D161" r:id="rId453"/>
    <hyperlink ref="E161" r:id="rId454"/>
    <hyperlink ref="C162" r:id="rId455"/>
    <hyperlink ref="D162" r:id="rId456"/>
    <hyperlink ref="E162" r:id="rId457"/>
    <hyperlink ref="C163" r:id="rId458"/>
    <hyperlink ref="D163" r:id="rId459"/>
    <hyperlink ref="E163" r:id="rId460"/>
    <hyperlink ref="C164" r:id="rId461"/>
    <hyperlink ref="D164" r:id="rId462"/>
    <hyperlink ref="E164" r:id="rId463"/>
    <hyperlink ref="C165" r:id="rId464"/>
    <hyperlink ref="D165" r:id="rId465"/>
    <hyperlink ref="E165" r:id="rId466"/>
    <hyperlink ref="C166" r:id="rId467"/>
    <hyperlink ref="D166" r:id="rId468"/>
    <hyperlink ref="E166" r:id="rId469"/>
    <hyperlink ref="C167" r:id="rId470"/>
    <hyperlink ref="D167" r:id="rId471"/>
    <hyperlink ref="E167" r:id="rId472"/>
    <hyperlink ref="C168" r:id="rId473"/>
    <hyperlink ref="D168" r:id="rId474"/>
    <hyperlink ref="E168" r:id="rId475"/>
    <hyperlink ref="C169" r:id="rId476"/>
    <hyperlink ref="D169" r:id="rId477"/>
    <hyperlink ref="E169" r:id="rId478"/>
    <hyperlink ref="C170" r:id="rId479"/>
    <hyperlink ref="D170" r:id="rId480"/>
    <hyperlink ref="E170" r:id="rId481"/>
    <hyperlink ref="C171" r:id="rId482"/>
    <hyperlink ref="D171" r:id="rId483"/>
    <hyperlink ref="E171" r:id="rId484"/>
    <hyperlink ref="C172" r:id="rId485"/>
    <hyperlink ref="D172" r:id="rId486"/>
    <hyperlink ref="E172" r:id="rId487"/>
    <hyperlink ref="C173" r:id="rId488"/>
    <hyperlink ref="D173" r:id="rId489"/>
    <hyperlink ref="E173" r:id="rId490"/>
    <hyperlink ref="C174" r:id="rId491"/>
    <hyperlink ref="D174" r:id="rId492"/>
    <hyperlink ref="E174" r:id="rId493"/>
    <hyperlink ref="C175" r:id="rId494"/>
    <hyperlink ref="D175" r:id="rId495"/>
    <hyperlink ref="E175" r:id="rId496"/>
    <hyperlink ref="C176" r:id="rId497"/>
    <hyperlink ref="D176" r:id="rId498"/>
    <hyperlink ref="E176" r:id="rId499"/>
    <hyperlink ref="C177" r:id="rId500"/>
    <hyperlink ref="D177" r:id="rId501"/>
    <hyperlink ref="E177" r:id="rId502"/>
    <hyperlink ref="C178" r:id="rId503"/>
    <hyperlink ref="D178" r:id="rId504"/>
    <hyperlink ref="E178" r:id="rId505"/>
    <hyperlink ref="C179" r:id="rId506"/>
    <hyperlink ref="D179" r:id="rId507"/>
    <hyperlink ref="E179" r:id="rId508"/>
    <hyperlink ref="C180" r:id="rId509"/>
    <hyperlink ref="D180" r:id="rId510"/>
    <hyperlink ref="E180" r:id="rId511"/>
    <hyperlink ref="C181" r:id="rId512"/>
    <hyperlink ref="D181" r:id="rId513"/>
    <hyperlink ref="E181" r:id="rId514"/>
    <hyperlink ref="C182" r:id="rId515"/>
    <hyperlink ref="D182" r:id="rId516"/>
    <hyperlink ref="E182" r:id="rId517"/>
    <hyperlink ref="C183" r:id="rId518"/>
    <hyperlink ref="D183" r:id="rId519"/>
    <hyperlink ref="E183" r:id="rId520"/>
    <hyperlink ref="C184" r:id="rId521"/>
    <hyperlink ref="D184" r:id="rId522"/>
    <hyperlink ref="E184" r:id="rId523"/>
    <hyperlink ref="C185" r:id="rId524"/>
    <hyperlink ref="D185" r:id="rId525"/>
    <hyperlink ref="E185" r:id="rId526"/>
    <hyperlink ref="C186" r:id="rId527"/>
    <hyperlink ref="D186" r:id="rId528"/>
    <hyperlink ref="E186" r:id="rId529"/>
    <hyperlink ref="C187" r:id="rId530"/>
    <hyperlink ref="D187" r:id="rId531"/>
    <hyperlink ref="E187" r:id="rId532"/>
    <hyperlink ref="C188" r:id="rId533"/>
    <hyperlink ref="D188" r:id="rId534"/>
    <hyperlink ref="E188" r:id="rId535"/>
    <hyperlink ref="C190" r:id="rId536"/>
    <hyperlink ref="D190" r:id="rId537"/>
    <hyperlink ref="E190" r:id="rId538"/>
    <hyperlink ref="C191" r:id="rId539"/>
    <hyperlink ref="D191" r:id="rId540"/>
    <hyperlink ref="E191" r:id="rId541"/>
    <hyperlink ref="C192" r:id="rId542"/>
    <hyperlink ref="D192" r:id="rId543"/>
    <hyperlink ref="E192" r:id="rId544"/>
    <hyperlink ref="C193" r:id="rId545"/>
    <hyperlink ref="D193" r:id="rId546"/>
    <hyperlink ref="E193" r:id="rId547"/>
    <hyperlink ref="C195" r:id="rId548"/>
    <hyperlink ref="D195" r:id="rId549"/>
    <hyperlink ref="E195" r:id="rId550"/>
    <hyperlink ref="C196" r:id="rId551"/>
    <hyperlink ref="D196" r:id="rId552"/>
    <hyperlink ref="E196" r:id="rId553"/>
    <hyperlink ref="C198" r:id="rId554"/>
    <hyperlink ref="D198" r:id="rId555"/>
    <hyperlink ref="E198" r:id="rId556"/>
    <hyperlink ref="C199" r:id="rId557"/>
    <hyperlink ref="D199" r:id="rId558"/>
    <hyperlink ref="E199" r:id="rId559"/>
    <hyperlink ref="C200" r:id="rId560"/>
    <hyperlink ref="D200" r:id="rId561"/>
    <hyperlink ref="E200" r:id="rId562"/>
    <hyperlink ref="C201" r:id="rId563"/>
    <hyperlink ref="D201" r:id="rId564"/>
    <hyperlink ref="E201" r:id="rId565"/>
    <hyperlink ref="C203" r:id="rId566"/>
    <hyperlink ref="D203" r:id="rId567"/>
    <hyperlink ref="E203" r:id="rId568"/>
    <hyperlink ref="C205" r:id="rId569"/>
    <hyperlink ref="D205" r:id="rId570"/>
    <hyperlink ref="E205" r:id="rId571"/>
    <hyperlink ref="C206" r:id="rId572"/>
    <hyperlink ref="D206" r:id="rId573"/>
    <hyperlink ref="E206" r:id="rId574"/>
    <hyperlink ref="C208" r:id="rId575"/>
    <hyperlink ref="D208" r:id="rId576"/>
    <hyperlink ref="E208" r:id="rId577"/>
    <hyperlink ref="C209" r:id="rId578"/>
    <hyperlink ref="D209" r:id="rId579"/>
    <hyperlink ref="E209" r:id="rId580"/>
    <hyperlink ref="C211" r:id="rId581"/>
    <hyperlink ref="D211" r:id="rId582"/>
    <hyperlink ref="E211" r:id="rId583"/>
    <hyperlink ref="C212" r:id="rId584"/>
    <hyperlink ref="D212" r:id="rId585"/>
    <hyperlink ref="E212" r:id="rId586"/>
    <hyperlink ref="C213" r:id="rId587"/>
    <hyperlink ref="D213" r:id="rId588"/>
    <hyperlink ref="E213" r:id="rId589"/>
    <hyperlink ref="C214" r:id="rId590"/>
    <hyperlink ref="D214" r:id="rId591"/>
    <hyperlink ref="E214" r:id="rId592"/>
    <hyperlink ref="C215" r:id="rId593"/>
    <hyperlink ref="D215" r:id="rId594"/>
    <hyperlink ref="E215" r:id="rId595"/>
    <hyperlink ref="C216" r:id="rId596"/>
    <hyperlink ref="D216" r:id="rId597"/>
    <hyperlink ref="E216" r:id="rId598"/>
    <hyperlink ref="C217" r:id="rId599"/>
    <hyperlink ref="D217" r:id="rId600"/>
    <hyperlink ref="E217" r:id="rId601"/>
    <hyperlink ref="C218" r:id="rId602"/>
    <hyperlink ref="D218" r:id="rId603"/>
    <hyperlink ref="E218" r:id="rId604"/>
    <hyperlink ref="C219" r:id="rId605"/>
    <hyperlink ref="D219" r:id="rId606"/>
    <hyperlink ref="E219" r:id="rId607"/>
    <hyperlink ref="C220" r:id="rId608"/>
    <hyperlink ref="D220" r:id="rId609"/>
    <hyperlink ref="E220" r:id="rId610"/>
    <hyperlink ref="C221" r:id="rId611"/>
    <hyperlink ref="D221" r:id="rId612"/>
    <hyperlink ref="E221" r:id="rId613"/>
    <hyperlink ref="C222" r:id="rId614"/>
    <hyperlink ref="D222" r:id="rId615"/>
    <hyperlink ref="E222" r:id="rId616"/>
    <hyperlink ref="C223" r:id="rId617"/>
    <hyperlink ref="D223" r:id="rId618"/>
    <hyperlink ref="E223" r:id="rId619"/>
    <hyperlink ref="C224" r:id="rId620"/>
    <hyperlink ref="D224" r:id="rId621"/>
    <hyperlink ref="E224" r:id="rId622"/>
    <hyperlink ref="C225" r:id="rId623"/>
    <hyperlink ref="D225" r:id="rId624"/>
    <hyperlink ref="E225" r:id="rId625"/>
    <hyperlink ref="C226" r:id="rId626"/>
    <hyperlink ref="D226" r:id="rId627"/>
    <hyperlink ref="E226" r:id="rId628"/>
    <hyperlink ref="C227" r:id="rId629"/>
    <hyperlink ref="D227" r:id="rId630"/>
    <hyperlink ref="E227" r:id="rId631"/>
    <hyperlink ref="C228" r:id="rId632"/>
    <hyperlink ref="D228" r:id="rId633"/>
    <hyperlink ref="E228" r:id="rId634"/>
    <hyperlink ref="C229" r:id="rId635"/>
    <hyperlink ref="D229" r:id="rId636"/>
    <hyperlink ref="E229" r:id="rId637"/>
    <hyperlink ref="C230" r:id="rId638"/>
    <hyperlink ref="D230" r:id="rId639"/>
    <hyperlink ref="E230" r:id="rId640"/>
    <hyperlink ref="C231" r:id="rId641"/>
    <hyperlink ref="D231" r:id="rId642"/>
    <hyperlink ref="E231" r:id="rId643"/>
    <hyperlink ref="C232" r:id="rId644"/>
    <hyperlink ref="D232" r:id="rId645"/>
    <hyperlink ref="E232" r:id="rId646"/>
    <hyperlink ref="C233" r:id="rId647"/>
    <hyperlink ref="D233" r:id="rId648"/>
    <hyperlink ref="E233" r:id="rId649"/>
    <hyperlink ref="C234" r:id="rId650"/>
    <hyperlink ref="D234" r:id="rId651"/>
    <hyperlink ref="E234" r:id="rId652"/>
    <hyperlink ref="C235" r:id="rId653"/>
    <hyperlink ref="D235" r:id="rId654"/>
    <hyperlink ref="E235" r:id="rId655"/>
    <hyperlink ref="C236" r:id="rId656"/>
    <hyperlink ref="D236" r:id="rId657"/>
    <hyperlink ref="E236" r:id="rId658"/>
    <hyperlink ref="C237" r:id="rId659"/>
    <hyperlink ref="D237" r:id="rId660"/>
    <hyperlink ref="E237" r:id="rId661"/>
    <hyperlink ref="C238" r:id="rId662"/>
    <hyperlink ref="D238" r:id="rId663"/>
    <hyperlink ref="E238" r:id="rId664"/>
    <hyperlink ref="C239" r:id="rId665"/>
    <hyperlink ref="D239" r:id="rId666"/>
    <hyperlink ref="E239" r:id="rId667"/>
    <hyperlink ref="C240" r:id="rId668"/>
    <hyperlink ref="D240" r:id="rId669"/>
    <hyperlink ref="E240" r:id="rId670"/>
    <hyperlink ref="C241" r:id="rId671"/>
    <hyperlink ref="D241" r:id="rId672"/>
    <hyperlink ref="E241" r:id="rId673"/>
    <hyperlink ref="C242" r:id="rId674"/>
    <hyperlink ref="D242" r:id="rId675"/>
    <hyperlink ref="E242" r:id="rId676"/>
    <hyperlink ref="C243" r:id="rId677"/>
    <hyperlink ref="D243" r:id="rId678"/>
    <hyperlink ref="E243" r:id="rId679"/>
    <hyperlink ref="C244" r:id="rId680"/>
    <hyperlink ref="D244" r:id="rId681"/>
    <hyperlink ref="E244" r:id="rId682"/>
    <hyperlink ref="C245" r:id="rId683"/>
    <hyperlink ref="D245" r:id="rId684"/>
    <hyperlink ref="E245" r:id="rId685"/>
    <hyperlink ref="C246" r:id="rId686"/>
    <hyperlink ref="D246" r:id="rId687"/>
    <hyperlink ref="E246" r:id="rId688"/>
    <hyperlink ref="C247" r:id="rId689"/>
    <hyperlink ref="D247" r:id="rId690"/>
    <hyperlink ref="E247" r:id="rId691"/>
    <hyperlink ref="C248" r:id="rId692"/>
    <hyperlink ref="D248" r:id="rId693"/>
    <hyperlink ref="E248" r:id="rId694"/>
    <hyperlink ref="C249" r:id="rId695"/>
    <hyperlink ref="D249" r:id="rId696"/>
    <hyperlink ref="E249" r:id="rId697"/>
    <hyperlink ref="C250" r:id="rId698"/>
    <hyperlink ref="D250" r:id="rId699"/>
    <hyperlink ref="E250" r:id="rId700"/>
    <hyperlink ref="C251" r:id="rId701"/>
    <hyperlink ref="D251" r:id="rId702"/>
    <hyperlink ref="E251" r:id="rId703"/>
    <hyperlink ref="C252" r:id="rId704"/>
    <hyperlink ref="D252" r:id="rId705"/>
    <hyperlink ref="E252" r:id="rId706"/>
    <hyperlink ref="C253" r:id="rId707"/>
    <hyperlink ref="D253" r:id="rId708"/>
    <hyperlink ref="E253" r:id="rId709"/>
    <hyperlink ref="C254" r:id="rId710"/>
    <hyperlink ref="D254" r:id="rId711"/>
    <hyperlink ref="E254" r:id="rId712"/>
    <hyperlink ref="C255" r:id="rId713"/>
    <hyperlink ref="D255" r:id="rId714"/>
    <hyperlink ref="E255" r:id="rId715"/>
    <hyperlink ref="C256" r:id="rId716"/>
    <hyperlink ref="D256" r:id="rId717"/>
    <hyperlink ref="E256" r:id="rId718"/>
    <hyperlink ref="C257" r:id="rId719"/>
    <hyperlink ref="D257" r:id="rId720"/>
    <hyperlink ref="E257" r:id="rId721"/>
    <hyperlink ref="C258" r:id="rId722"/>
    <hyperlink ref="D258" r:id="rId723"/>
    <hyperlink ref="E258" r:id="rId724"/>
    <hyperlink ref="C259" r:id="rId725"/>
    <hyperlink ref="D259" r:id="rId726"/>
    <hyperlink ref="E259" r:id="rId727"/>
    <hyperlink ref="C260" r:id="rId728"/>
    <hyperlink ref="D260" r:id="rId729"/>
    <hyperlink ref="E260" r:id="rId730"/>
    <hyperlink ref="C261" r:id="rId731"/>
    <hyperlink ref="D261" r:id="rId732"/>
    <hyperlink ref="E261" r:id="rId733"/>
    <hyperlink ref="C262" r:id="rId734"/>
    <hyperlink ref="D262" r:id="rId735"/>
    <hyperlink ref="E262" r:id="rId736"/>
    <hyperlink ref="C263" r:id="rId737"/>
    <hyperlink ref="D263" r:id="rId738"/>
    <hyperlink ref="E263" r:id="rId739"/>
    <hyperlink ref="C264" r:id="rId740"/>
    <hyperlink ref="D264" r:id="rId741"/>
    <hyperlink ref="E264" r:id="rId742"/>
    <hyperlink ref="C265" r:id="rId743"/>
    <hyperlink ref="D265" r:id="rId744"/>
    <hyperlink ref="E265" r:id="rId745"/>
    <hyperlink ref="E266" r:id="rId746"/>
    <hyperlink ref="C267" r:id="rId747"/>
    <hyperlink ref="D267" r:id="rId748"/>
    <hyperlink ref="E267" r:id="rId749"/>
    <hyperlink ref="E268" r:id="rId750"/>
    <hyperlink ref="C269" r:id="rId751"/>
    <hyperlink ref="D269" r:id="rId752"/>
    <hyperlink ref="E269" r:id="rId753"/>
    <hyperlink ref="C271" r:id="rId754"/>
    <hyperlink ref="D271" r:id="rId755"/>
    <hyperlink ref="E271" r:id="rId756"/>
    <hyperlink ref="E272" r:id="rId757"/>
    <hyperlink ref="C273" r:id="rId758"/>
    <hyperlink ref="D273" r:id="rId759"/>
    <hyperlink ref="E273" r:id="rId760"/>
    <hyperlink ref="E274" r:id="rId761"/>
    <hyperlink ref="C275" r:id="rId762"/>
    <hyperlink ref="D275" r:id="rId763"/>
    <hyperlink ref="E275" r:id="rId764"/>
    <hyperlink ref="E276" r:id="rId765"/>
    <hyperlink ref="C277" r:id="rId766"/>
    <hyperlink ref="D277" r:id="rId767"/>
    <hyperlink ref="E277" r:id="rId768"/>
    <hyperlink ref="C278" r:id="rId769"/>
    <hyperlink ref="D278" r:id="rId770"/>
    <hyperlink ref="E278" r:id="rId771"/>
    <hyperlink ref="C279" r:id="rId772"/>
    <hyperlink ref="D279" r:id="rId773"/>
    <hyperlink ref="E279" r:id="rId774"/>
    <hyperlink ref="C280" r:id="rId775"/>
    <hyperlink ref="D280" r:id="rId776"/>
    <hyperlink ref="E280" r:id="rId777"/>
    <hyperlink ref="C281" r:id="rId778"/>
    <hyperlink ref="D281" r:id="rId779"/>
    <hyperlink ref="E281" r:id="rId780"/>
    <hyperlink ref="C282" r:id="rId781"/>
    <hyperlink ref="D282" r:id="rId782"/>
    <hyperlink ref="E282" r:id="rId783"/>
    <hyperlink ref="C283" r:id="rId784"/>
    <hyperlink ref="D283" r:id="rId785"/>
    <hyperlink ref="E283" r:id="rId786"/>
    <hyperlink ref="C284" r:id="rId787"/>
    <hyperlink ref="D284" r:id="rId788"/>
    <hyperlink ref="E284" r:id="rId789"/>
    <hyperlink ref="C285" r:id="rId790"/>
    <hyperlink ref="D285" r:id="rId791"/>
    <hyperlink ref="E285" r:id="rId792"/>
    <hyperlink ref="C286" r:id="rId793"/>
    <hyperlink ref="D286" r:id="rId794"/>
    <hyperlink ref="E286" r:id="rId795"/>
    <hyperlink ref="C287" r:id="rId796"/>
    <hyperlink ref="D287" r:id="rId797"/>
    <hyperlink ref="E287" r:id="rId798"/>
    <hyperlink ref="C288" r:id="rId799"/>
    <hyperlink ref="D288" r:id="rId800"/>
    <hyperlink ref="E288" r:id="rId801"/>
    <hyperlink ref="C289" r:id="rId802"/>
    <hyperlink ref="D289" r:id="rId803"/>
    <hyperlink ref="E289" r:id="rId804"/>
    <hyperlink ref="C290" r:id="rId805"/>
    <hyperlink ref="D290" r:id="rId806"/>
    <hyperlink ref="E290" r:id="rId807"/>
    <hyperlink ref="C291" r:id="rId808"/>
    <hyperlink ref="D291" r:id="rId809"/>
    <hyperlink ref="E291" r:id="rId810"/>
    <hyperlink ref="C292" r:id="rId811"/>
    <hyperlink ref="D292" r:id="rId812"/>
    <hyperlink ref="E292" r:id="rId813"/>
    <hyperlink ref="C293" r:id="rId814"/>
    <hyperlink ref="D293" r:id="rId815"/>
    <hyperlink ref="E293" r:id="rId816"/>
    <hyperlink ref="C294" r:id="rId817"/>
    <hyperlink ref="D294" r:id="rId818"/>
    <hyperlink ref="E294" r:id="rId819"/>
    <hyperlink ref="C295" r:id="rId820"/>
    <hyperlink ref="D295" r:id="rId821"/>
    <hyperlink ref="E295" r:id="rId822"/>
    <hyperlink ref="C296" r:id="rId823"/>
    <hyperlink ref="D296" r:id="rId824"/>
    <hyperlink ref="E296" r:id="rId825"/>
    <hyperlink ref="C297" r:id="rId826"/>
    <hyperlink ref="D297" r:id="rId827"/>
    <hyperlink ref="E297" r:id="rId828"/>
    <hyperlink ref="C298" r:id="rId829"/>
    <hyperlink ref="D298" r:id="rId830"/>
    <hyperlink ref="E298" r:id="rId831"/>
    <hyperlink ref="C299" r:id="rId832"/>
    <hyperlink ref="D299" r:id="rId833"/>
    <hyperlink ref="E299" r:id="rId834"/>
    <hyperlink ref="C300" r:id="rId835"/>
    <hyperlink ref="D300" r:id="rId836"/>
    <hyperlink ref="E300" r:id="rId837"/>
    <hyperlink ref="C301" r:id="rId838"/>
    <hyperlink ref="D301" r:id="rId839"/>
    <hyperlink ref="E301" r:id="rId840"/>
    <hyperlink ref="C302" r:id="rId841"/>
    <hyperlink ref="D302" r:id="rId842"/>
    <hyperlink ref="E302" r:id="rId843"/>
    <hyperlink ref="C303" r:id="rId844"/>
    <hyperlink ref="D303" r:id="rId845"/>
    <hyperlink ref="E303" r:id="rId846"/>
    <hyperlink ref="C304" r:id="rId847"/>
    <hyperlink ref="D304" r:id="rId848"/>
    <hyperlink ref="E304" r:id="rId849"/>
    <hyperlink ref="C305" r:id="rId850"/>
    <hyperlink ref="D305" r:id="rId851"/>
    <hyperlink ref="E305" r:id="rId852"/>
    <hyperlink ref="C306" r:id="rId853"/>
    <hyperlink ref="D306" r:id="rId854"/>
    <hyperlink ref="E306" r:id="rId855"/>
    <hyperlink ref="C307" r:id="rId856"/>
    <hyperlink ref="D307" r:id="rId857"/>
    <hyperlink ref="E307" r:id="rId858"/>
    <hyperlink ref="C308" r:id="rId859"/>
    <hyperlink ref="D308" r:id="rId860"/>
    <hyperlink ref="E308" r:id="rId861"/>
    <hyperlink ref="C309" r:id="rId862"/>
    <hyperlink ref="D309" r:id="rId863"/>
    <hyperlink ref="E309" r:id="rId864"/>
    <hyperlink ref="C310" r:id="rId865"/>
    <hyperlink ref="D310" r:id="rId866"/>
    <hyperlink ref="E310" r:id="rId867"/>
    <hyperlink ref="C311" r:id="rId868"/>
    <hyperlink ref="D311" r:id="rId869"/>
    <hyperlink ref="E311" r:id="rId870"/>
    <hyperlink ref="C312" r:id="rId871"/>
    <hyperlink ref="D312" r:id="rId872"/>
    <hyperlink ref="E312" r:id="rId873"/>
    <hyperlink ref="C313" r:id="rId874"/>
    <hyperlink ref="D313" r:id="rId875"/>
    <hyperlink ref="E313" r:id="rId876"/>
    <hyperlink ref="C314" r:id="rId877"/>
    <hyperlink ref="D314" r:id="rId878"/>
    <hyperlink ref="E314" r:id="rId879"/>
    <hyperlink ref="C315" r:id="rId880"/>
    <hyperlink ref="D315" r:id="rId881"/>
    <hyperlink ref="E315" r:id="rId882"/>
    <hyperlink ref="C316" r:id="rId883"/>
    <hyperlink ref="D316" r:id="rId884"/>
    <hyperlink ref="E316" r:id="rId885"/>
    <hyperlink ref="C317" r:id="rId886"/>
    <hyperlink ref="D317" r:id="rId887"/>
    <hyperlink ref="E317" r:id="rId888"/>
    <hyperlink ref="C318" r:id="rId889"/>
    <hyperlink ref="D318" r:id="rId890"/>
    <hyperlink ref="E318" r:id="rId891"/>
    <hyperlink ref="C319" r:id="rId892"/>
    <hyperlink ref="D319" r:id="rId893"/>
    <hyperlink ref="E319" r:id="rId894"/>
    <hyperlink ref="C320" r:id="rId895"/>
    <hyperlink ref="D320" r:id="rId896"/>
    <hyperlink ref="E320" r:id="rId897"/>
    <hyperlink ref="C321" r:id="rId898"/>
    <hyperlink ref="D321" r:id="rId899"/>
    <hyperlink ref="E321" r:id="rId900"/>
    <hyperlink ref="C322" r:id="rId901"/>
    <hyperlink ref="D322" r:id="rId902"/>
    <hyperlink ref="E322" r:id="rId903"/>
    <hyperlink ref="C323" r:id="rId904"/>
    <hyperlink ref="D323" r:id="rId905"/>
    <hyperlink ref="E323" r:id="rId906"/>
    <hyperlink ref="C324" r:id="rId907"/>
    <hyperlink ref="D324" r:id="rId908"/>
    <hyperlink ref="E324" r:id="rId909"/>
    <hyperlink ref="C325" r:id="rId910"/>
    <hyperlink ref="D325" r:id="rId911"/>
    <hyperlink ref="E325" r:id="rId912"/>
    <hyperlink ref="C326" r:id="rId913"/>
    <hyperlink ref="D326" r:id="rId914"/>
    <hyperlink ref="E326" r:id="rId915"/>
    <hyperlink ref="C327" r:id="rId916"/>
    <hyperlink ref="D327" r:id="rId917"/>
    <hyperlink ref="E327" r:id="rId918"/>
    <hyperlink ref="C328" r:id="rId919"/>
    <hyperlink ref="D328" r:id="rId920"/>
    <hyperlink ref="E328" r:id="rId921"/>
    <hyperlink ref="C329" r:id="rId922"/>
    <hyperlink ref="D329" r:id="rId923"/>
    <hyperlink ref="E329" r:id="rId924"/>
    <hyperlink ref="C330" r:id="rId925"/>
    <hyperlink ref="D330" r:id="rId926"/>
    <hyperlink ref="E330" r:id="rId927"/>
    <hyperlink ref="C331" r:id="rId928"/>
    <hyperlink ref="D331" r:id="rId929"/>
    <hyperlink ref="E331" r:id="rId930"/>
    <hyperlink ref="C332" r:id="rId931"/>
    <hyperlink ref="D332" r:id="rId932"/>
    <hyperlink ref="E332" r:id="rId933"/>
    <hyperlink ref="C333" r:id="rId934"/>
    <hyperlink ref="D333" r:id="rId935"/>
    <hyperlink ref="E333" r:id="rId936"/>
    <hyperlink ref="C334" r:id="rId937"/>
    <hyperlink ref="D334" r:id="rId938"/>
    <hyperlink ref="E334" r:id="rId939"/>
    <hyperlink ref="C335" r:id="rId940"/>
    <hyperlink ref="D335" r:id="rId941"/>
    <hyperlink ref="E335" r:id="rId942"/>
    <hyperlink ref="C336" r:id="rId943"/>
    <hyperlink ref="D336" r:id="rId944"/>
    <hyperlink ref="E336" r:id="rId945"/>
    <hyperlink ref="C337" r:id="rId946"/>
    <hyperlink ref="D337" r:id="rId947"/>
    <hyperlink ref="E337" r:id="rId948"/>
    <hyperlink ref="C338" r:id="rId949"/>
    <hyperlink ref="D338" r:id="rId950"/>
    <hyperlink ref="E338" r:id="rId951"/>
    <hyperlink ref="C339" r:id="rId952"/>
    <hyperlink ref="D339" r:id="rId953"/>
    <hyperlink ref="E339" r:id="rId954"/>
    <hyperlink ref="C340" r:id="rId955"/>
    <hyperlink ref="D340" r:id="rId956"/>
    <hyperlink ref="E340" r:id="rId957"/>
    <hyperlink ref="C341" r:id="rId958"/>
    <hyperlink ref="D341" r:id="rId959"/>
    <hyperlink ref="E341" r:id="rId960"/>
    <hyperlink ref="C342" r:id="rId961"/>
    <hyperlink ref="D342" r:id="rId962"/>
    <hyperlink ref="E342" r:id="rId963"/>
    <hyperlink ref="C343" r:id="rId964"/>
    <hyperlink ref="D343" r:id="rId965"/>
    <hyperlink ref="E343" r:id="rId966"/>
    <hyperlink ref="C344" r:id="rId967"/>
    <hyperlink ref="D344" r:id="rId968"/>
    <hyperlink ref="E344" r:id="rId969"/>
    <hyperlink ref="C345" r:id="rId970"/>
    <hyperlink ref="D345" r:id="rId971"/>
    <hyperlink ref="E345" r:id="rId972"/>
    <hyperlink ref="C346" r:id="rId973"/>
    <hyperlink ref="D346" r:id="rId974"/>
    <hyperlink ref="E346" r:id="rId975"/>
    <hyperlink ref="C347" r:id="rId976"/>
    <hyperlink ref="D347" r:id="rId977"/>
    <hyperlink ref="E347" r:id="rId978"/>
    <hyperlink ref="C348" r:id="rId979"/>
    <hyperlink ref="D348" r:id="rId980"/>
    <hyperlink ref="E348" r:id="rId981"/>
    <hyperlink ref="E349" r:id="rId982"/>
    <hyperlink ref="C350" r:id="rId983"/>
    <hyperlink ref="D350" r:id="rId984"/>
    <hyperlink ref="E350" r:id="rId985"/>
    <hyperlink ref="E351" r:id="rId986"/>
    <hyperlink ref="C352" r:id="rId987"/>
    <hyperlink ref="D352" r:id="rId988"/>
    <hyperlink ref="E352" r:id="rId989"/>
    <hyperlink ref="E353" r:id="rId990"/>
    <hyperlink ref="C354" r:id="rId991"/>
    <hyperlink ref="D354" r:id="rId992"/>
    <hyperlink ref="E354" r:id="rId993"/>
    <hyperlink ref="C355" r:id="rId994"/>
    <hyperlink ref="D355" r:id="rId995"/>
    <hyperlink ref="E355" r:id="rId996"/>
    <hyperlink ref="C356" r:id="rId997"/>
    <hyperlink ref="D356" r:id="rId998"/>
    <hyperlink ref="E356" r:id="rId999"/>
    <hyperlink ref="C357" r:id="rId1000"/>
    <hyperlink ref="D357" r:id="rId1001"/>
    <hyperlink ref="E357" r:id="rId1002"/>
    <hyperlink ref="C358" r:id="rId1003"/>
    <hyperlink ref="D358" r:id="rId1004"/>
    <hyperlink ref="E358" r:id="rId1005"/>
    <hyperlink ref="C359" r:id="rId1006"/>
    <hyperlink ref="D359" r:id="rId1007"/>
    <hyperlink ref="E359" r:id="rId1008"/>
    <hyperlink ref="C360" r:id="rId1009"/>
    <hyperlink ref="D360" r:id="rId1010"/>
    <hyperlink ref="E360" r:id="rId1011"/>
    <hyperlink ref="C361" r:id="rId1012"/>
    <hyperlink ref="D361" r:id="rId1013"/>
    <hyperlink ref="E361" r:id="rId1014"/>
    <hyperlink ref="C362" r:id="rId1015"/>
    <hyperlink ref="D362" r:id="rId1016"/>
    <hyperlink ref="E362" r:id="rId1017"/>
    <hyperlink ref="C363" r:id="rId1018"/>
    <hyperlink ref="D363" r:id="rId1019"/>
    <hyperlink ref="E363" r:id="rId1020"/>
    <hyperlink ref="C364" r:id="rId1021"/>
    <hyperlink ref="D364" r:id="rId1022"/>
    <hyperlink ref="E364" r:id="rId1023"/>
    <hyperlink ref="C365" r:id="rId1024"/>
    <hyperlink ref="D365" r:id="rId1025"/>
    <hyperlink ref="E365" r:id="rId1026"/>
    <hyperlink ref="C366" r:id="rId1027"/>
    <hyperlink ref="D366" r:id="rId1028"/>
    <hyperlink ref="E366" r:id="rId1029"/>
    <hyperlink ref="C367" r:id="rId1030"/>
    <hyperlink ref="D367" r:id="rId1031"/>
    <hyperlink ref="E367" r:id="rId1032"/>
    <hyperlink ref="C368" r:id="rId1033"/>
    <hyperlink ref="D368" r:id="rId1034"/>
    <hyperlink ref="E368" r:id="rId1035"/>
    <hyperlink ref="C369" r:id="rId1036"/>
    <hyperlink ref="D369" r:id="rId1037"/>
    <hyperlink ref="E369" r:id="rId1038"/>
    <hyperlink ref="C370" r:id="rId1039"/>
    <hyperlink ref="D370" r:id="rId1040"/>
    <hyperlink ref="E370" r:id="rId1041"/>
    <hyperlink ref="C371" r:id="rId1042"/>
    <hyperlink ref="D371" r:id="rId1043"/>
    <hyperlink ref="E371" r:id="rId1044"/>
    <hyperlink ref="C372" r:id="rId1045"/>
    <hyperlink ref="D372" r:id="rId1046"/>
    <hyperlink ref="E372" r:id="rId1047"/>
    <hyperlink ref="C373" r:id="rId1048"/>
    <hyperlink ref="D373" r:id="rId1049"/>
    <hyperlink ref="E373" r:id="rId1050"/>
    <hyperlink ref="C374" r:id="rId1051"/>
    <hyperlink ref="D374" r:id="rId1052"/>
    <hyperlink ref="E374" r:id="rId1053"/>
    <hyperlink ref="C375" r:id="rId1054"/>
    <hyperlink ref="D375" r:id="rId1055"/>
    <hyperlink ref="E375" r:id="rId1056"/>
    <hyperlink ref="C376" r:id="rId1057"/>
    <hyperlink ref="D376" r:id="rId1058"/>
    <hyperlink ref="E376" r:id="rId1059"/>
    <hyperlink ref="C377" r:id="rId1060"/>
    <hyperlink ref="D377" r:id="rId1061"/>
    <hyperlink ref="E377" r:id="rId1062"/>
    <hyperlink ref="C379" r:id="rId1063"/>
    <hyperlink ref="D379" r:id="rId1064"/>
    <hyperlink ref="E379" r:id="rId1065"/>
    <hyperlink ref="C380" r:id="rId1066"/>
    <hyperlink ref="D380" r:id="rId1067"/>
    <hyperlink ref="E380" r:id="rId1068"/>
    <hyperlink ref="C381" r:id="rId1069"/>
    <hyperlink ref="D381" r:id="rId1070"/>
    <hyperlink ref="E381" r:id="rId1071"/>
    <hyperlink ref="C382" r:id="rId1072"/>
    <hyperlink ref="D382" r:id="rId1073"/>
    <hyperlink ref="E382" r:id="rId1074"/>
    <hyperlink ref="C383" r:id="rId1075"/>
    <hyperlink ref="D383" r:id="rId1076"/>
    <hyperlink ref="E383" r:id="rId1077"/>
    <hyperlink ref="C384" r:id="rId1078"/>
    <hyperlink ref="D384" r:id="rId1079"/>
    <hyperlink ref="E384" r:id="rId1080"/>
    <hyperlink ref="C385" r:id="rId1081"/>
    <hyperlink ref="D385" r:id="rId1082"/>
    <hyperlink ref="E385" r:id="rId1083"/>
    <hyperlink ref="C386" r:id="rId1084"/>
    <hyperlink ref="D386" r:id="rId1085"/>
    <hyperlink ref="E386" r:id="rId1086"/>
    <hyperlink ref="C387" r:id="rId1087"/>
    <hyperlink ref="D387" r:id="rId1088"/>
    <hyperlink ref="E387" r:id="rId1089"/>
    <hyperlink ref="C388" r:id="rId1090"/>
    <hyperlink ref="D388" r:id="rId1091"/>
    <hyperlink ref="C389" r:id="rId1092"/>
    <hyperlink ref="D389" r:id="rId1093"/>
    <hyperlink ref="E389" r:id="rId1094"/>
    <hyperlink ref="C390" r:id="rId1095"/>
    <hyperlink ref="D390" r:id="rId1096"/>
    <hyperlink ref="E390" r:id="rId1097"/>
    <hyperlink ref="C391" r:id="rId1098"/>
    <hyperlink ref="D391" r:id="rId1099"/>
    <hyperlink ref="E391" r:id="rId1100"/>
    <hyperlink ref="C392" r:id="rId1101"/>
    <hyperlink ref="D392" r:id="rId1102"/>
    <hyperlink ref="E392" r:id="rId1103"/>
    <hyperlink ref="C393" r:id="rId1104"/>
    <hyperlink ref="D393" r:id="rId1105"/>
    <hyperlink ref="E393" r:id="rId1106"/>
    <hyperlink ref="C394" r:id="rId1107"/>
    <hyperlink ref="D394" r:id="rId1108"/>
    <hyperlink ref="E394" r:id="rId1109"/>
    <hyperlink ref="C395" r:id="rId1110"/>
    <hyperlink ref="D395" r:id="rId1111"/>
    <hyperlink ref="E395" r:id="rId1112"/>
    <hyperlink ref="C396" r:id="rId1113"/>
    <hyperlink ref="D396" r:id="rId1114"/>
    <hyperlink ref="E396" r:id="rId1115"/>
    <hyperlink ref="C397" r:id="rId1116"/>
    <hyperlink ref="D397" r:id="rId1117"/>
    <hyperlink ref="E397" r:id="rId1118"/>
    <hyperlink ref="C399" r:id="rId1119"/>
    <hyperlink ref="D399" r:id="rId1120"/>
    <hyperlink ref="E399" r:id="rId1121"/>
    <hyperlink ref="C401" r:id="rId1122"/>
    <hyperlink ref="D401" r:id="rId1123"/>
    <hyperlink ref="E401" r:id="rId1124"/>
    <hyperlink ref="C402" r:id="rId1125"/>
    <hyperlink ref="D402" r:id="rId1126"/>
    <hyperlink ref="E402" r:id="rId1127"/>
  </hyperlinks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1128"/>
  <headerFooter alignWithMargins="0">
    <oddFooter>&amp;CStrona &amp;P z &amp;N</oddFooter>
  </headerFooter>
  <drawing r:id="rId1129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/>
  <dimension ref="A1:AL49"/>
  <sheetViews>
    <sheetView workbookViewId="0">
      <selection activeCell="A29" sqref="A29"/>
    </sheetView>
  </sheetViews>
  <sheetFormatPr defaultRowHeight="12.5"/>
  <cols>
    <col min="1" max="1" width="49.26953125" customWidth="1"/>
    <col min="2" max="2" width="8.7265625" customWidth="1"/>
    <col min="3" max="5" width="20.7265625" customWidth="1"/>
    <col min="6" max="6" width="16" customWidth="1"/>
  </cols>
  <sheetData>
    <row r="1" spans="1:38">
      <c r="B1" t="s">
        <v>79</v>
      </c>
      <c r="C1" t="s">
        <v>73</v>
      </c>
    </row>
    <row r="2" spans="1:38">
      <c r="A2" s="82" t="s">
        <v>74</v>
      </c>
      <c r="B2">
        <v>6</v>
      </c>
      <c r="C2" s="59" t="s">
        <v>89</v>
      </c>
    </row>
    <row r="3" spans="1:38">
      <c r="A3" s="82" t="s">
        <v>75</v>
      </c>
      <c r="B3">
        <v>7</v>
      </c>
      <c r="C3" s="59" t="s">
        <v>89</v>
      </c>
    </row>
    <row r="4" spans="1:38">
      <c r="A4" s="82" t="s">
        <v>76</v>
      </c>
      <c r="B4">
        <v>8</v>
      </c>
      <c r="C4" s="59" t="s">
        <v>89</v>
      </c>
      <c r="D4" s="72" t="s">
        <v>101</v>
      </c>
    </row>
    <row r="5" spans="1:38">
      <c r="A5" s="82" t="s">
        <v>77</v>
      </c>
      <c r="B5">
        <v>9</v>
      </c>
      <c r="C5" s="59" t="s">
        <v>89</v>
      </c>
    </row>
    <row r="6" spans="1:38">
      <c r="A6" s="82" t="s">
        <v>106</v>
      </c>
      <c r="B6">
        <v>10</v>
      </c>
      <c r="C6" s="59" t="s">
        <v>89</v>
      </c>
      <c r="AL6" s="61"/>
    </row>
    <row r="7" spans="1:38">
      <c r="A7" s="82" t="s">
        <v>107</v>
      </c>
      <c r="B7">
        <v>11</v>
      </c>
      <c r="C7" t="s">
        <v>80</v>
      </c>
      <c r="AL7" s="61"/>
    </row>
    <row r="8" spans="1:38">
      <c r="A8" s="82" t="s">
        <v>108</v>
      </c>
      <c r="B8">
        <v>12</v>
      </c>
      <c r="C8" s="59" t="s">
        <v>89</v>
      </c>
      <c r="AL8" s="61"/>
    </row>
    <row r="9" spans="1:38">
      <c r="A9" s="82" t="s">
        <v>78</v>
      </c>
      <c r="B9">
        <v>13</v>
      </c>
      <c r="C9" s="59" t="s">
        <v>89</v>
      </c>
      <c r="AL9" s="61"/>
    </row>
    <row r="10" spans="1:38">
      <c r="A10" s="82" t="s">
        <v>81</v>
      </c>
      <c r="B10">
        <v>14</v>
      </c>
      <c r="C10" t="s">
        <v>80</v>
      </c>
      <c r="AL10" s="61"/>
    </row>
    <row r="11" spans="1:38">
      <c r="A11" s="82" t="s">
        <v>82</v>
      </c>
      <c r="B11">
        <v>15</v>
      </c>
      <c r="C11" s="59" t="s">
        <v>90</v>
      </c>
      <c r="AL11" s="61"/>
    </row>
    <row r="12" spans="1:38" ht="13">
      <c r="A12" s="82" t="s">
        <v>84</v>
      </c>
      <c r="B12">
        <v>18</v>
      </c>
      <c r="C12" s="66" t="s">
        <v>95</v>
      </c>
      <c r="D12" s="69" t="s">
        <v>96</v>
      </c>
      <c r="E12" s="67" t="s">
        <v>101</v>
      </c>
      <c r="AL12" s="61"/>
    </row>
    <row r="13" spans="1:38" ht="13">
      <c r="A13" s="82" t="s">
        <v>83</v>
      </c>
      <c r="B13">
        <v>38</v>
      </c>
      <c r="C13" s="65" t="s">
        <v>97</v>
      </c>
      <c r="D13" s="69" t="s">
        <v>102</v>
      </c>
      <c r="E13" s="67" t="s">
        <v>103</v>
      </c>
      <c r="AL13" s="61"/>
    </row>
    <row r="14" spans="1:38">
      <c r="A14" s="82" t="s">
        <v>85</v>
      </c>
      <c r="B14">
        <v>43</v>
      </c>
      <c r="C14" s="74" t="s">
        <v>91</v>
      </c>
    </row>
    <row r="15" spans="1:38">
      <c r="A15" s="82" t="s">
        <v>86</v>
      </c>
      <c r="B15">
        <v>46</v>
      </c>
      <c r="C15" s="60" t="s">
        <v>87</v>
      </c>
      <c r="D15" s="62" t="s">
        <v>88</v>
      </c>
      <c r="E15" s="64" t="s">
        <v>94</v>
      </c>
    </row>
    <row r="16" spans="1:38">
      <c r="A16" s="82" t="s">
        <v>92</v>
      </c>
      <c r="B16">
        <v>55</v>
      </c>
      <c r="C16" t="s">
        <v>80</v>
      </c>
    </row>
    <row r="17" spans="1:5">
      <c r="A17" s="82" t="s">
        <v>98</v>
      </c>
      <c r="B17">
        <v>2</v>
      </c>
      <c r="C17" s="59" t="s">
        <v>89</v>
      </c>
    </row>
    <row r="18" spans="1:5">
      <c r="A18" s="82" t="s">
        <v>99</v>
      </c>
      <c r="B18">
        <v>39</v>
      </c>
      <c r="C18" t="s">
        <v>80</v>
      </c>
    </row>
    <row r="19" spans="1:5" ht="13">
      <c r="A19" s="82" t="s">
        <v>100</v>
      </c>
      <c r="B19">
        <v>40</v>
      </c>
      <c r="C19" s="73" t="s">
        <v>95</v>
      </c>
      <c r="D19" s="68" t="s">
        <v>96</v>
      </c>
      <c r="E19" s="67" t="s">
        <v>101</v>
      </c>
    </row>
    <row r="20" spans="1:5">
      <c r="A20" s="82" t="s">
        <v>104</v>
      </c>
      <c r="B20">
        <v>45</v>
      </c>
      <c r="C20" s="59" t="s">
        <v>89</v>
      </c>
    </row>
    <row r="21" spans="1:5">
      <c r="A21" s="82" t="s">
        <v>105</v>
      </c>
      <c r="B21">
        <v>44</v>
      </c>
      <c r="C21" s="59" t="s">
        <v>89</v>
      </c>
    </row>
    <row r="49" spans="4:4">
      <c r="D49" s="74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</vt:i4>
      </vt:variant>
    </vt:vector>
  </HeadingPairs>
  <TitlesOfParts>
    <vt:vector size="4" baseType="lpstr">
      <vt:lpstr>POMOC</vt:lpstr>
      <vt:lpstr>DETALE</vt:lpstr>
      <vt:lpstr>PARAMETRY</vt:lpstr>
      <vt:lpstr>DETALE!Obszar_wydruku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Krzysiek</cp:lastModifiedBy>
  <cp:lastPrinted>2018-12-03T12:08:08Z</cp:lastPrinted>
  <dcterms:created xsi:type="dcterms:W3CDTF">2015-02-11T06:44:04Z</dcterms:created>
  <dcterms:modified xsi:type="dcterms:W3CDTF">2023-06-21T18:30:28Z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edytowania">
    <vt:filetime>2021-01-31T23:00:00Z</vt:filetime>
  </property>
  <property fmtid="{D5CDD505-2E9C-101B-9397-08002B2CF9AE}" pid="3" name="edytowal">
    <vt:lpwstr>Krzysztof Wróblewski</vt:lpwstr>
  </property>
  <property fmtid="{D5CDD505-2E9C-101B-9397-08002B2CF9AE}" pid="4" name="data zatwierdzenia">
    <vt:lpwstr>05.02.2022</vt:lpwstr>
  </property>
  <property fmtid="{D5CDD505-2E9C-101B-9397-08002B2CF9AE}" pid="5" name="archiwum">
    <vt:i4>0</vt:i4>
  </property>
</Properties>
</file>